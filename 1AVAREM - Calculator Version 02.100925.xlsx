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Users\Yanyong-Th\OneDrive - Speed Inter Transport Co.,Ltd\Personal - YY\01-1- The 25 Action Codes\"/>
    </mc:Choice>
  </mc:AlternateContent>
  <xr:revisionPtr revIDLastSave="0" documentId="13_ncr:1_{83703BD4-1371-4FF9-B458-E9D2FC598A6D}" xr6:coauthVersionLast="47" xr6:coauthVersionMax="47" xr10:uidLastSave="{00000000-0000-0000-0000-000000000000}"/>
  <bookViews>
    <workbookView xWindow="-120" yWindow="-120" windowWidth="29040" windowHeight="15840" activeTab="3" xr2:uid="{DE6E4030-AFA9-452E-BF94-64199EC53AD2}"/>
  </bookViews>
  <sheets>
    <sheet name="Check Value" sheetId="5" r:id="rId1"/>
    <sheet name="Use Case Lab" sheetId="9" r:id="rId2"/>
    <sheet name="Q&amp;A Matrix" sheetId="17" r:id="rId3"/>
    <sheet name="Pilot Formula Test" sheetId="19" r:id="rId4"/>
    <sheet name="AI Prompt" sheetId="21" r:id="rId5"/>
    <sheet name="7 Action Levels" sheetId="18" r:id="rId6"/>
    <sheet name="Standard Avalrem Table" sheetId="2" r:id="rId7"/>
    <sheet name="Master Data" sheetId="8" r:id="rId8"/>
    <sheet name="Master" sheetId="7" r:id="rId9"/>
    <sheet name="AI Training Card Value" sheetId="20" r:id="rId10"/>
    <sheet name="Primary Value" sheetId="11" r:id="rId11"/>
    <sheet name="AI-Overview Algorithm" sheetId="13" r:id="rId12"/>
    <sheet name="AI-Example 1" sheetId="14" r:id="rId13"/>
    <sheet name="AI-Knowledge Graph" sheetId="15" r:id="rId14"/>
    <sheet name="AI-Knowledge Graph 2" sheetId="16" r:id="rId15"/>
    <sheet name="Detailed Avalerem Tables" sheetId="1" r:id="rId16"/>
    <sheet name="Primary Intrinsic Value " sheetId="10" state="hidden" r:id="rId17"/>
    <sheet name="Success Rate" sheetId="3" r:id="rId18"/>
    <sheet name="Sheet1" sheetId="22" r:id="rId19"/>
  </sheets>
  <definedNames>
    <definedName name="_xlnm.Print_Area" localSheetId="0">'Check Value'!$A$1:$N$61</definedName>
    <definedName name="_xlnm.Print_Area" localSheetId="8">Master!$AG$108:$AL$120</definedName>
    <definedName name="_xlnm.Print_Area" localSheetId="6">'Standard Avalrem Table'!$B$5:$G$53</definedName>
    <definedName name="_xlnm.Print_Area" localSheetId="1">'Use Case Lab'!$A$1:$K$20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21" i="19" l="1"/>
  <c r="AE121" i="19"/>
  <c r="AD121" i="19"/>
  <c r="AC121" i="19"/>
  <c r="AB121" i="19"/>
  <c r="AA121" i="19"/>
  <c r="Z121" i="19"/>
  <c r="Y121" i="19"/>
  <c r="X121" i="19"/>
  <c r="W121" i="19"/>
  <c r="V121" i="19"/>
  <c r="U121" i="19"/>
  <c r="P88" i="21"/>
  <c r="P83" i="21"/>
  <c r="P78" i="21"/>
  <c r="P73" i="21"/>
  <c r="P68" i="21"/>
  <c r="P63" i="21"/>
  <c r="P58" i="21"/>
  <c r="P53" i="21"/>
  <c r="P48" i="21"/>
  <c r="P43" i="21"/>
  <c r="P38" i="21"/>
  <c r="P33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V118" i="21"/>
  <c r="U118" i="21"/>
  <c r="T118" i="21"/>
  <c r="S118" i="21"/>
  <c r="R118" i="21"/>
  <c r="V117" i="21"/>
  <c r="U117" i="21"/>
  <c r="T117" i="21"/>
  <c r="S117" i="21"/>
  <c r="R117" i="21"/>
  <c r="V116" i="21"/>
  <c r="U116" i="21"/>
  <c r="T116" i="21"/>
  <c r="S116" i="21"/>
  <c r="R116" i="21"/>
  <c r="V115" i="21"/>
  <c r="U115" i="21"/>
  <c r="T115" i="21"/>
  <c r="S115" i="21"/>
  <c r="R115" i="21"/>
  <c r="V114" i="21"/>
  <c r="U114" i="21"/>
  <c r="T114" i="21"/>
  <c r="S114" i="21"/>
  <c r="R114" i="21"/>
  <c r="V113" i="21"/>
  <c r="U113" i="21"/>
  <c r="T113" i="21"/>
  <c r="S113" i="21"/>
  <c r="R113" i="21"/>
  <c r="V112" i="21"/>
  <c r="U112" i="21"/>
  <c r="T112" i="21"/>
  <c r="S112" i="21"/>
  <c r="R112" i="21"/>
  <c r="V111" i="21"/>
  <c r="U111" i="21"/>
  <c r="T111" i="21"/>
  <c r="S111" i="21"/>
  <c r="R111" i="21"/>
  <c r="V110" i="21"/>
  <c r="U110" i="21"/>
  <c r="T110" i="21"/>
  <c r="S110" i="21"/>
  <c r="R110" i="21"/>
  <c r="V109" i="21"/>
  <c r="U109" i="21"/>
  <c r="T109" i="21"/>
  <c r="S109" i="21"/>
  <c r="R109" i="21"/>
  <c r="V108" i="21"/>
  <c r="U108" i="21"/>
  <c r="T108" i="21"/>
  <c r="S108" i="21"/>
  <c r="R108" i="21"/>
  <c r="V107" i="21"/>
  <c r="U107" i="21"/>
  <c r="T107" i="21"/>
  <c r="S107" i="21"/>
  <c r="R107" i="21"/>
  <c r="W106" i="21"/>
  <c r="W105" i="21"/>
  <c r="W104" i="21"/>
  <c r="W103" i="21"/>
  <c r="W102" i="21"/>
  <c r="W101" i="21"/>
  <c r="W100" i="21"/>
  <c r="W99" i="21"/>
  <c r="W98" i="21"/>
  <c r="W97" i="21"/>
  <c r="W96" i="21"/>
  <c r="W95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V108" i="19"/>
  <c r="V109" i="19" s="1"/>
  <c r="V111" i="19" s="1"/>
  <c r="V117" i="19"/>
  <c r="V106" i="19"/>
  <c r="V96" i="19"/>
  <c r="U117" i="19"/>
  <c r="U119" i="19" s="1"/>
  <c r="U124" i="19" s="1"/>
  <c r="U109" i="19"/>
  <c r="U111" i="19" s="1"/>
  <c r="U106" i="19"/>
  <c r="U96" i="19"/>
  <c r="J258" i="20"/>
  <c r="J254" i="20"/>
  <c r="J250" i="20"/>
  <c r="J246" i="20"/>
  <c r="J242" i="20"/>
  <c r="J237" i="20"/>
  <c r="J233" i="20"/>
  <c r="J229" i="20"/>
  <c r="J225" i="20"/>
  <c r="J221" i="20"/>
  <c r="J217" i="20"/>
  <c r="J212" i="20"/>
  <c r="J208" i="20"/>
  <c r="J204" i="20"/>
  <c r="J200" i="20"/>
  <c r="J196" i="20"/>
  <c r="J192" i="20"/>
  <c r="AV293" i="20"/>
  <c r="AP293" i="20"/>
  <c r="AJ293" i="20"/>
  <c r="AB293" i="20"/>
  <c r="U293" i="20"/>
  <c r="AV292" i="20"/>
  <c r="AP292" i="20"/>
  <c r="AJ292" i="20"/>
  <c r="AB292" i="20"/>
  <c r="U292" i="20"/>
  <c r="AV291" i="20"/>
  <c r="AP291" i="20"/>
  <c r="AJ291" i="20"/>
  <c r="AB291" i="20"/>
  <c r="U291" i="20"/>
  <c r="AV287" i="20"/>
  <c r="AP287" i="20"/>
  <c r="AJ287" i="20"/>
  <c r="AB287" i="20"/>
  <c r="U287" i="20"/>
  <c r="AV286" i="20"/>
  <c r="AP286" i="20"/>
  <c r="AJ286" i="20"/>
  <c r="AB286" i="20"/>
  <c r="U286" i="20"/>
  <c r="AV285" i="20"/>
  <c r="AP285" i="20"/>
  <c r="AJ285" i="20"/>
  <c r="AB285" i="20"/>
  <c r="U285" i="20"/>
  <c r="AV281" i="20"/>
  <c r="AP281" i="20"/>
  <c r="AJ281" i="20"/>
  <c r="AB281" i="20"/>
  <c r="U281" i="20"/>
  <c r="AV280" i="20"/>
  <c r="AP280" i="20"/>
  <c r="AJ280" i="20"/>
  <c r="AB280" i="20"/>
  <c r="U280" i="20"/>
  <c r="AV279" i="20"/>
  <c r="AP279" i="20"/>
  <c r="AJ279" i="20"/>
  <c r="AB279" i="20"/>
  <c r="U279" i="20"/>
  <c r="AV275" i="20"/>
  <c r="AP275" i="20"/>
  <c r="AJ275" i="20"/>
  <c r="AB275" i="20"/>
  <c r="U275" i="20"/>
  <c r="AV274" i="20"/>
  <c r="AP274" i="20"/>
  <c r="AJ274" i="20"/>
  <c r="AB274" i="20"/>
  <c r="U274" i="20"/>
  <c r="AV273" i="20"/>
  <c r="AP273" i="20"/>
  <c r="AJ273" i="20"/>
  <c r="AB273" i="20"/>
  <c r="U273" i="20"/>
  <c r="AV269" i="20"/>
  <c r="AP269" i="20"/>
  <c r="AJ269" i="20"/>
  <c r="AB269" i="20"/>
  <c r="U269" i="20"/>
  <c r="AV268" i="20"/>
  <c r="AP268" i="20"/>
  <c r="AJ268" i="20"/>
  <c r="AB268" i="20"/>
  <c r="U268" i="20"/>
  <c r="AV267" i="20"/>
  <c r="AP267" i="20"/>
  <c r="AJ267" i="20"/>
  <c r="AB267" i="20"/>
  <c r="U267" i="20"/>
  <c r="U264" i="20"/>
  <c r="J264" i="20" s="1"/>
  <c r="K264" i="20"/>
  <c r="L264" i="20" s="1"/>
  <c r="U263" i="20"/>
  <c r="J263" i="20" s="1"/>
  <c r="K263" i="20"/>
  <c r="L263" i="20" s="1"/>
  <c r="U262" i="20"/>
  <c r="J262" i="20" s="1"/>
  <c r="K262" i="20"/>
  <c r="L262" i="20" s="1"/>
  <c r="U261" i="20"/>
  <c r="J261" i="20" s="1"/>
  <c r="K261" i="20"/>
  <c r="L261" i="20" s="1"/>
  <c r="U260" i="20"/>
  <c r="J260" i="20" s="1"/>
  <c r="K260" i="20"/>
  <c r="L260" i="20" s="1"/>
  <c r="U259" i="20"/>
  <c r="J259" i="20" s="1"/>
  <c r="K259" i="20"/>
  <c r="L259" i="20" s="1"/>
  <c r="U258" i="20"/>
  <c r="K258" i="20"/>
  <c r="L258" i="20" s="1"/>
  <c r="U257" i="20"/>
  <c r="J257" i="20" s="1"/>
  <c r="K257" i="20"/>
  <c r="L257" i="20" s="1"/>
  <c r="U256" i="20"/>
  <c r="J256" i="20" s="1"/>
  <c r="K256" i="20"/>
  <c r="L256" i="20" s="1"/>
  <c r="U255" i="20"/>
  <c r="J255" i="20" s="1"/>
  <c r="K255" i="20"/>
  <c r="L255" i="20" s="1"/>
  <c r="U254" i="20"/>
  <c r="K254" i="20"/>
  <c r="L254" i="20" s="1"/>
  <c r="U253" i="20"/>
  <c r="J253" i="20" s="1"/>
  <c r="K253" i="20"/>
  <c r="L253" i="20" s="1"/>
  <c r="U252" i="20"/>
  <c r="J252" i="20" s="1"/>
  <c r="K252" i="20"/>
  <c r="L252" i="20" s="1"/>
  <c r="U251" i="20"/>
  <c r="J251" i="20" s="1"/>
  <c r="K251" i="20"/>
  <c r="L251" i="20" s="1"/>
  <c r="U250" i="20"/>
  <c r="K250" i="20"/>
  <c r="L250" i="20" s="1"/>
  <c r="U249" i="20"/>
  <c r="J249" i="20" s="1"/>
  <c r="K249" i="20"/>
  <c r="L249" i="20" s="1"/>
  <c r="U248" i="20"/>
  <c r="J248" i="20" s="1"/>
  <c r="K248" i="20"/>
  <c r="L248" i="20" s="1"/>
  <c r="U247" i="20"/>
  <c r="J247" i="20" s="1"/>
  <c r="K247" i="20"/>
  <c r="L247" i="20" s="1"/>
  <c r="U246" i="20"/>
  <c r="K246" i="20"/>
  <c r="L246" i="20" s="1"/>
  <c r="U245" i="20"/>
  <c r="J245" i="20" s="1"/>
  <c r="K245" i="20"/>
  <c r="L245" i="20" s="1"/>
  <c r="U244" i="20"/>
  <c r="J244" i="20" s="1"/>
  <c r="K244" i="20"/>
  <c r="L244" i="20" s="1"/>
  <c r="U243" i="20"/>
  <c r="J243" i="20" s="1"/>
  <c r="K243" i="20"/>
  <c r="L243" i="20" s="1"/>
  <c r="U242" i="20"/>
  <c r="K242" i="20"/>
  <c r="L242" i="20" s="1"/>
  <c r="U241" i="20"/>
  <c r="J241" i="20" s="1"/>
  <c r="K241" i="20"/>
  <c r="L241" i="20" s="1"/>
  <c r="U239" i="20"/>
  <c r="J239" i="20" s="1"/>
  <c r="K239" i="20"/>
  <c r="L239" i="20" s="1"/>
  <c r="U238" i="20"/>
  <c r="J238" i="20" s="1"/>
  <c r="K238" i="20"/>
  <c r="L238" i="20" s="1"/>
  <c r="U237" i="20"/>
  <c r="K237" i="20"/>
  <c r="L237" i="20" s="1"/>
  <c r="U236" i="20"/>
  <c r="J236" i="20" s="1"/>
  <c r="K236" i="20"/>
  <c r="L236" i="20" s="1"/>
  <c r="U235" i="20"/>
  <c r="J235" i="20" s="1"/>
  <c r="K235" i="20"/>
  <c r="L235" i="20" s="1"/>
  <c r="U234" i="20"/>
  <c r="J234" i="20" s="1"/>
  <c r="K234" i="20"/>
  <c r="L234" i="20" s="1"/>
  <c r="U233" i="20"/>
  <c r="K233" i="20"/>
  <c r="L233" i="20" s="1"/>
  <c r="U232" i="20"/>
  <c r="J232" i="20" s="1"/>
  <c r="K232" i="20"/>
  <c r="L232" i="20" s="1"/>
  <c r="U231" i="20"/>
  <c r="J231" i="20" s="1"/>
  <c r="K231" i="20"/>
  <c r="L231" i="20" s="1"/>
  <c r="U230" i="20"/>
  <c r="J230" i="20" s="1"/>
  <c r="K230" i="20"/>
  <c r="L230" i="20" s="1"/>
  <c r="U229" i="20"/>
  <c r="K229" i="20"/>
  <c r="L229" i="20" s="1"/>
  <c r="U228" i="20"/>
  <c r="J228" i="20" s="1"/>
  <c r="K228" i="20"/>
  <c r="L228" i="20" s="1"/>
  <c r="U227" i="20"/>
  <c r="J227" i="20" s="1"/>
  <c r="K227" i="20"/>
  <c r="L227" i="20" s="1"/>
  <c r="U226" i="20"/>
  <c r="J226" i="20" s="1"/>
  <c r="K226" i="20"/>
  <c r="L226" i="20" s="1"/>
  <c r="U225" i="20"/>
  <c r="K225" i="20"/>
  <c r="L225" i="20" s="1"/>
  <c r="U224" i="20"/>
  <c r="J224" i="20" s="1"/>
  <c r="K224" i="20"/>
  <c r="L224" i="20" s="1"/>
  <c r="U223" i="20"/>
  <c r="J223" i="20" s="1"/>
  <c r="K223" i="20"/>
  <c r="L223" i="20" s="1"/>
  <c r="U222" i="20"/>
  <c r="J222" i="20" s="1"/>
  <c r="K222" i="20"/>
  <c r="L222" i="20" s="1"/>
  <c r="U221" i="20"/>
  <c r="K221" i="20"/>
  <c r="L221" i="20" s="1"/>
  <c r="U220" i="20"/>
  <c r="J220" i="20" s="1"/>
  <c r="K220" i="20"/>
  <c r="L220" i="20" s="1"/>
  <c r="U219" i="20"/>
  <c r="J219" i="20" s="1"/>
  <c r="K219" i="20"/>
  <c r="L219" i="20" s="1"/>
  <c r="U218" i="20"/>
  <c r="J218" i="20" s="1"/>
  <c r="K218" i="20"/>
  <c r="L218" i="20" s="1"/>
  <c r="U217" i="20"/>
  <c r="K217" i="20"/>
  <c r="L217" i="20" s="1"/>
  <c r="U216" i="20"/>
  <c r="J216" i="20" s="1"/>
  <c r="K216" i="20"/>
  <c r="L216" i="20" s="1"/>
  <c r="U214" i="20"/>
  <c r="J214" i="20" s="1"/>
  <c r="K214" i="20"/>
  <c r="L214" i="20" s="1"/>
  <c r="U213" i="20"/>
  <c r="J213" i="20" s="1"/>
  <c r="K213" i="20"/>
  <c r="L213" i="20" s="1"/>
  <c r="U212" i="20"/>
  <c r="K212" i="20"/>
  <c r="L212" i="20" s="1"/>
  <c r="U211" i="20"/>
  <c r="J211" i="20" s="1"/>
  <c r="K211" i="20"/>
  <c r="L211" i="20" s="1"/>
  <c r="U210" i="20"/>
  <c r="J210" i="20" s="1"/>
  <c r="K210" i="20"/>
  <c r="L210" i="20" s="1"/>
  <c r="U209" i="20"/>
  <c r="J209" i="20" s="1"/>
  <c r="K209" i="20"/>
  <c r="L209" i="20" s="1"/>
  <c r="U208" i="20"/>
  <c r="K208" i="20"/>
  <c r="L208" i="20" s="1"/>
  <c r="U207" i="20"/>
  <c r="J207" i="20" s="1"/>
  <c r="K207" i="20"/>
  <c r="L207" i="20" s="1"/>
  <c r="U206" i="20"/>
  <c r="J206" i="20" s="1"/>
  <c r="K206" i="20"/>
  <c r="L206" i="20" s="1"/>
  <c r="U205" i="20"/>
  <c r="J205" i="20" s="1"/>
  <c r="K205" i="20"/>
  <c r="L205" i="20" s="1"/>
  <c r="U204" i="20"/>
  <c r="K204" i="20"/>
  <c r="L204" i="20" s="1"/>
  <c r="U203" i="20"/>
  <c r="J203" i="20" s="1"/>
  <c r="K203" i="20"/>
  <c r="L203" i="20" s="1"/>
  <c r="U202" i="20"/>
  <c r="J202" i="20" s="1"/>
  <c r="K202" i="20"/>
  <c r="L202" i="20" s="1"/>
  <c r="U201" i="20"/>
  <c r="J201" i="20" s="1"/>
  <c r="K201" i="20"/>
  <c r="L201" i="20" s="1"/>
  <c r="U200" i="20"/>
  <c r="K200" i="20"/>
  <c r="L200" i="20" s="1"/>
  <c r="U199" i="20"/>
  <c r="J199" i="20" s="1"/>
  <c r="K199" i="20"/>
  <c r="L199" i="20" s="1"/>
  <c r="U198" i="20"/>
  <c r="J198" i="20" s="1"/>
  <c r="K198" i="20"/>
  <c r="L198" i="20" s="1"/>
  <c r="U197" i="20"/>
  <c r="J197" i="20" s="1"/>
  <c r="K197" i="20"/>
  <c r="L197" i="20" s="1"/>
  <c r="U196" i="20"/>
  <c r="K196" i="20"/>
  <c r="L196" i="20" s="1"/>
  <c r="U195" i="20"/>
  <c r="J195" i="20" s="1"/>
  <c r="K195" i="20"/>
  <c r="L195" i="20" s="1"/>
  <c r="U194" i="20"/>
  <c r="J194" i="20" s="1"/>
  <c r="K194" i="20"/>
  <c r="L194" i="20" s="1"/>
  <c r="U193" i="20"/>
  <c r="J193" i="20" s="1"/>
  <c r="K193" i="20"/>
  <c r="L193" i="20" s="1"/>
  <c r="U192" i="20"/>
  <c r="K192" i="20"/>
  <c r="L192" i="20" s="1"/>
  <c r="U191" i="20"/>
  <c r="J191" i="20" s="1"/>
  <c r="K191" i="20"/>
  <c r="L191" i="20" s="1"/>
  <c r="U189" i="20"/>
  <c r="J189" i="20" s="1"/>
  <c r="K189" i="20"/>
  <c r="L189" i="20" s="1"/>
  <c r="U188" i="20"/>
  <c r="J188" i="20" s="1"/>
  <c r="K188" i="20"/>
  <c r="L188" i="20" s="1"/>
  <c r="U187" i="20"/>
  <c r="J187" i="20" s="1"/>
  <c r="K187" i="20"/>
  <c r="L187" i="20" s="1"/>
  <c r="U186" i="20"/>
  <c r="J186" i="20" s="1"/>
  <c r="K186" i="20"/>
  <c r="L186" i="20" s="1"/>
  <c r="U185" i="20"/>
  <c r="J185" i="20" s="1"/>
  <c r="K185" i="20"/>
  <c r="L185" i="20" s="1"/>
  <c r="U184" i="20"/>
  <c r="J184" i="20" s="1"/>
  <c r="K184" i="20"/>
  <c r="L184" i="20" s="1"/>
  <c r="U183" i="20"/>
  <c r="J183" i="20" s="1"/>
  <c r="K183" i="20"/>
  <c r="L183" i="20" s="1"/>
  <c r="U182" i="20"/>
  <c r="J182" i="20" s="1"/>
  <c r="K182" i="20"/>
  <c r="L182" i="20" s="1"/>
  <c r="U181" i="20"/>
  <c r="J181" i="20" s="1"/>
  <c r="K181" i="20"/>
  <c r="L181" i="20" s="1"/>
  <c r="U180" i="20"/>
  <c r="J180" i="20" s="1"/>
  <c r="K180" i="20"/>
  <c r="L180" i="20" s="1"/>
  <c r="U179" i="20"/>
  <c r="J179" i="20" s="1"/>
  <c r="K179" i="20"/>
  <c r="L179" i="20" s="1"/>
  <c r="U178" i="20"/>
  <c r="J178" i="20" s="1"/>
  <c r="K178" i="20"/>
  <c r="L178" i="20" s="1"/>
  <c r="U177" i="20"/>
  <c r="J177" i="20" s="1"/>
  <c r="K177" i="20"/>
  <c r="L177" i="20" s="1"/>
  <c r="U176" i="20"/>
  <c r="J176" i="20" s="1"/>
  <c r="K176" i="20"/>
  <c r="L176" i="20" s="1"/>
  <c r="U175" i="20"/>
  <c r="J175" i="20" s="1"/>
  <c r="K175" i="20"/>
  <c r="L175" i="20" s="1"/>
  <c r="U174" i="20"/>
  <c r="J174" i="20" s="1"/>
  <c r="K174" i="20"/>
  <c r="L174" i="20" s="1"/>
  <c r="U173" i="20"/>
  <c r="J173" i="20" s="1"/>
  <c r="K173" i="20"/>
  <c r="L173" i="20" s="1"/>
  <c r="W172" i="20"/>
  <c r="U172" i="20"/>
  <c r="J172" i="20" s="1"/>
  <c r="K172" i="20"/>
  <c r="L172" i="20" s="1"/>
  <c r="U171" i="20"/>
  <c r="J171" i="20" s="1"/>
  <c r="K171" i="20"/>
  <c r="L171" i="20" s="1"/>
  <c r="U170" i="20"/>
  <c r="J170" i="20" s="1"/>
  <c r="K170" i="20"/>
  <c r="L170" i="20" s="1"/>
  <c r="U169" i="20"/>
  <c r="J169" i="20" s="1"/>
  <c r="K169" i="20"/>
  <c r="L169" i="20" s="1"/>
  <c r="U168" i="20"/>
  <c r="J168" i="20" s="1"/>
  <c r="K168" i="20"/>
  <c r="L168" i="20" s="1"/>
  <c r="U167" i="20"/>
  <c r="J167" i="20" s="1"/>
  <c r="K167" i="20"/>
  <c r="L167" i="20" s="1"/>
  <c r="U166" i="20"/>
  <c r="J166" i="20" s="1"/>
  <c r="K166" i="20"/>
  <c r="L166" i="20" s="1"/>
  <c r="U164" i="20"/>
  <c r="J164" i="20" s="1"/>
  <c r="K164" i="20"/>
  <c r="L164" i="20" s="1"/>
  <c r="U163" i="20"/>
  <c r="J163" i="20" s="1"/>
  <c r="K163" i="20"/>
  <c r="L163" i="20" s="1"/>
  <c r="U162" i="20"/>
  <c r="J162" i="20" s="1"/>
  <c r="K162" i="20"/>
  <c r="L162" i="20" s="1"/>
  <c r="W161" i="20"/>
  <c r="U161" i="20"/>
  <c r="J161" i="20" s="1"/>
  <c r="K161" i="20"/>
  <c r="L161" i="20" s="1"/>
  <c r="U160" i="20"/>
  <c r="J160" i="20" s="1"/>
  <c r="K160" i="20"/>
  <c r="L160" i="20" s="1"/>
  <c r="U159" i="20"/>
  <c r="J159" i="20" s="1"/>
  <c r="K159" i="20"/>
  <c r="L159" i="20" s="1"/>
  <c r="U158" i="20"/>
  <c r="J158" i="20" s="1"/>
  <c r="K158" i="20"/>
  <c r="L158" i="20" s="1"/>
  <c r="U157" i="20"/>
  <c r="J157" i="20" s="1"/>
  <c r="K157" i="20"/>
  <c r="L157" i="20" s="1"/>
  <c r="U156" i="20"/>
  <c r="J156" i="20" s="1"/>
  <c r="K156" i="20"/>
  <c r="L156" i="20" s="1"/>
  <c r="W155" i="20"/>
  <c r="U155" i="20"/>
  <c r="J155" i="20" s="1"/>
  <c r="K155" i="20"/>
  <c r="L155" i="20" s="1"/>
  <c r="U154" i="20"/>
  <c r="J154" i="20" s="1"/>
  <c r="K154" i="20"/>
  <c r="L154" i="20" s="1"/>
  <c r="U153" i="20"/>
  <c r="J153" i="20" s="1"/>
  <c r="K153" i="20"/>
  <c r="L153" i="20" s="1"/>
  <c r="U152" i="20"/>
  <c r="J152" i="20" s="1"/>
  <c r="K152" i="20"/>
  <c r="L152" i="20" s="1"/>
  <c r="U151" i="20"/>
  <c r="J151" i="20" s="1"/>
  <c r="K151" i="20"/>
  <c r="L151" i="20" s="1"/>
  <c r="U150" i="20"/>
  <c r="J150" i="20" s="1"/>
  <c r="K150" i="20"/>
  <c r="L150" i="20" s="1"/>
  <c r="U149" i="20"/>
  <c r="J149" i="20" s="1"/>
  <c r="K149" i="20"/>
  <c r="L149" i="20" s="1"/>
  <c r="U148" i="20"/>
  <c r="J148" i="20" s="1"/>
  <c r="K148" i="20"/>
  <c r="L148" i="20" s="1"/>
  <c r="U147" i="20"/>
  <c r="J147" i="20" s="1"/>
  <c r="K147" i="20"/>
  <c r="L147" i="20" s="1"/>
  <c r="U146" i="20"/>
  <c r="J146" i="20" s="1"/>
  <c r="K146" i="20"/>
  <c r="L146" i="20" s="1"/>
  <c r="U145" i="20"/>
  <c r="J145" i="20" s="1"/>
  <c r="K145" i="20"/>
  <c r="L145" i="20" s="1"/>
  <c r="U144" i="20"/>
  <c r="J144" i="20" s="1"/>
  <c r="K144" i="20"/>
  <c r="L144" i="20" s="1"/>
  <c r="U143" i="20"/>
  <c r="J143" i="20" s="1"/>
  <c r="K143" i="20"/>
  <c r="L143" i="20" s="1"/>
  <c r="U142" i="20"/>
  <c r="J142" i="20" s="1"/>
  <c r="K142" i="20"/>
  <c r="L142" i="20" s="1"/>
  <c r="U141" i="20"/>
  <c r="J141" i="20" s="1"/>
  <c r="K141" i="20"/>
  <c r="L141" i="20" s="1"/>
  <c r="AK134" i="20"/>
  <c r="AA134" i="20"/>
  <c r="AK133" i="20"/>
  <c r="AA133" i="20"/>
  <c r="AK132" i="20"/>
  <c r="AA132" i="20"/>
  <c r="AK131" i="20"/>
  <c r="AA131" i="20"/>
  <c r="AK130" i="20"/>
  <c r="AA130" i="20"/>
  <c r="AK129" i="20"/>
  <c r="AA129" i="20"/>
  <c r="AK128" i="20"/>
  <c r="AA128" i="20"/>
  <c r="AK127" i="20"/>
  <c r="AA127" i="20"/>
  <c r="AK126" i="20"/>
  <c r="AA126" i="20"/>
  <c r="AK125" i="20"/>
  <c r="AA125" i="20"/>
  <c r="AK124" i="20"/>
  <c r="AA124" i="20"/>
  <c r="AK123" i="20"/>
  <c r="AA123" i="20"/>
  <c r="AT120" i="20"/>
  <c r="AK120" i="20"/>
  <c r="AA120" i="20"/>
  <c r="AT119" i="20"/>
  <c r="AK119" i="20"/>
  <c r="AA119" i="20"/>
  <c r="AT118" i="20"/>
  <c r="AK118" i="20"/>
  <c r="AA118" i="20"/>
  <c r="AT117" i="20"/>
  <c r="AK117" i="20"/>
  <c r="AA117" i="20"/>
  <c r="AT116" i="20"/>
  <c r="AK116" i="20"/>
  <c r="AA116" i="20"/>
  <c r="AT115" i="20"/>
  <c r="AK115" i="20"/>
  <c r="AA115" i="20"/>
  <c r="AT114" i="20"/>
  <c r="AK114" i="20"/>
  <c r="AA114" i="20"/>
  <c r="AT113" i="20"/>
  <c r="AK113" i="20"/>
  <c r="AA113" i="20"/>
  <c r="AT112" i="20"/>
  <c r="AK112" i="20"/>
  <c r="AA112" i="20"/>
  <c r="AT111" i="20"/>
  <c r="AK111" i="20"/>
  <c r="AA111" i="20"/>
  <c r="AT110" i="20"/>
  <c r="AK110" i="20"/>
  <c r="AA110" i="20"/>
  <c r="AT109" i="20"/>
  <c r="AK109" i="20"/>
  <c r="AA109" i="20"/>
  <c r="AF117" i="19"/>
  <c r="AE117" i="19"/>
  <c r="AD117" i="19"/>
  <c r="AC117" i="19"/>
  <c r="AB117" i="19"/>
  <c r="AA117" i="19"/>
  <c r="Z117" i="19"/>
  <c r="Y117" i="19"/>
  <c r="X117" i="19"/>
  <c r="W117" i="19"/>
  <c r="W119" i="19" s="1"/>
  <c r="W124" i="19" s="1"/>
  <c r="W109" i="19"/>
  <c r="W111" i="19" s="1"/>
  <c r="X108" i="19"/>
  <c r="X119" i="19" s="1"/>
  <c r="X124" i="19" s="1"/>
  <c r="W106" i="19"/>
  <c r="W96" i="19"/>
  <c r="X92" i="19"/>
  <c r="X106" i="19" s="1"/>
  <c r="J86" i="19"/>
  <c r="M71" i="19"/>
  <c r="G55" i="5" s="1"/>
  <c r="O58" i="19"/>
  <c r="O57" i="19"/>
  <c r="O56" i="19"/>
  <c r="K6" i="5"/>
  <c r="P58" i="19" s="1"/>
  <c r="K87" i="19"/>
  <c r="K86" i="19"/>
  <c r="E26" i="17"/>
  <c r="E25" i="17"/>
  <c r="E24" i="17"/>
  <c r="E23" i="17"/>
  <c r="E22" i="17"/>
  <c r="J87" i="19" s="1"/>
  <c r="E21" i="17"/>
  <c r="E20" i="17"/>
  <c r="E19" i="17"/>
  <c r="E18" i="17"/>
  <c r="E17" i="17"/>
  <c r="E16" i="17"/>
  <c r="E15" i="17"/>
  <c r="R38" i="17"/>
  <c r="Q38" i="17"/>
  <c r="P38" i="17"/>
  <c r="O38" i="17"/>
  <c r="N38" i="17"/>
  <c r="R37" i="17"/>
  <c r="Q37" i="17"/>
  <c r="P37" i="17"/>
  <c r="O37" i="17"/>
  <c r="N37" i="17"/>
  <c r="R36" i="17"/>
  <c r="Q36" i="17"/>
  <c r="P36" i="17"/>
  <c r="O36" i="17"/>
  <c r="N36" i="17"/>
  <c r="R35" i="17"/>
  <c r="Q35" i="17"/>
  <c r="P35" i="17"/>
  <c r="O35" i="17"/>
  <c r="N35" i="17"/>
  <c r="R34" i="17"/>
  <c r="Q34" i="17"/>
  <c r="P34" i="17"/>
  <c r="O34" i="17"/>
  <c r="N34" i="17"/>
  <c r="R33" i="17"/>
  <c r="Q33" i="17"/>
  <c r="P33" i="17"/>
  <c r="O33" i="17"/>
  <c r="N33" i="17"/>
  <c r="R32" i="17"/>
  <c r="Q32" i="17"/>
  <c r="P32" i="17"/>
  <c r="O32" i="17"/>
  <c r="N32" i="17"/>
  <c r="R31" i="17"/>
  <c r="Q31" i="17"/>
  <c r="P31" i="17"/>
  <c r="O31" i="17"/>
  <c r="N31" i="17"/>
  <c r="R30" i="17"/>
  <c r="Q30" i="17"/>
  <c r="P30" i="17"/>
  <c r="O30" i="17"/>
  <c r="N30" i="17"/>
  <c r="R29" i="17"/>
  <c r="Q29" i="17"/>
  <c r="P29" i="17"/>
  <c r="O29" i="17"/>
  <c r="N29" i="17"/>
  <c r="R28" i="17"/>
  <c r="Q28" i="17"/>
  <c r="P28" i="17"/>
  <c r="O28" i="17"/>
  <c r="N28" i="17"/>
  <c r="R27" i="17"/>
  <c r="Q27" i="17"/>
  <c r="P27" i="17"/>
  <c r="O27" i="17"/>
  <c r="N27" i="17"/>
  <c r="S26" i="17"/>
  <c r="S25" i="17"/>
  <c r="S24" i="17"/>
  <c r="S23" i="17"/>
  <c r="S22" i="17"/>
  <c r="S21" i="17"/>
  <c r="S20" i="17"/>
  <c r="S19" i="17"/>
  <c r="S18" i="17"/>
  <c r="S17" i="17"/>
  <c r="S16" i="17"/>
  <c r="S15" i="17"/>
  <c r="O53" i="14"/>
  <c r="N53" i="14"/>
  <c r="K53" i="14"/>
  <c r="J53" i="14"/>
  <c r="O41" i="14"/>
  <c r="N41" i="14"/>
  <c r="M41" i="14"/>
  <c r="L41" i="14"/>
  <c r="J41" i="14"/>
  <c r="I41" i="14"/>
  <c r="K41" i="14"/>
  <c r="B260" i="8"/>
  <c r="B259" i="8"/>
  <c r="B258" i="8"/>
  <c r="B257" i="8"/>
  <c r="B256" i="8"/>
  <c r="B255" i="8"/>
  <c r="B254" i="8"/>
  <c r="B253" i="8"/>
  <c r="B252" i="8"/>
  <c r="B251" i="8"/>
  <c r="B250" i="8"/>
  <c r="B249" i="8"/>
  <c r="B248" i="8"/>
  <c r="B247" i="8"/>
  <c r="B246" i="8"/>
  <c r="B245" i="8"/>
  <c r="B244" i="8"/>
  <c r="B243" i="8"/>
  <c r="B242" i="8"/>
  <c r="B241" i="8"/>
  <c r="B240" i="8"/>
  <c r="B239" i="8"/>
  <c r="B238" i="8"/>
  <c r="B237" i="8"/>
  <c r="B236" i="8"/>
  <c r="B235" i="8"/>
  <c r="B234" i="8"/>
  <c r="B233" i="8"/>
  <c r="B232" i="8"/>
  <c r="B231" i="8"/>
  <c r="B230" i="8"/>
  <c r="B229" i="8"/>
  <c r="B228" i="8"/>
  <c r="B227" i="8"/>
  <c r="B226" i="8"/>
  <c r="B225" i="8"/>
  <c r="B224" i="8"/>
  <c r="B223" i="8"/>
  <c r="B222" i="8"/>
  <c r="B221" i="8"/>
  <c r="B220" i="8"/>
  <c r="B219" i="8"/>
  <c r="B218" i="8"/>
  <c r="B217" i="8"/>
  <c r="B216" i="8"/>
  <c r="B215" i="8"/>
  <c r="B214" i="8"/>
  <c r="B213" i="8"/>
  <c r="B212" i="8"/>
  <c r="B211" i="8"/>
  <c r="B210" i="8"/>
  <c r="B209" i="8"/>
  <c r="B208" i="8"/>
  <c r="B207" i="8"/>
  <c r="B206" i="8"/>
  <c r="B205" i="8"/>
  <c r="B204" i="8"/>
  <c r="B203" i="8"/>
  <c r="B202" i="8"/>
  <c r="B201" i="8"/>
  <c r="B200" i="8"/>
  <c r="B199" i="8"/>
  <c r="B198" i="8"/>
  <c r="B197" i="8"/>
  <c r="B196" i="8"/>
  <c r="B195" i="8"/>
  <c r="B194" i="8"/>
  <c r="B193" i="8"/>
  <c r="B192" i="8"/>
  <c r="B191" i="8"/>
  <c r="B190" i="8"/>
  <c r="B189" i="8"/>
  <c r="B188" i="8"/>
  <c r="B187" i="8"/>
  <c r="B186" i="8"/>
  <c r="B185" i="8"/>
  <c r="B184" i="8"/>
  <c r="B183" i="8"/>
  <c r="B182" i="8"/>
  <c r="B181" i="8"/>
  <c r="B180" i="8"/>
  <c r="B179" i="8"/>
  <c r="B178" i="8"/>
  <c r="B177" i="8"/>
  <c r="B176" i="8"/>
  <c r="B175" i="8"/>
  <c r="B174" i="8"/>
  <c r="B173" i="8"/>
  <c r="B172" i="8"/>
  <c r="B171" i="8"/>
  <c r="B170" i="8"/>
  <c r="B169" i="8"/>
  <c r="B168" i="8"/>
  <c r="B167" i="8"/>
  <c r="B166" i="8"/>
  <c r="B165" i="8"/>
  <c r="B164" i="8"/>
  <c r="B163" i="8"/>
  <c r="B162" i="8"/>
  <c r="B161" i="8"/>
  <c r="B160" i="8"/>
  <c r="B159" i="8"/>
  <c r="B158" i="8"/>
  <c r="B157" i="8"/>
  <c r="B156" i="8"/>
  <c r="B155" i="8"/>
  <c r="B154" i="8"/>
  <c r="B153" i="8"/>
  <c r="B152" i="8"/>
  <c r="B151" i="8"/>
  <c r="B150" i="8"/>
  <c r="B149" i="8"/>
  <c r="B148" i="8"/>
  <c r="B147" i="8"/>
  <c r="B146" i="8"/>
  <c r="B145" i="8"/>
  <c r="B144" i="8"/>
  <c r="B143" i="8"/>
  <c r="B142" i="8"/>
  <c r="B141" i="8"/>
  <c r="X109" i="19" l="1"/>
  <c r="W108" i="21"/>
  <c r="W115" i="21"/>
  <c r="W117" i="21"/>
  <c r="W107" i="21"/>
  <c r="W111" i="21"/>
  <c r="W112" i="21"/>
  <c r="W116" i="21"/>
  <c r="W109" i="21"/>
  <c r="W110" i="21"/>
  <c r="W113" i="21"/>
  <c r="W114" i="21"/>
  <c r="W118" i="21"/>
  <c r="V119" i="19"/>
  <c r="V124" i="19" s="1"/>
  <c r="Y108" i="19"/>
  <c r="X111" i="19"/>
  <c r="X96" i="19"/>
  <c r="W264" i="20"/>
  <c r="Y92" i="19"/>
  <c r="M89" i="19"/>
  <c r="G56" i="5" s="1"/>
  <c r="S29" i="17"/>
  <c r="S30" i="17"/>
  <c r="S34" i="17"/>
  <c r="S35" i="17"/>
  <c r="S36" i="17"/>
  <c r="S38" i="17"/>
  <c r="S32" i="17"/>
  <c r="S33" i="17"/>
  <c r="S27" i="17"/>
  <c r="S28" i="17"/>
  <c r="S31" i="17"/>
  <c r="S37" i="17"/>
  <c r="I53" i="14"/>
  <c r="L53" i="14"/>
  <c r="M53" i="14"/>
  <c r="Z108" i="19" l="1"/>
  <c r="Y119" i="19"/>
  <c r="Y124" i="19" s="1"/>
  <c r="Y109" i="19"/>
  <c r="Y111" i="19" s="1"/>
  <c r="Z92" i="19"/>
  <c r="Y96" i="19"/>
  <c r="Y106" i="19"/>
  <c r="AJ5" i="2"/>
  <c r="AB5" i="2"/>
  <c r="T5" i="2"/>
  <c r="L5" i="2"/>
  <c r="DT216" i="1"/>
  <c r="DT217" i="1" s="1"/>
  <c r="DT218" i="1" s="1"/>
  <c r="DT219" i="1" s="1"/>
  <c r="DT220" i="1" s="1"/>
  <c r="DT221" i="1" s="1"/>
  <c r="DT222" i="1" s="1"/>
  <c r="DT223" i="1" s="1"/>
  <c r="DT224" i="1" s="1"/>
  <c r="DT225" i="1" s="1"/>
  <c r="DT226" i="1" s="1"/>
  <c r="DT227" i="1" s="1"/>
  <c r="CR231" i="1"/>
  <c r="CR232" i="1" s="1"/>
  <c r="CR233" i="1" s="1"/>
  <c r="CR234" i="1" s="1"/>
  <c r="CR235" i="1" s="1"/>
  <c r="CR236" i="1" s="1"/>
  <c r="CR237" i="1" s="1"/>
  <c r="CR238" i="1" s="1"/>
  <c r="CR239" i="1" s="1"/>
  <c r="CR240" i="1" s="1"/>
  <c r="CR241" i="1" s="1"/>
  <c r="CR242" i="1" s="1"/>
  <c r="CR216" i="1"/>
  <c r="CR217" i="1" s="1"/>
  <c r="CR218" i="1" s="1"/>
  <c r="CR219" i="1" s="1"/>
  <c r="CR220" i="1" s="1"/>
  <c r="CR221" i="1" s="1"/>
  <c r="CR222" i="1" s="1"/>
  <c r="CR223" i="1" s="1"/>
  <c r="CR224" i="1" s="1"/>
  <c r="CR225" i="1" s="1"/>
  <c r="CR226" i="1" s="1"/>
  <c r="CR227" i="1" s="1"/>
  <c r="DT168" i="1"/>
  <c r="DT169" i="1" s="1"/>
  <c r="DT170" i="1" s="1"/>
  <c r="DT171" i="1" s="1"/>
  <c r="DT172" i="1" s="1"/>
  <c r="DT173" i="1" s="1"/>
  <c r="DT174" i="1" s="1"/>
  <c r="DT175" i="1" s="1"/>
  <c r="DT176" i="1" s="1"/>
  <c r="DT177" i="1" s="1"/>
  <c r="DT178" i="1" s="1"/>
  <c r="DT179" i="1" s="1"/>
  <c r="CR183" i="1"/>
  <c r="CR184" i="1" s="1"/>
  <c r="CR185" i="1" s="1"/>
  <c r="CR186" i="1" s="1"/>
  <c r="CR187" i="1" s="1"/>
  <c r="CR188" i="1" s="1"/>
  <c r="CR189" i="1" s="1"/>
  <c r="CR190" i="1" s="1"/>
  <c r="CR191" i="1" s="1"/>
  <c r="CR192" i="1" s="1"/>
  <c r="CR193" i="1" s="1"/>
  <c r="CR194" i="1" s="1"/>
  <c r="CR168" i="1"/>
  <c r="CR169" i="1" s="1"/>
  <c r="CR170" i="1" s="1"/>
  <c r="CR171" i="1" s="1"/>
  <c r="CR172" i="1" s="1"/>
  <c r="CR173" i="1" s="1"/>
  <c r="CR174" i="1" s="1"/>
  <c r="CR175" i="1" s="1"/>
  <c r="CR176" i="1" s="1"/>
  <c r="CR177" i="1" s="1"/>
  <c r="CR178" i="1" s="1"/>
  <c r="CR179" i="1" s="1"/>
  <c r="DT120" i="1"/>
  <c r="DT121" i="1" s="1"/>
  <c r="DT122" i="1" s="1"/>
  <c r="DT123" i="1" s="1"/>
  <c r="DT124" i="1" s="1"/>
  <c r="DT125" i="1" s="1"/>
  <c r="DT126" i="1" s="1"/>
  <c r="DT127" i="1" s="1"/>
  <c r="DT128" i="1" s="1"/>
  <c r="DT129" i="1" s="1"/>
  <c r="DT130" i="1" s="1"/>
  <c r="DT131" i="1" s="1"/>
  <c r="CR135" i="1"/>
  <c r="CR136" i="1" s="1"/>
  <c r="CR137" i="1" s="1"/>
  <c r="CR138" i="1" s="1"/>
  <c r="CR139" i="1" s="1"/>
  <c r="CR140" i="1" s="1"/>
  <c r="CR141" i="1" s="1"/>
  <c r="CR142" i="1" s="1"/>
  <c r="CR143" i="1" s="1"/>
  <c r="CR144" i="1" s="1"/>
  <c r="CR145" i="1" s="1"/>
  <c r="CR146" i="1" s="1"/>
  <c r="CR120" i="1"/>
  <c r="CR121" i="1" s="1"/>
  <c r="CR122" i="1" s="1"/>
  <c r="CR123" i="1" s="1"/>
  <c r="CR124" i="1" s="1"/>
  <c r="CR125" i="1" s="1"/>
  <c r="CR126" i="1" s="1"/>
  <c r="CR127" i="1" s="1"/>
  <c r="CR128" i="1" s="1"/>
  <c r="CR129" i="1" s="1"/>
  <c r="CR130" i="1" s="1"/>
  <c r="CR131" i="1" s="1"/>
  <c r="DT72" i="1"/>
  <c r="DT73" i="1" s="1"/>
  <c r="DT74" i="1" s="1"/>
  <c r="DT75" i="1" s="1"/>
  <c r="DT76" i="1" s="1"/>
  <c r="DT77" i="1" s="1"/>
  <c r="DT78" i="1" s="1"/>
  <c r="DT79" i="1" s="1"/>
  <c r="DT80" i="1" s="1"/>
  <c r="DT81" i="1" s="1"/>
  <c r="DT82" i="1" s="1"/>
  <c r="DT83" i="1" s="1"/>
  <c r="CR87" i="1"/>
  <c r="CR88" i="1" s="1"/>
  <c r="CR89" i="1" s="1"/>
  <c r="CR90" i="1" s="1"/>
  <c r="CR91" i="1" s="1"/>
  <c r="CR92" i="1" s="1"/>
  <c r="CR93" i="1" s="1"/>
  <c r="CR94" i="1" s="1"/>
  <c r="CR95" i="1" s="1"/>
  <c r="CR96" i="1" s="1"/>
  <c r="CR97" i="1" s="1"/>
  <c r="CR98" i="1" s="1"/>
  <c r="CR72" i="1"/>
  <c r="CR73" i="1" s="1"/>
  <c r="CR74" i="1" s="1"/>
  <c r="CR75" i="1" s="1"/>
  <c r="CR76" i="1" s="1"/>
  <c r="CR77" i="1" s="1"/>
  <c r="CR78" i="1" s="1"/>
  <c r="CR79" i="1" s="1"/>
  <c r="CR80" i="1" s="1"/>
  <c r="CR81" i="1" s="1"/>
  <c r="CR82" i="1" s="1"/>
  <c r="CR83" i="1" s="1"/>
  <c r="DT23" i="1"/>
  <c r="DT24" i="1" s="1"/>
  <c r="DT25" i="1" s="1"/>
  <c r="DT26" i="1" s="1"/>
  <c r="DT27" i="1" s="1"/>
  <c r="DT28" i="1" s="1"/>
  <c r="DT29" i="1" s="1"/>
  <c r="DT30" i="1" s="1"/>
  <c r="DT31" i="1" s="1"/>
  <c r="DT32" i="1" s="1"/>
  <c r="DT33" i="1" s="1"/>
  <c r="DT34" i="1" s="1"/>
  <c r="CR23" i="1"/>
  <c r="CR24" i="1" s="1"/>
  <c r="CR25" i="1" s="1"/>
  <c r="CR26" i="1" s="1"/>
  <c r="CR27" i="1" s="1"/>
  <c r="CR28" i="1" s="1"/>
  <c r="CR29" i="1" s="1"/>
  <c r="CR30" i="1" s="1"/>
  <c r="CR31" i="1" s="1"/>
  <c r="CR32" i="1" s="1"/>
  <c r="CR33" i="1" s="1"/>
  <c r="CR34" i="1" s="1"/>
  <c r="BP23" i="1"/>
  <c r="BP24" i="1" s="1"/>
  <c r="BP25" i="1" s="1"/>
  <c r="BP26" i="1" s="1"/>
  <c r="BP27" i="1" s="1"/>
  <c r="BP28" i="1" s="1"/>
  <c r="BP29" i="1" s="1"/>
  <c r="BP30" i="1" s="1"/>
  <c r="BP31" i="1" s="1"/>
  <c r="BP32" i="1" s="1"/>
  <c r="BP33" i="1" s="1"/>
  <c r="BP34" i="1" s="1"/>
  <c r="AN23" i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L216" i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183" i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68" i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20" i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87" i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72" i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24" i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23" i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AA108" i="19" l="1"/>
  <c r="Z109" i="19"/>
  <c r="Z111" i="19" s="1"/>
  <c r="Z119" i="19"/>
  <c r="Z124" i="19"/>
  <c r="AA92" i="19"/>
  <c r="Z96" i="19"/>
  <c r="Z106" i="19"/>
  <c r="AN72" i="1"/>
  <c r="AN73" i="1" s="1"/>
  <c r="AN74" i="1" s="1"/>
  <c r="AN75" i="1" s="1"/>
  <c r="AN76" i="1" s="1"/>
  <c r="AN77" i="1" s="1"/>
  <c r="AN78" i="1" s="1"/>
  <c r="AN79" i="1" s="1"/>
  <c r="AN80" i="1" s="1"/>
  <c r="AN81" i="1" s="1"/>
  <c r="AN82" i="1" s="1"/>
  <c r="AN83" i="1" s="1"/>
  <c r="AN120" i="1"/>
  <c r="AN121" i="1" s="1"/>
  <c r="AN122" i="1" s="1"/>
  <c r="AN123" i="1" s="1"/>
  <c r="AN124" i="1" s="1"/>
  <c r="AN125" i="1" s="1"/>
  <c r="AN126" i="1" s="1"/>
  <c r="AN127" i="1" s="1"/>
  <c r="AN128" i="1" s="1"/>
  <c r="AN129" i="1" s="1"/>
  <c r="AN130" i="1" s="1"/>
  <c r="AN131" i="1" s="1"/>
  <c r="AN168" i="1"/>
  <c r="AN169" i="1" s="1"/>
  <c r="AN170" i="1" s="1"/>
  <c r="AN171" i="1" s="1"/>
  <c r="AN172" i="1" s="1"/>
  <c r="AN173" i="1" s="1"/>
  <c r="AN174" i="1" s="1"/>
  <c r="AN175" i="1" s="1"/>
  <c r="AN176" i="1" s="1"/>
  <c r="AN177" i="1" s="1"/>
  <c r="AN178" i="1" s="1"/>
  <c r="AN179" i="1" s="1"/>
  <c r="AN216" i="1"/>
  <c r="AN217" i="1" s="1"/>
  <c r="AN218" i="1" s="1"/>
  <c r="AN219" i="1" s="1"/>
  <c r="AN220" i="1" s="1"/>
  <c r="AN221" i="1" s="1"/>
  <c r="AN222" i="1" s="1"/>
  <c r="AN223" i="1" s="1"/>
  <c r="AN224" i="1" s="1"/>
  <c r="AN225" i="1" s="1"/>
  <c r="AN226" i="1" s="1"/>
  <c r="AN227" i="1" s="1"/>
  <c r="AN87" i="1"/>
  <c r="AN88" i="1" s="1"/>
  <c r="AN89" i="1" s="1"/>
  <c r="AN90" i="1" s="1"/>
  <c r="AN91" i="1" s="1"/>
  <c r="AN92" i="1" s="1"/>
  <c r="AN93" i="1" s="1"/>
  <c r="AN94" i="1" s="1"/>
  <c r="AN95" i="1" s="1"/>
  <c r="AN96" i="1" s="1"/>
  <c r="AN97" i="1" s="1"/>
  <c r="AN98" i="1" s="1"/>
  <c r="AN135" i="1"/>
  <c r="AN136" i="1" s="1"/>
  <c r="AN137" i="1" s="1"/>
  <c r="AN138" i="1" s="1"/>
  <c r="AN139" i="1" s="1"/>
  <c r="AN140" i="1" s="1"/>
  <c r="AN141" i="1" s="1"/>
  <c r="AN142" i="1" s="1"/>
  <c r="AN143" i="1" s="1"/>
  <c r="AN144" i="1" s="1"/>
  <c r="AN145" i="1" s="1"/>
  <c r="AN146" i="1" s="1"/>
  <c r="AN183" i="1"/>
  <c r="AN184" i="1" s="1"/>
  <c r="AN185" i="1" s="1"/>
  <c r="AN186" i="1" s="1"/>
  <c r="AN187" i="1" s="1"/>
  <c r="AN188" i="1" s="1"/>
  <c r="AN189" i="1" s="1"/>
  <c r="AN190" i="1" s="1"/>
  <c r="AN191" i="1" s="1"/>
  <c r="AN192" i="1" s="1"/>
  <c r="AN193" i="1" s="1"/>
  <c r="AN194" i="1" s="1"/>
  <c r="AN231" i="1"/>
  <c r="AN232" i="1" s="1"/>
  <c r="AN233" i="1" s="1"/>
  <c r="AN234" i="1" s="1"/>
  <c r="AN235" i="1" s="1"/>
  <c r="AN236" i="1" s="1"/>
  <c r="AN237" i="1" s="1"/>
  <c r="AN238" i="1" s="1"/>
  <c r="AN239" i="1" s="1"/>
  <c r="AN240" i="1" s="1"/>
  <c r="AN241" i="1" s="1"/>
  <c r="AN242" i="1" s="1"/>
  <c r="BP72" i="1"/>
  <c r="BP73" i="1" s="1"/>
  <c r="BP74" i="1" s="1"/>
  <c r="BP75" i="1" s="1"/>
  <c r="BP76" i="1" s="1"/>
  <c r="BP77" i="1" s="1"/>
  <c r="BP78" i="1" s="1"/>
  <c r="BP79" i="1" s="1"/>
  <c r="BP80" i="1" s="1"/>
  <c r="BP81" i="1" s="1"/>
  <c r="BP82" i="1" s="1"/>
  <c r="BP83" i="1" s="1"/>
  <c r="BP120" i="1"/>
  <c r="BP121" i="1" s="1"/>
  <c r="BP122" i="1" s="1"/>
  <c r="BP123" i="1" s="1"/>
  <c r="BP124" i="1" s="1"/>
  <c r="BP125" i="1" s="1"/>
  <c r="BP126" i="1" s="1"/>
  <c r="BP127" i="1" s="1"/>
  <c r="BP128" i="1" s="1"/>
  <c r="BP129" i="1" s="1"/>
  <c r="BP130" i="1" s="1"/>
  <c r="BP131" i="1" s="1"/>
  <c r="BP168" i="1"/>
  <c r="BP169" i="1" s="1"/>
  <c r="BP170" i="1" s="1"/>
  <c r="BP171" i="1" s="1"/>
  <c r="BP172" i="1" s="1"/>
  <c r="BP173" i="1" s="1"/>
  <c r="BP174" i="1" s="1"/>
  <c r="BP175" i="1" s="1"/>
  <c r="BP176" i="1" s="1"/>
  <c r="BP177" i="1" s="1"/>
  <c r="BP178" i="1" s="1"/>
  <c r="BP179" i="1" s="1"/>
  <c r="BP216" i="1"/>
  <c r="BP217" i="1" s="1"/>
  <c r="BP218" i="1" s="1"/>
  <c r="BP219" i="1" s="1"/>
  <c r="BP220" i="1" s="1"/>
  <c r="BP221" i="1" s="1"/>
  <c r="BP222" i="1" s="1"/>
  <c r="BP223" i="1" s="1"/>
  <c r="BP224" i="1" s="1"/>
  <c r="BP225" i="1" s="1"/>
  <c r="BP226" i="1" s="1"/>
  <c r="BP227" i="1" s="1"/>
  <c r="L38" i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135" i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BP87" i="1"/>
  <c r="BP88" i="1" s="1"/>
  <c r="BP89" i="1" s="1"/>
  <c r="BP90" i="1" s="1"/>
  <c r="BP91" i="1" s="1"/>
  <c r="BP92" i="1" s="1"/>
  <c r="BP93" i="1" s="1"/>
  <c r="BP94" i="1" s="1"/>
  <c r="BP95" i="1" s="1"/>
  <c r="BP96" i="1" s="1"/>
  <c r="BP97" i="1" s="1"/>
  <c r="BP98" i="1" s="1"/>
  <c r="DT87" i="1"/>
  <c r="DT88" i="1" s="1"/>
  <c r="DT89" i="1" s="1"/>
  <c r="DT90" i="1" s="1"/>
  <c r="DT91" i="1" s="1"/>
  <c r="DT92" i="1" s="1"/>
  <c r="DT93" i="1" s="1"/>
  <c r="DT94" i="1" s="1"/>
  <c r="DT95" i="1" s="1"/>
  <c r="DT96" i="1" s="1"/>
  <c r="DT97" i="1" s="1"/>
  <c r="DT98" i="1" s="1"/>
  <c r="BP135" i="1"/>
  <c r="BP136" i="1" s="1"/>
  <c r="BP137" i="1" s="1"/>
  <c r="BP138" i="1" s="1"/>
  <c r="BP139" i="1" s="1"/>
  <c r="BP140" i="1" s="1"/>
  <c r="BP141" i="1" s="1"/>
  <c r="BP142" i="1" s="1"/>
  <c r="BP143" i="1" s="1"/>
  <c r="BP144" i="1" s="1"/>
  <c r="BP145" i="1" s="1"/>
  <c r="BP146" i="1" s="1"/>
  <c r="DT135" i="1"/>
  <c r="DT136" i="1" s="1"/>
  <c r="DT137" i="1" s="1"/>
  <c r="DT138" i="1" s="1"/>
  <c r="DT139" i="1" s="1"/>
  <c r="DT140" i="1" s="1"/>
  <c r="DT141" i="1" s="1"/>
  <c r="DT142" i="1" s="1"/>
  <c r="DT143" i="1" s="1"/>
  <c r="DT144" i="1" s="1"/>
  <c r="DT145" i="1" s="1"/>
  <c r="DT146" i="1" s="1"/>
  <c r="BP183" i="1"/>
  <c r="BP184" i="1" s="1"/>
  <c r="BP185" i="1" s="1"/>
  <c r="BP186" i="1" s="1"/>
  <c r="BP187" i="1" s="1"/>
  <c r="BP188" i="1" s="1"/>
  <c r="BP189" i="1" s="1"/>
  <c r="BP190" i="1" s="1"/>
  <c r="BP191" i="1" s="1"/>
  <c r="BP192" i="1" s="1"/>
  <c r="BP193" i="1" s="1"/>
  <c r="BP194" i="1" s="1"/>
  <c r="DT183" i="1"/>
  <c r="DT184" i="1" s="1"/>
  <c r="DT185" i="1" s="1"/>
  <c r="DT186" i="1" s="1"/>
  <c r="DT187" i="1" s="1"/>
  <c r="DT188" i="1" s="1"/>
  <c r="DT189" i="1" s="1"/>
  <c r="DT190" i="1" s="1"/>
  <c r="DT191" i="1" s="1"/>
  <c r="DT192" i="1" s="1"/>
  <c r="DT193" i="1" s="1"/>
  <c r="DT194" i="1" s="1"/>
  <c r="BP231" i="1"/>
  <c r="BP232" i="1" s="1"/>
  <c r="BP233" i="1" s="1"/>
  <c r="BP234" i="1" s="1"/>
  <c r="BP235" i="1" s="1"/>
  <c r="BP236" i="1" s="1"/>
  <c r="BP237" i="1" s="1"/>
  <c r="BP238" i="1" s="1"/>
  <c r="BP239" i="1" s="1"/>
  <c r="BP240" i="1" s="1"/>
  <c r="BP241" i="1" s="1"/>
  <c r="BP242" i="1" s="1"/>
  <c r="DT231" i="1"/>
  <c r="DT232" i="1" s="1"/>
  <c r="DT233" i="1" s="1"/>
  <c r="DT234" i="1" s="1"/>
  <c r="DT235" i="1" s="1"/>
  <c r="DT236" i="1" s="1"/>
  <c r="DT237" i="1" s="1"/>
  <c r="DT238" i="1" s="1"/>
  <c r="DT239" i="1" s="1"/>
  <c r="DT240" i="1" s="1"/>
  <c r="DT241" i="1" s="1"/>
  <c r="DT242" i="1" s="1"/>
  <c r="AN38" i="1"/>
  <c r="AN39" i="1" s="1"/>
  <c r="AN40" i="1" s="1"/>
  <c r="AN41" i="1" s="1"/>
  <c r="AN42" i="1" s="1"/>
  <c r="AN43" i="1" s="1"/>
  <c r="AN44" i="1" s="1"/>
  <c r="AN45" i="1" s="1"/>
  <c r="AN46" i="1" s="1"/>
  <c r="AN47" i="1" s="1"/>
  <c r="AN48" i="1" s="1"/>
  <c r="AN49" i="1" s="1"/>
  <c r="BP38" i="1"/>
  <c r="BP39" i="1" s="1"/>
  <c r="BP40" i="1" s="1"/>
  <c r="BP41" i="1" s="1"/>
  <c r="BP42" i="1" s="1"/>
  <c r="BP43" i="1" s="1"/>
  <c r="BP44" i="1" s="1"/>
  <c r="BP45" i="1" s="1"/>
  <c r="BP46" i="1" s="1"/>
  <c r="BP47" i="1" s="1"/>
  <c r="BP48" i="1" s="1"/>
  <c r="BP49" i="1" s="1"/>
  <c r="CR38" i="1"/>
  <c r="CR39" i="1" s="1"/>
  <c r="CR40" i="1" s="1"/>
  <c r="CR41" i="1" s="1"/>
  <c r="CR42" i="1" s="1"/>
  <c r="CR43" i="1" s="1"/>
  <c r="CR44" i="1" s="1"/>
  <c r="CR45" i="1" s="1"/>
  <c r="CR46" i="1" s="1"/>
  <c r="CR47" i="1" s="1"/>
  <c r="CR48" i="1" s="1"/>
  <c r="CR49" i="1" s="1"/>
  <c r="DT38" i="1"/>
  <c r="DT39" i="1" s="1"/>
  <c r="DT40" i="1" s="1"/>
  <c r="DT41" i="1" s="1"/>
  <c r="DT42" i="1" s="1"/>
  <c r="DT43" i="1" s="1"/>
  <c r="DT44" i="1" s="1"/>
  <c r="DT45" i="1" s="1"/>
  <c r="DT46" i="1" s="1"/>
  <c r="DT47" i="1" s="1"/>
  <c r="DT48" i="1" s="1"/>
  <c r="DT49" i="1" s="1"/>
  <c r="J65" i="10"/>
  <c r="D7" i="10"/>
  <c r="AB108" i="19" l="1"/>
  <c r="AA109" i="19"/>
  <c r="AA111" i="19" s="1"/>
  <c r="AA119" i="19"/>
  <c r="AA124" i="19" s="1"/>
  <c r="AB92" i="19"/>
  <c r="AA106" i="19"/>
  <c r="AA96" i="19"/>
  <c r="D19" i="9"/>
  <c r="I35" i="5"/>
  <c r="I34" i="5"/>
  <c r="I33" i="5"/>
  <c r="I32" i="5"/>
  <c r="I31" i="5"/>
  <c r="H35" i="5"/>
  <c r="H34" i="5"/>
  <c r="H33" i="5"/>
  <c r="H31" i="5"/>
  <c r="G35" i="5"/>
  <c r="G33" i="5"/>
  <c r="G32" i="5"/>
  <c r="G31" i="5"/>
  <c r="F34" i="5"/>
  <c r="F33" i="5"/>
  <c r="F32" i="5"/>
  <c r="F31" i="5"/>
  <c r="E35" i="5"/>
  <c r="AC108" i="19" l="1"/>
  <c r="AB119" i="19"/>
  <c r="AB124" i="19" s="1"/>
  <c r="AB109" i="19"/>
  <c r="AB111" i="19"/>
  <c r="AC92" i="19"/>
  <c r="AB106" i="19"/>
  <c r="AB96" i="19"/>
  <c r="E34" i="5"/>
  <c r="E33" i="5"/>
  <c r="E32" i="5"/>
  <c r="K20" i="5"/>
  <c r="F260" i="8"/>
  <c r="F259" i="8"/>
  <c r="F258" i="8"/>
  <c r="F257" i="8"/>
  <c r="F256" i="8"/>
  <c r="F255" i="8"/>
  <c r="F254" i="8"/>
  <c r="F253" i="8"/>
  <c r="F252" i="8"/>
  <c r="F251" i="8"/>
  <c r="F250" i="8"/>
  <c r="F249" i="8"/>
  <c r="F248" i="8"/>
  <c r="F247" i="8"/>
  <c r="F246" i="8"/>
  <c r="F245" i="8"/>
  <c r="F244" i="8"/>
  <c r="F243" i="8"/>
  <c r="F242" i="8"/>
  <c r="F241" i="8"/>
  <c r="F240" i="8"/>
  <c r="F239" i="8"/>
  <c r="F238" i="8"/>
  <c r="F237" i="8"/>
  <c r="F236" i="8"/>
  <c r="F235" i="8"/>
  <c r="F234" i="8"/>
  <c r="F233" i="8"/>
  <c r="F232" i="8"/>
  <c r="F231" i="8"/>
  <c r="F230" i="8"/>
  <c r="F229" i="8"/>
  <c r="F228" i="8"/>
  <c r="F227" i="8"/>
  <c r="F226" i="8"/>
  <c r="F225" i="8"/>
  <c r="F224" i="8"/>
  <c r="F223" i="8"/>
  <c r="F222" i="8"/>
  <c r="F221" i="8"/>
  <c r="F220" i="8"/>
  <c r="F219" i="8"/>
  <c r="F218" i="8"/>
  <c r="F217" i="8"/>
  <c r="F216" i="8"/>
  <c r="F215" i="8"/>
  <c r="F214" i="8"/>
  <c r="F213" i="8"/>
  <c r="F212" i="8"/>
  <c r="F211" i="8"/>
  <c r="F210" i="8"/>
  <c r="F209" i="8"/>
  <c r="F208" i="8"/>
  <c r="F207" i="8"/>
  <c r="F206" i="8"/>
  <c r="F205" i="8"/>
  <c r="F204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F182" i="8"/>
  <c r="F181" i="8"/>
  <c r="F180" i="8"/>
  <c r="F179" i="8"/>
  <c r="F178" i="8"/>
  <c r="F177" i="8"/>
  <c r="F176" i="8"/>
  <c r="F175" i="8"/>
  <c r="F174" i="8"/>
  <c r="F173" i="8"/>
  <c r="F172" i="8"/>
  <c r="F171" i="8"/>
  <c r="F170" i="8"/>
  <c r="F169" i="8"/>
  <c r="F168" i="8"/>
  <c r="F167" i="8"/>
  <c r="F166" i="8"/>
  <c r="F165" i="8"/>
  <c r="F164" i="8"/>
  <c r="F163" i="8"/>
  <c r="F162" i="8"/>
  <c r="F161" i="8"/>
  <c r="F160" i="8"/>
  <c r="F159" i="8"/>
  <c r="F158" i="8"/>
  <c r="F157" i="8"/>
  <c r="F156" i="8"/>
  <c r="F155" i="8"/>
  <c r="F154" i="8"/>
  <c r="F153" i="8"/>
  <c r="F152" i="8"/>
  <c r="F151" i="8"/>
  <c r="F150" i="8"/>
  <c r="F149" i="8"/>
  <c r="F148" i="8"/>
  <c r="F147" i="8"/>
  <c r="F146" i="8"/>
  <c r="F145" i="8"/>
  <c r="F144" i="8"/>
  <c r="F143" i="8"/>
  <c r="F142" i="8"/>
  <c r="F141" i="8"/>
  <c r="AD108" i="19" l="1"/>
  <c r="AC119" i="19"/>
  <c r="AC124" i="19" s="1"/>
  <c r="AC109" i="19"/>
  <c r="AC111" i="19" s="1"/>
  <c r="AD92" i="19"/>
  <c r="AC106" i="19"/>
  <c r="AC96" i="19"/>
  <c r="H32" i="5"/>
  <c r="O59" i="19"/>
  <c r="G34" i="5"/>
  <c r="BJ289" i="8"/>
  <c r="BD289" i="8"/>
  <c r="AX289" i="8"/>
  <c r="AP289" i="8"/>
  <c r="AI289" i="8"/>
  <c r="BJ288" i="8"/>
  <c r="BD288" i="8"/>
  <c r="AX288" i="8"/>
  <c r="AP288" i="8"/>
  <c r="AI288" i="8"/>
  <c r="BJ287" i="8"/>
  <c r="BD287" i="8"/>
  <c r="AX287" i="8"/>
  <c r="AP287" i="8"/>
  <c r="AI287" i="8"/>
  <c r="BJ283" i="8"/>
  <c r="BD283" i="8"/>
  <c r="AX283" i="8"/>
  <c r="AP283" i="8"/>
  <c r="AI283" i="8"/>
  <c r="BJ282" i="8"/>
  <c r="BD282" i="8"/>
  <c r="AX282" i="8"/>
  <c r="AP282" i="8"/>
  <c r="AI282" i="8"/>
  <c r="BJ281" i="8"/>
  <c r="BD281" i="8"/>
  <c r="AX281" i="8"/>
  <c r="AP281" i="8"/>
  <c r="AI281" i="8"/>
  <c r="BJ277" i="8"/>
  <c r="BD277" i="8"/>
  <c r="AX277" i="8"/>
  <c r="AP277" i="8"/>
  <c r="AI277" i="8"/>
  <c r="BJ276" i="8"/>
  <c r="BD276" i="8"/>
  <c r="AX276" i="8"/>
  <c r="AP276" i="8"/>
  <c r="AI276" i="8"/>
  <c r="BJ275" i="8"/>
  <c r="BD275" i="8"/>
  <c r="AX275" i="8"/>
  <c r="AP275" i="8"/>
  <c r="AI275" i="8"/>
  <c r="BJ271" i="8"/>
  <c r="BD271" i="8"/>
  <c r="AX271" i="8"/>
  <c r="AP271" i="8"/>
  <c r="AI271" i="8"/>
  <c r="BJ270" i="8"/>
  <c r="BD270" i="8"/>
  <c r="AX270" i="8"/>
  <c r="AP270" i="8"/>
  <c r="AI270" i="8"/>
  <c r="BJ269" i="8"/>
  <c r="BD269" i="8"/>
  <c r="AX269" i="8"/>
  <c r="AP269" i="8"/>
  <c r="AI269" i="8"/>
  <c r="BJ265" i="8"/>
  <c r="BD265" i="8"/>
  <c r="AX265" i="8"/>
  <c r="AP265" i="8"/>
  <c r="AI265" i="8"/>
  <c r="BJ264" i="8"/>
  <c r="BD264" i="8"/>
  <c r="AX264" i="8"/>
  <c r="AP264" i="8"/>
  <c r="AI264" i="8"/>
  <c r="BJ263" i="8"/>
  <c r="BD263" i="8"/>
  <c r="AX263" i="8"/>
  <c r="AP263" i="8"/>
  <c r="AI263" i="8"/>
  <c r="AI260" i="8"/>
  <c r="AI248" i="8"/>
  <c r="AI259" i="8"/>
  <c r="AI247" i="8"/>
  <c r="AI258" i="8"/>
  <c r="AI246" i="8"/>
  <c r="AI257" i="8"/>
  <c r="AI245" i="8"/>
  <c r="AI244" i="8"/>
  <c r="AI256" i="8"/>
  <c r="AI255" i="8"/>
  <c r="AI243" i="8"/>
  <c r="AI242" i="8"/>
  <c r="AI254" i="8"/>
  <c r="AI241" i="8"/>
  <c r="AI253" i="8"/>
  <c r="AI240" i="8"/>
  <c r="AI252" i="8"/>
  <c r="AI239" i="8"/>
  <c r="AI251" i="8"/>
  <c r="AI238" i="8"/>
  <c r="AI250" i="8"/>
  <c r="AI249" i="8"/>
  <c r="AI237" i="8"/>
  <c r="AI236" i="8"/>
  <c r="AI224" i="8"/>
  <c r="AI235" i="8"/>
  <c r="AI223" i="8"/>
  <c r="AI234" i="8"/>
  <c r="AI222" i="8"/>
  <c r="AI233" i="8"/>
  <c r="AI221" i="8"/>
  <c r="AI232" i="8"/>
  <c r="AI220" i="8"/>
  <c r="AI231" i="8"/>
  <c r="AI219" i="8"/>
  <c r="AI218" i="8"/>
  <c r="AI230" i="8"/>
  <c r="AI217" i="8"/>
  <c r="AI229" i="8"/>
  <c r="AI228" i="8"/>
  <c r="AI216" i="8"/>
  <c r="AI215" i="8"/>
  <c r="AI227" i="8"/>
  <c r="AI226" i="8"/>
  <c r="AI214" i="8"/>
  <c r="AI213" i="8"/>
  <c r="AI225" i="8"/>
  <c r="AI200" i="8"/>
  <c r="AI212" i="8"/>
  <c r="AI211" i="8"/>
  <c r="AI199" i="8"/>
  <c r="AI210" i="8"/>
  <c r="AI198" i="8"/>
  <c r="AI209" i="8"/>
  <c r="AI197" i="8"/>
  <c r="AI196" i="8"/>
  <c r="AI208" i="8"/>
  <c r="AI195" i="8"/>
  <c r="AI207" i="8"/>
  <c r="AI206" i="8"/>
  <c r="AI194" i="8"/>
  <c r="AI205" i="8"/>
  <c r="AI193" i="8"/>
  <c r="AI204" i="8"/>
  <c r="AI192" i="8"/>
  <c r="AI191" i="8"/>
  <c r="AI203" i="8"/>
  <c r="AI202" i="8"/>
  <c r="AI190" i="8"/>
  <c r="AI201" i="8"/>
  <c r="AI189" i="8"/>
  <c r="AI176" i="8"/>
  <c r="AI188" i="8"/>
  <c r="AI187" i="8"/>
  <c r="AI175" i="8"/>
  <c r="AI186" i="8"/>
  <c r="AI174" i="8"/>
  <c r="AI185" i="8"/>
  <c r="AI173" i="8"/>
  <c r="AI184" i="8"/>
  <c r="AI172" i="8"/>
  <c r="AI183" i="8"/>
  <c r="AI171" i="8"/>
  <c r="AI182" i="8"/>
  <c r="AI170" i="8"/>
  <c r="AI169" i="8"/>
  <c r="AI181" i="8"/>
  <c r="AI180" i="8"/>
  <c r="AK171" i="8"/>
  <c r="AI168" i="8"/>
  <c r="AI179" i="8"/>
  <c r="AI167" i="8"/>
  <c r="AI166" i="8"/>
  <c r="AI178" i="8"/>
  <c r="AI165" i="8"/>
  <c r="AI177" i="8"/>
  <c r="AI152" i="8"/>
  <c r="AI164" i="8"/>
  <c r="AI163" i="8"/>
  <c r="AK161" i="8"/>
  <c r="AI151" i="8"/>
  <c r="AI162" i="8"/>
  <c r="AI150" i="8"/>
  <c r="AI161" i="8"/>
  <c r="AI149" i="8"/>
  <c r="AI148" i="8"/>
  <c r="AK155" i="8"/>
  <c r="AI160" i="8"/>
  <c r="AI159" i="8"/>
  <c r="AI147" i="8"/>
  <c r="AI158" i="8"/>
  <c r="AI146" i="8"/>
  <c r="AI145" i="8"/>
  <c r="AI157" i="8"/>
  <c r="AI144" i="8"/>
  <c r="AI156" i="8"/>
  <c r="AI143" i="8"/>
  <c r="AI155" i="8"/>
  <c r="AI142" i="8"/>
  <c r="AI154" i="8"/>
  <c r="AI141" i="8"/>
  <c r="AI153" i="8"/>
  <c r="AY134" i="8"/>
  <c r="AO134" i="8"/>
  <c r="AY133" i="8"/>
  <c r="AO133" i="8"/>
  <c r="AY132" i="8"/>
  <c r="AO132" i="8"/>
  <c r="AY131" i="8"/>
  <c r="AO131" i="8"/>
  <c r="AY130" i="8"/>
  <c r="AO130" i="8"/>
  <c r="AY129" i="8"/>
  <c r="AO129" i="8"/>
  <c r="AY128" i="8"/>
  <c r="AO128" i="8"/>
  <c r="AY127" i="8"/>
  <c r="AO127" i="8"/>
  <c r="AY126" i="8"/>
  <c r="AO126" i="8"/>
  <c r="AY125" i="8"/>
  <c r="AO125" i="8"/>
  <c r="AY124" i="8"/>
  <c r="AO124" i="8"/>
  <c r="AY123" i="8"/>
  <c r="AO123" i="8"/>
  <c r="BH120" i="8"/>
  <c r="AY120" i="8"/>
  <c r="AO120" i="8"/>
  <c r="BH119" i="8"/>
  <c r="AY119" i="8"/>
  <c r="AO119" i="8"/>
  <c r="BH118" i="8"/>
  <c r="AY118" i="8"/>
  <c r="AO118" i="8"/>
  <c r="BH117" i="8"/>
  <c r="AY117" i="8"/>
  <c r="AO117" i="8"/>
  <c r="BH116" i="8"/>
  <c r="AY116" i="8"/>
  <c r="AO116" i="8"/>
  <c r="BH115" i="8"/>
  <c r="AY115" i="8"/>
  <c r="AO115" i="8"/>
  <c r="BH114" i="8"/>
  <c r="AY114" i="8"/>
  <c r="AO114" i="8"/>
  <c r="BH113" i="8"/>
  <c r="AY113" i="8"/>
  <c r="AO113" i="8"/>
  <c r="BH112" i="8"/>
  <c r="AY112" i="8"/>
  <c r="AO112" i="8"/>
  <c r="BH111" i="8"/>
  <c r="AY111" i="8"/>
  <c r="AO111" i="8"/>
  <c r="BH110" i="8"/>
  <c r="AY110" i="8"/>
  <c r="AO110" i="8"/>
  <c r="BH109" i="8"/>
  <c r="AY109" i="8"/>
  <c r="AO109" i="8"/>
  <c r="AO289" i="7"/>
  <c r="AI289" i="7"/>
  <c r="AC289" i="7"/>
  <c r="U289" i="7"/>
  <c r="N289" i="7"/>
  <c r="AO288" i="7"/>
  <c r="AI288" i="7"/>
  <c r="AC288" i="7"/>
  <c r="U288" i="7"/>
  <c r="N288" i="7"/>
  <c r="AO287" i="7"/>
  <c r="AI287" i="7"/>
  <c r="AC287" i="7"/>
  <c r="U287" i="7"/>
  <c r="N287" i="7"/>
  <c r="AO283" i="7"/>
  <c r="AI283" i="7"/>
  <c r="AC283" i="7"/>
  <c r="U283" i="7"/>
  <c r="N283" i="7"/>
  <c r="AO282" i="7"/>
  <c r="AI282" i="7"/>
  <c r="AC282" i="7"/>
  <c r="U282" i="7"/>
  <c r="N282" i="7"/>
  <c r="AO281" i="7"/>
  <c r="AI281" i="7"/>
  <c r="AC281" i="7"/>
  <c r="U281" i="7"/>
  <c r="N281" i="7"/>
  <c r="AO277" i="7"/>
  <c r="AI277" i="7"/>
  <c r="AC277" i="7"/>
  <c r="U277" i="7"/>
  <c r="N277" i="7"/>
  <c r="AO276" i="7"/>
  <c r="AI276" i="7"/>
  <c r="AC276" i="7"/>
  <c r="U276" i="7"/>
  <c r="N276" i="7"/>
  <c r="AO275" i="7"/>
  <c r="AI275" i="7"/>
  <c r="AC275" i="7"/>
  <c r="U275" i="7"/>
  <c r="N275" i="7"/>
  <c r="AO271" i="7"/>
  <c r="AI271" i="7"/>
  <c r="AC271" i="7"/>
  <c r="U271" i="7"/>
  <c r="N271" i="7"/>
  <c r="AO270" i="7"/>
  <c r="AI270" i="7"/>
  <c r="AC270" i="7"/>
  <c r="U270" i="7"/>
  <c r="N270" i="7"/>
  <c r="AO269" i="7"/>
  <c r="AI269" i="7"/>
  <c r="AC269" i="7"/>
  <c r="U269" i="7"/>
  <c r="N269" i="7"/>
  <c r="AO265" i="7"/>
  <c r="AI265" i="7"/>
  <c r="AC265" i="7"/>
  <c r="U265" i="7"/>
  <c r="N265" i="7"/>
  <c r="AO264" i="7"/>
  <c r="AI264" i="7"/>
  <c r="AC264" i="7"/>
  <c r="U264" i="7"/>
  <c r="N264" i="7"/>
  <c r="AO263" i="7"/>
  <c r="AI263" i="7"/>
  <c r="AC263" i="7"/>
  <c r="U263" i="7"/>
  <c r="N263" i="7"/>
  <c r="N152" i="7"/>
  <c r="N238" i="7"/>
  <c r="N148" i="7"/>
  <c r="N184" i="7"/>
  <c r="N250" i="7"/>
  <c r="N224" i="7"/>
  <c r="N186" i="7"/>
  <c r="N230" i="7"/>
  <c r="N254" i="7"/>
  <c r="N256" i="7"/>
  <c r="N182" i="7"/>
  <c r="N168" i="7"/>
  <c r="N214" i="7"/>
  <c r="N198" i="7"/>
  <c r="N150" i="7"/>
  <c r="N197" i="7"/>
  <c r="N174" i="7"/>
  <c r="N253" i="7"/>
  <c r="N216" i="7"/>
  <c r="N160" i="7"/>
  <c r="N208" i="7"/>
  <c r="N260" i="7"/>
  <c r="N162" i="7"/>
  <c r="N244" i="7"/>
  <c r="N172" i="7"/>
  <c r="N226" i="7"/>
  <c r="N181" i="7"/>
  <c r="N258" i="7"/>
  <c r="N257" i="7"/>
  <c r="N243" i="7"/>
  <c r="N170" i="7"/>
  <c r="N178" i="7"/>
  <c r="N220" i="7"/>
  <c r="N167" i="7"/>
  <c r="N215" i="7"/>
  <c r="N218" i="7"/>
  <c r="N204" i="7"/>
  <c r="N194" i="7"/>
  <c r="N202" i="7"/>
  <c r="N146" i="7"/>
  <c r="N203" i="7"/>
  <c r="N149" i="7"/>
  <c r="N158" i="7"/>
  <c r="N193" i="7"/>
  <c r="N213" i="7"/>
  <c r="N157" i="7"/>
  <c r="N259" i="7"/>
  <c r="N223" i="7"/>
  <c r="N154" i="7"/>
  <c r="N219" i="7"/>
  <c r="N236" i="7"/>
  <c r="N201" i="7"/>
  <c r="N156" i="7"/>
  <c r="N155" i="7"/>
  <c r="N166" i="7"/>
  <c r="N185" i="7"/>
  <c r="N225" i="7"/>
  <c r="N164" i="7"/>
  <c r="N207" i="7"/>
  <c r="N229" i="7"/>
  <c r="N242" i="7"/>
  <c r="N222" i="7"/>
  <c r="N210" i="7"/>
  <c r="N147" i="7"/>
  <c r="N217" i="7"/>
  <c r="N188" i="7"/>
  <c r="N237" i="7"/>
  <c r="N163" i="7"/>
  <c r="N145" i="7"/>
  <c r="N144" i="7"/>
  <c r="N169" i="7"/>
  <c r="N151" i="7"/>
  <c r="N255" i="7"/>
  <c r="N183" i="7"/>
  <c r="N234" i="7"/>
  <c r="N187" i="7"/>
  <c r="N171" i="7"/>
  <c r="N192" i="7"/>
  <c r="N177" i="7"/>
  <c r="N196" i="7"/>
  <c r="N248" i="7"/>
  <c r="N246" i="7"/>
  <c r="N228" i="7"/>
  <c r="N153" i="7"/>
  <c r="N173" i="7"/>
  <c r="N233" i="7"/>
  <c r="N176" i="7"/>
  <c r="N240" i="7"/>
  <c r="N252" i="7"/>
  <c r="P171" i="7"/>
  <c r="N212" i="7"/>
  <c r="N175" i="7"/>
  <c r="N241" i="7"/>
  <c r="N209" i="7"/>
  <c r="N165" i="7"/>
  <c r="N206" i="7"/>
  <c r="N142" i="7"/>
  <c r="N200" i="7"/>
  <c r="N199" i="7"/>
  <c r="N141" i="7"/>
  <c r="P161" i="7"/>
  <c r="N205" i="7"/>
  <c r="N245" i="7"/>
  <c r="N180" i="7"/>
  <c r="N161" i="7"/>
  <c r="N249" i="7"/>
  <c r="N232" i="7"/>
  <c r="P155" i="7"/>
  <c r="N190" i="7"/>
  <c r="N251" i="7"/>
  <c r="N143" i="7"/>
  <c r="N235" i="7"/>
  <c r="N189" i="7"/>
  <c r="N211" i="7"/>
  <c r="N191" i="7"/>
  <c r="N227" i="7"/>
  <c r="N195" i="7"/>
  <c r="N239" i="7"/>
  <c r="N231" i="7"/>
  <c r="N221" i="7"/>
  <c r="N159" i="7"/>
  <c r="N247" i="7"/>
  <c r="N179" i="7"/>
  <c r="AD134" i="7"/>
  <c r="T134" i="7"/>
  <c r="AD133" i="7"/>
  <c r="T133" i="7"/>
  <c r="AD132" i="7"/>
  <c r="T132" i="7"/>
  <c r="AD131" i="7"/>
  <c r="T131" i="7"/>
  <c r="AD130" i="7"/>
  <c r="T130" i="7"/>
  <c r="AD129" i="7"/>
  <c r="T129" i="7"/>
  <c r="AD128" i="7"/>
  <c r="T128" i="7"/>
  <c r="AD127" i="7"/>
  <c r="T127" i="7"/>
  <c r="AD126" i="7"/>
  <c r="T126" i="7"/>
  <c r="AD125" i="7"/>
  <c r="T125" i="7"/>
  <c r="AD124" i="7"/>
  <c r="T124" i="7"/>
  <c r="AD123" i="7"/>
  <c r="T123" i="7"/>
  <c r="AM120" i="7"/>
  <c r="AD120" i="7"/>
  <c r="T120" i="7"/>
  <c r="AM119" i="7"/>
  <c r="AD119" i="7"/>
  <c r="T119" i="7"/>
  <c r="AM118" i="7"/>
  <c r="AD118" i="7"/>
  <c r="T118" i="7"/>
  <c r="AM117" i="7"/>
  <c r="AD117" i="7"/>
  <c r="T117" i="7"/>
  <c r="AM116" i="7"/>
  <c r="AD116" i="7"/>
  <c r="T116" i="7"/>
  <c r="AM115" i="7"/>
  <c r="AD115" i="7"/>
  <c r="T115" i="7"/>
  <c r="AM114" i="7"/>
  <c r="AD114" i="7"/>
  <c r="T114" i="7"/>
  <c r="AM113" i="7"/>
  <c r="AD113" i="7"/>
  <c r="T113" i="7"/>
  <c r="AM112" i="7"/>
  <c r="AD112" i="7"/>
  <c r="T112" i="7"/>
  <c r="AM111" i="7"/>
  <c r="AD111" i="7"/>
  <c r="T111" i="7"/>
  <c r="AM110" i="7"/>
  <c r="AD110" i="7"/>
  <c r="T110" i="7"/>
  <c r="AM109" i="7"/>
  <c r="AD109" i="7"/>
  <c r="T109" i="7"/>
  <c r="AE108" i="19" l="1"/>
  <c r="AD109" i="19"/>
  <c r="AD111" i="19" s="1"/>
  <c r="AD119" i="19"/>
  <c r="AD124" i="19"/>
  <c r="AE92" i="19"/>
  <c r="AD96" i="19"/>
  <c r="AD106" i="19"/>
  <c r="AK260" i="8"/>
  <c r="P260" i="7"/>
  <c r="AF108" i="19" l="1"/>
  <c r="AE109" i="19"/>
  <c r="AE111" i="19" s="1"/>
  <c r="AE119" i="19"/>
  <c r="AE124" i="19" s="1"/>
  <c r="AF92" i="19"/>
  <c r="AE96" i="19"/>
  <c r="AE106" i="19"/>
  <c r="AK5" i="2"/>
  <c r="AC5" i="2"/>
  <c r="U5" i="2"/>
  <c r="M5" i="2"/>
  <c r="AF119" i="19" l="1"/>
  <c r="AF109" i="19"/>
  <c r="AF111" i="19"/>
  <c r="AF124" i="19"/>
  <c r="AF106" i="19"/>
  <c r="AF96" i="19"/>
  <c r="DO204" i="1"/>
  <c r="DN204" i="1"/>
  <c r="DM204" i="1"/>
  <c r="DL204" i="1"/>
  <c r="DK204" i="1"/>
  <c r="CM204" i="1"/>
  <c r="CL204" i="1"/>
  <c r="CK204" i="1"/>
  <c r="CJ204" i="1"/>
  <c r="CI204" i="1"/>
  <c r="BK204" i="1"/>
  <c r="BJ204" i="1"/>
  <c r="BI204" i="1"/>
  <c r="BH204" i="1"/>
  <c r="BG204" i="1"/>
  <c r="AI204" i="1"/>
  <c r="AH204" i="1"/>
  <c r="AG204" i="1"/>
  <c r="AF204" i="1"/>
  <c r="AE204" i="1"/>
  <c r="G204" i="1"/>
  <c r="F204" i="1"/>
  <c r="E204" i="1"/>
  <c r="D204" i="1"/>
  <c r="C204" i="1"/>
  <c r="DO203" i="1"/>
  <c r="DN203" i="1"/>
  <c r="DM203" i="1"/>
  <c r="DL203" i="1"/>
  <c r="DK203" i="1"/>
  <c r="CM203" i="1"/>
  <c r="CL203" i="1"/>
  <c r="CK203" i="1"/>
  <c r="CJ203" i="1"/>
  <c r="CI203" i="1"/>
  <c r="BK203" i="1"/>
  <c r="BJ203" i="1"/>
  <c r="BI203" i="1"/>
  <c r="BH203" i="1"/>
  <c r="BL203" i="1" s="1"/>
  <c r="BG203" i="1"/>
  <c r="AI203" i="1"/>
  <c r="AH203" i="1"/>
  <c r="AG203" i="1"/>
  <c r="AF203" i="1"/>
  <c r="AE203" i="1"/>
  <c r="G203" i="1"/>
  <c r="F203" i="1"/>
  <c r="E203" i="1"/>
  <c r="D203" i="1"/>
  <c r="C203" i="1"/>
  <c r="DO202" i="1"/>
  <c r="DN202" i="1"/>
  <c r="DM202" i="1"/>
  <c r="DL202" i="1"/>
  <c r="DK202" i="1"/>
  <c r="CM202" i="1"/>
  <c r="CL202" i="1"/>
  <c r="CK202" i="1"/>
  <c r="CJ202" i="1"/>
  <c r="CI202" i="1"/>
  <c r="BK202" i="1"/>
  <c r="BJ202" i="1"/>
  <c r="BI202" i="1"/>
  <c r="BH202" i="1"/>
  <c r="BG202" i="1"/>
  <c r="AI202" i="1"/>
  <c r="AH202" i="1"/>
  <c r="AG202" i="1"/>
  <c r="AF202" i="1"/>
  <c r="AE202" i="1"/>
  <c r="G202" i="1"/>
  <c r="F202" i="1"/>
  <c r="E202" i="1"/>
  <c r="D202" i="1"/>
  <c r="C202" i="1"/>
  <c r="DO201" i="1"/>
  <c r="DN201" i="1"/>
  <c r="DM201" i="1"/>
  <c r="DL201" i="1"/>
  <c r="DK201" i="1"/>
  <c r="CM201" i="1"/>
  <c r="CL201" i="1"/>
  <c r="CK201" i="1"/>
  <c r="CJ201" i="1"/>
  <c r="CI201" i="1"/>
  <c r="BK201" i="1"/>
  <c r="BJ201" i="1"/>
  <c r="BI201" i="1"/>
  <c r="BH201" i="1"/>
  <c r="BG201" i="1"/>
  <c r="AI201" i="1"/>
  <c r="AH201" i="1"/>
  <c r="AG201" i="1"/>
  <c r="AF201" i="1"/>
  <c r="AE201" i="1"/>
  <c r="G201" i="1"/>
  <c r="F201" i="1"/>
  <c r="E201" i="1"/>
  <c r="D201" i="1"/>
  <c r="C201" i="1"/>
  <c r="DO200" i="1"/>
  <c r="DN200" i="1"/>
  <c r="DM200" i="1"/>
  <c r="DL200" i="1"/>
  <c r="DK200" i="1"/>
  <c r="CM200" i="1"/>
  <c r="CL200" i="1"/>
  <c r="CK200" i="1"/>
  <c r="CJ200" i="1"/>
  <c r="CI200" i="1"/>
  <c r="BK200" i="1"/>
  <c r="BJ200" i="1"/>
  <c r="BI200" i="1"/>
  <c r="BH200" i="1"/>
  <c r="BG200" i="1"/>
  <c r="AI200" i="1"/>
  <c r="AH200" i="1"/>
  <c r="AG200" i="1"/>
  <c r="AF200" i="1"/>
  <c r="AE200" i="1"/>
  <c r="G200" i="1"/>
  <c r="F200" i="1"/>
  <c r="F205" i="1" s="1"/>
  <c r="E200" i="1"/>
  <c r="D200" i="1"/>
  <c r="C200" i="1"/>
  <c r="DL157" i="1"/>
  <c r="CL157" i="1"/>
  <c r="AH157" i="1"/>
  <c r="DO156" i="1"/>
  <c r="DN156" i="1"/>
  <c r="DM156" i="1"/>
  <c r="DL156" i="1"/>
  <c r="DK156" i="1"/>
  <c r="CT156" i="1"/>
  <c r="CM156" i="1"/>
  <c r="CL156" i="1"/>
  <c r="CK156" i="1"/>
  <c r="CJ156" i="1"/>
  <c r="CI156" i="1"/>
  <c r="BK156" i="1"/>
  <c r="BJ156" i="1"/>
  <c r="BI156" i="1"/>
  <c r="BH156" i="1"/>
  <c r="BG156" i="1"/>
  <c r="AP156" i="1"/>
  <c r="AI156" i="1"/>
  <c r="AH156" i="1"/>
  <c r="AG156" i="1"/>
  <c r="AF156" i="1"/>
  <c r="AE156" i="1"/>
  <c r="G156" i="1"/>
  <c r="F156" i="1"/>
  <c r="E156" i="1"/>
  <c r="D156" i="1"/>
  <c r="C156" i="1"/>
  <c r="DO155" i="1"/>
  <c r="DN155" i="1"/>
  <c r="DM155" i="1"/>
  <c r="DL155" i="1"/>
  <c r="DK155" i="1"/>
  <c r="CT155" i="1"/>
  <c r="CM155" i="1"/>
  <c r="CL155" i="1"/>
  <c r="CK155" i="1"/>
  <c r="CJ155" i="1"/>
  <c r="CI155" i="1"/>
  <c r="BK155" i="1"/>
  <c r="BJ155" i="1"/>
  <c r="BI155" i="1"/>
  <c r="BH155" i="1"/>
  <c r="BG155" i="1"/>
  <c r="AP155" i="1"/>
  <c r="AI155" i="1"/>
  <c r="AH155" i="1"/>
  <c r="AG155" i="1"/>
  <c r="AF155" i="1"/>
  <c r="AE155" i="1"/>
  <c r="G155" i="1"/>
  <c r="F155" i="1"/>
  <c r="E155" i="1"/>
  <c r="D155" i="1"/>
  <c r="C155" i="1"/>
  <c r="DO154" i="1"/>
  <c r="DN154" i="1"/>
  <c r="DM154" i="1"/>
  <c r="DL154" i="1"/>
  <c r="DK154" i="1"/>
  <c r="CT154" i="1"/>
  <c r="CM154" i="1"/>
  <c r="CL154" i="1"/>
  <c r="CK154" i="1"/>
  <c r="CJ154" i="1"/>
  <c r="CI154" i="1"/>
  <c r="BK154" i="1"/>
  <c r="BJ154" i="1"/>
  <c r="BI154" i="1"/>
  <c r="BH154" i="1"/>
  <c r="BG154" i="1"/>
  <c r="AP154" i="1"/>
  <c r="AI154" i="1"/>
  <c r="AH154" i="1"/>
  <c r="AG154" i="1"/>
  <c r="AF154" i="1"/>
  <c r="AE154" i="1"/>
  <c r="G154" i="1"/>
  <c r="F154" i="1"/>
  <c r="E154" i="1"/>
  <c r="D154" i="1"/>
  <c r="C154" i="1"/>
  <c r="DO153" i="1"/>
  <c r="DN153" i="1"/>
  <c r="DM153" i="1"/>
  <c r="DL153" i="1"/>
  <c r="DK153" i="1"/>
  <c r="CT153" i="1"/>
  <c r="CM153" i="1"/>
  <c r="CL153" i="1"/>
  <c r="CK153" i="1"/>
  <c r="CJ153" i="1"/>
  <c r="CI153" i="1"/>
  <c r="BK153" i="1"/>
  <c r="BJ153" i="1"/>
  <c r="BI153" i="1"/>
  <c r="BH153" i="1"/>
  <c r="BG153" i="1"/>
  <c r="AP153" i="1"/>
  <c r="AI153" i="1"/>
  <c r="AH153" i="1"/>
  <c r="AG153" i="1"/>
  <c r="AF153" i="1"/>
  <c r="AE153" i="1"/>
  <c r="G153" i="1"/>
  <c r="F153" i="1"/>
  <c r="E153" i="1"/>
  <c r="D153" i="1"/>
  <c r="C153" i="1"/>
  <c r="DO152" i="1"/>
  <c r="DN152" i="1"/>
  <c r="DM152" i="1"/>
  <c r="DL152" i="1"/>
  <c r="DK152" i="1"/>
  <c r="CT152" i="1"/>
  <c r="CM152" i="1"/>
  <c r="CL152" i="1"/>
  <c r="CK152" i="1"/>
  <c r="CJ152" i="1"/>
  <c r="CI152" i="1"/>
  <c r="BK152" i="1"/>
  <c r="BJ152" i="1"/>
  <c r="BI152" i="1"/>
  <c r="BH152" i="1"/>
  <c r="BG152" i="1"/>
  <c r="AP152" i="1"/>
  <c r="AI152" i="1"/>
  <c r="AH152" i="1"/>
  <c r="AG152" i="1"/>
  <c r="AF152" i="1"/>
  <c r="AE152" i="1"/>
  <c r="G152" i="1"/>
  <c r="F152" i="1"/>
  <c r="E152" i="1"/>
  <c r="D152" i="1"/>
  <c r="D157" i="1" s="1"/>
  <c r="C152" i="1"/>
  <c r="CM109" i="1"/>
  <c r="CI109" i="1"/>
  <c r="AI109" i="1"/>
  <c r="AE109" i="1"/>
  <c r="DO108" i="1"/>
  <c r="DN108" i="1"/>
  <c r="DM108" i="1"/>
  <c r="DL108" i="1"/>
  <c r="DK108" i="1"/>
  <c r="CU108" i="1"/>
  <c r="CM108" i="1"/>
  <c r="CL108" i="1"/>
  <c r="CK108" i="1"/>
  <c r="CJ108" i="1"/>
  <c r="CI108" i="1"/>
  <c r="BK108" i="1"/>
  <c r="BJ108" i="1"/>
  <c r="BI108" i="1"/>
  <c r="BH108" i="1"/>
  <c r="BG108" i="1"/>
  <c r="AM108" i="1"/>
  <c r="AW119" i="1" s="1"/>
  <c r="AI108" i="1"/>
  <c r="AH108" i="1"/>
  <c r="AG108" i="1"/>
  <c r="AF108" i="1"/>
  <c r="AE108" i="1"/>
  <c r="G108" i="1"/>
  <c r="F108" i="1"/>
  <c r="E108" i="1"/>
  <c r="D108" i="1"/>
  <c r="C108" i="1"/>
  <c r="DO107" i="1"/>
  <c r="DN107" i="1"/>
  <c r="DM107" i="1"/>
  <c r="DL107" i="1"/>
  <c r="DK107" i="1"/>
  <c r="CU107" i="1"/>
  <c r="CM107" i="1"/>
  <c r="CL107" i="1"/>
  <c r="CK107" i="1"/>
  <c r="CJ107" i="1"/>
  <c r="CI107" i="1"/>
  <c r="BK107" i="1"/>
  <c r="BJ107" i="1"/>
  <c r="BI107" i="1"/>
  <c r="BH107" i="1"/>
  <c r="BG107" i="1"/>
  <c r="AM107" i="1"/>
  <c r="AV119" i="1" s="1"/>
  <c r="AI107" i="1"/>
  <c r="AH107" i="1"/>
  <c r="AG107" i="1"/>
  <c r="AF107" i="1"/>
  <c r="AE107" i="1"/>
  <c r="G107" i="1"/>
  <c r="F107" i="1"/>
  <c r="E107" i="1"/>
  <c r="D107" i="1"/>
  <c r="C107" i="1"/>
  <c r="DO106" i="1"/>
  <c r="DN106" i="1"/>
  <c r="DM106" i="1"/>
  <c r="DL106" i="1"/>
  <c r="DK106" i="1"/>
  <c r="CU106" i="1"/>
  <c r="CM106" i="1"/>
  <c r="CL106" i="1"/>
  <c r="CK106" i="1"/>
  <c r="CJ106" i="1"/>
  <c r="CI106" i="1"/>
  <c r="BK106" i="1"/>
  <c r="BJ106" i="1"/>
  <c r="BI106" i="1"/>
  <c r="BH106" i="1"/>
  <c r="BG106" i="1"/>
  <c r="AM106" i="1"/>
  <c r="AU119" i="1" s="1"/>
  <c r="AI106" i="1"/>
  <c r="AH106" i="1"/>
  <c r="AG106" i="1"/>
  <c r="AF106" i="1"/>
  <c r="AE106" i="1"/>
  <c r="G106" i="1"/>
  <c r="F106" i="1"/>
  <c r="E106" i="1"/>
  <c r="D106" i="1"/>
  <c r="C106" i="1"/>
  <c r="DO105" i="1"/>
  <c r="DN105" i="1"/>
  <c r="DM105" i="1"/>
  <c r="DL105" i="1"/>
  <c r="DK105" i="1"/>
  <c r="CU105" i="1"/>
  <c r="CM105" i="1"/>
  <c r="CL105" i="1"/>
  <c r="CK105" i="1"/>
  <c r="CJ105" i="1"/>
  <c r="CI105" i="1"/>
  <c r="BK105" i="1"/>
  <c r="BJ105" i="1"/>
  <c r="BI105" i="1"/>
  <c r="BH105" i="1"/>
  <c r="BG105" i="1"/>
  <c r="AM105" i="1"/>
  <c r="AT119" i="1" s="1"/>
  <c r="AI105" i="1"/>
  <c r="AH105" i="1"/>
  <c r="AG105" i="1"/>
  <c r="AF105" i="1"/>
  <c r="AE105" i="1"/>
  <c r="G105" i="1"/>
  <c r="F105" i="1"/>
  <c r="E105" i="1"/>
  <c r="D105" i="1"/>
  <c r="C105" i="1"/>
  <c r="DO104" i="1"/>
  <c r="DN104" i="1"/>
  <c r="DM104" i="1"/>
  <c r="DL104" i="1"/>
  <c r="DK104" i="1"/>
  <c r="CU104" i="1"/>
  <c r="CM104" i="1"/>
  <c r="CL104" i="1"/>
  <c r="CK104" i="1"/>
  <c r="CJ104" i="1"/>
  <c r="CI104" i="1"/>
  <c r="BK104" i="1"/>
  <c r="BJ104" i="1"/>
  <c r="BI104" i="1"/>
  <c r="BI109" i="1" s="1"/>
  <c r="BH104" i="1"/>
  <c r="BG104" i="1"/>
  <c r="AM104" i="1"/>
  <c r="AS119" i="1" s="1"/>
  <c r="AI104" i="1"/>
  <c r="AH104" i="1"/>
  <c r="AG104" i="1"/>
  <c r="AF104" i="1"/>
  <c r="AE104" i="1"/>
  <c r="G104" i="1"/>
  <c r="F104" i="1"/>
  <c r="E104" i="1"/>
  <c r="D104" i="1"/>
  <c r="C104" i="1"/>
  <c r="DW68" i="1"/>
  <c r="BI61" i="1"/>
  <c r="AI61" i="1"/>
  <c r="DO60" i="1"/>
  <c r="DN60" i="1"/>
  <c r="DV68" i="1" s="1"/>
  <c r="DM60" i="1"/>
  <c r="DL60" i="1"/>
  <c r="DK60" i="1"/>
  <c r="DP60" i="1" s="1"/>
  <c r="CM60" i="1"/>
  <c r="CL60" i="1"/>
  <c r="CK60" i="1"/>
  <c r="CJ60" i="1"/>
  <c r="CI60" i="1"/>
  <c r="BK60" i="1"/>
  <c r="BJ60" i="1"/>
  <c r="BI60" i="1"/>
  <c r="BH60" i="1"/>
  <c r="BG60" i="1"/>
  <c r="AQ60" i="1"/>
  <c r="AI60" i="1"/>
  <c r="AH60" i="1"/>
  <c r="AG60" i="1"/>
  <c r="AF60" i="1"/>
  <c r="AE60" i="1"/>
  <c r="K60" i="1"/>
  <c r="U71" i="1" s="1"/>
  <c r="G60" i="1"/>
  <c r="O68" i="1" s="1"/>
  <c r="F60" i="1"/>
  <c r="N68" i="1" s="1"/>
  <c r="E60" i="1"/>
  <c r="D60" i="1"/>
  <c r="C60" i="1"/>
  <c r="H60" i="1" s="1"/>
  <c r="DO59" i="1"/>
  <c r="DN59" i="1"/>
  <c r="DM59" i="1"/>
  <c r="DL59" i="1"/>
  <c r="DK59" i="1"/>
  <c r="CM59" i="1"/>
  <c r="CU67" i="1" s="1"/>
  <c r="CL59" i="1"/>
  <c r="CT67" i="1" s="1"/>
  <c r="CK59" i="1"/>
  <c r="CJ59" i="1"/>
  <c r="CI59" i="1"/>
  <c r="CN59" i="1" s="1"/>
  <c r="BK59" i="1"/>
  <c r="BJ59" i="1"/>
  <c r="BI59" i="1"/>
  <c r="BH59" i="1"/>
  <c r="BG59" i="1"/>
  <c r="AQ59" i="1"/>
  <c r="AI59" i="1"/>
  <c r="AH59" i="1"/>
  <c r="AG59" i="1"/>
  <c r="AF59" i="1"/>
  <c r="AE59" i="1"/>
  <c r="G59" i="1"/>
  <c r="F59" i="1"/>
  <c r="E59" i="1"/>
  <c r="D59" i="1"/>
  <c r="C59" i="1"/>
  <c r="DO58" i="1"/>
  <c r="DN58" i="1"/>
  <c r="DM58" i="1"/>
  <c r="DL58" i="1"/>
  <c r="DK58" i="1"/>
  <c r="CM58" i="1"/>
  <c r="CL58" i="1"/>
  <c r="CK58" i="1"/>
  <c r="CJ58" i="1"/>
  <c r="CI58" i="1"/>
  <c r="BK58" i="1"/>
  <c r="BJ58" i="1"/>
  <c r="BI58" i="1"/>
  <c r="BH58" i="1"/>
  <c r="BG58" i="1"/>
  <c r="AI58" i="1"/>
  <c r="AQ58" i="1" s="1"/>
  <c r="AH58" i="1"/>
  <c r="AG58" i="1"/>
  <c r="AF58" i="1"/>
  <c r="AE58" i="1"/>
  <c r="G58" i="1"/>
  <c r="F58" i="1"/>
  <c r="E58" i="1"/>
  <c r="D58" i="1"/>
  <c r="C58" i="1"/>
  <c r="DO57" i="1"/>
  <c r="DN57" i="1"/>
  <c r="DM57" i="1"/>
  <c r="DL57" i="1"/>
  <c r="DK57" i="1"/>
  <c r="CM57" i="1"/>
  <c r="CL57" i="1"/>
  <c r="CK57" i="1"/>
  <c r="CJ57" i="1"/>
  <c r="CI57" i="1"/>
  <c r="BK57" i="1"/>
  <c r="BJ57" i="1"/>
  <c r="BI57" i="1"/>
  <c r="BQ57" i="1" s="1"/>
  <c r="BH57" i="1"/>
  <c r="BG57" i="1"/>
  <c r="AI57" i="1"/>
  <c r="AQ57" i="1" s="1"/>
  <c r="AH57" i="1"/>
  <c r="AG57" i="1"/>
  <c r="AF57" i="1"/>
  <c r="AE57" i="1"/>
  <c r="G57" i="1"/>
  <c r="F57" i="1"/>
  <c r="E57" i="1"/>
  <c r="D57" i="1"/>
  <c r="C57" i="1"/>
  <c r="DO56" i="1"/>
  <c r="DN56" i="1"/>
  <c r="DM56" i="1"/>
  <c r="DL56" i="1"/>
  <c r="DK56" i="1"/>
  <c r="CM56" i="1"/>
  <c r="CL56" i="1"/>
  <c r="CK56" i="1"/>
  <c r="CK61" i="1" s="1"/>
  <c r="CJ56" i="1"/>
  <c r="CI56" i="1"/>
  <c r="BK56" i="1"/>
  <c r="BJ56" i="1"/>
  <c r="BI56" i="1"/>
  <c r="BH56" i="1"/>
  <c r="BG56" i="1"/>
  <c r="AI56" i="1"/>
  <c r="AQ56" i="1" s="1"/>
  <c r="AH56" i="1"/>
  <c r="AG56" i="1"/>
  <c r="AF56" i="1"/>
  <c r="AE56" i="1"/>
  <c r="AE61" i="1" s="1"/>
  <c r="AM60" i="1" s="1"/>
  <c r="AW71" i="1" s="1"/>
  <c r="G56" i="1"/>
  <c r="G61" i="1" s="1"/>
  <c r="O60" i="1" s="1"/>
  <c r="F56" i="1"/>
  <c r="E56" i="1"/>
  <c r="D56" i="1"/>
  <c r="C56" i="1"/>
  <c r="C61" i="1" s="1"/>
  <c r="K59" i="1" s="1"/>
  <c r="T71" i="1" s="1"/>
  <c r="DK12" i="1"/>
  <c r="CK12" i="1"/>
  <c r="CS10" i="1" s="1"/>
  <c r="BK12" i="1"/>
  <c r="AH12" i="1"/>
  <c r="DP11" i="1"/>
  <c r="DS19" i="1" s="1"/>
  <c r="DO11" i="1"/>
  <c r="DW19" i="1" s="1"/>
  <c r="DN11" i="1"/>
  <c r="DV19" i="1" s="1"/>
  <c r="DM11" i="1"/>
  <c r="DL11" i="1"/>
  <c r="DK11" i="1"/>
  <c r="DS11" i="1" s="1"/>
  <c r="CM11" i="1"/>
  <c r="CL11" i="1"/>
  <c r="CK11" i="1"/>
  <c r="CJ11" i="1"/>
  <c r="CI11" i="1"/>
  <c r="BK11" i="1"/>
  <c r="BS11" i="1" s="1"/>
  <c r="BJ11" i="1"/>
  <c r="BI11" i="1"/>
  <c r="BH11" i="1"/>
  <c r="BG11" i="1"/>
  <c r="AP11" i="1"/>
  <c r="AJ11" i="1"/>
  <c r="AI11" i="1"/>
  <c r="AH11" i="1"/>
  <c r="AP19" i="1" s="1"/>
  <c r="AG11" i="1"/>
  <c r="AF11" i="1"/>
  <c r="AE11" i="1"/>
  <c r="H11" i="1"/>
  <c r="O19" i="1" s="1"/>
  <c r="G11" i="1"/>
  <c r="F11" i="1"/>
  <c r="N19" i="1" s="1"/>
  <c r="E11" i="1"/>
  <c r="D11" i="1"/>
  <c r="C11" i="1"/>
  <c r="K19" i="1" s="1"/>
  <c r="DO10" i="1"/>
  <c r="DN10" i="1"/>
  <c r="DM10" i="1"/>
  <c r="DL10" i="1"/>
  <c r="DK10" i="1"/>
  <c r="DS10" i="1" s="1"/>
  <c r="CN10" i="1"/>
  <c r="CQ18" i="1" s="1"/>
  <c r="CM10" i="1"/>
  <c r="CU18" i="1" s="1"/>
  <c r="CL10" i="1"/>
  <c r="CT18" i="1" s="1"/>
  <c r="CK10" i="1"/>
  <c r="CJ10" i="1"/>
  <c r="CR10" i="1" s="1"/>
  <c r="CZ22" i="1" s="1"/>
  <c r="CI10" i="1"/>
  <c r="BK10" i="1"/>
  <c r="BS10" i="1" s="1"/>
  <c r="BJ10" i="1"/>
  <c r="BI10" i="1"/>
  <c r="BH10" i="1"/>
  <c r="BG10" i="1"/>
  <c r="AP10" i="1"/>
  <c r="AI10" i="1"/>
  <c r="AH10" i="1"/>
  <c r="AG10" i="1"/>
  <c r="AF10" i="1"/>
  <c r="AE10" i="1"/>
  <c r="G10" i="1"/>
  <c r="F10" i="1"/>
  <c r="E10" i="1"/>
  <c r="D10" i="1"/>
  <c r="H10" i="1" s="1"/>
  <c r="C10" i="1"/>
  <c r="DP9" i="1"/>
  <c r="DS17" i="1" s="1"/>
  <c r="DO9" i="1"/>
  <c r="DW17" i="1" s="1"/>
  <c r="DN9" i="1"/>
  <c r="DV17" i="1" s="1"/>
  <c r="DM9" i="1"/>
  <c r="DL9" i="1"/>
  <c r="DK9" i="1"/>
  <c r="DS9" i="1" s="1"/>
  <c r="CM9" i="1"/>
  <c r="CL9" i="1"/>
  <c r="CK9" i="1"/>
  <c r="CS9" i="1" s="1"/>
  <c r="CJ9" i="1"/>
  <c r="CI9" i="1"/>
  <c r="BL9" i="1"/>
  <c r="BS17" i="1" s="1"/>
  <c r="BK9" i="1"/>
  <c r="BS9" i="1" s="1"/>
  <c r="BJ9" i="1"/>
  <c r="BR17" i="1" s="1"/>
  <c r="BI9" i="1"/>
  <c r="BH9" i="1"/>
  <c r="BG9" i="1"/>
  <c r="BO17" i="1" s="1"/>
  <c r="AP9" i="1"/>
  <c r="AI9" i="1"/>
  <c r="AH9" i="1"/>
  <c r="AG9" i="1"/>
  <c r="AF9" i="1"/>
  <c r="AE9" i="1"/>
  <c r="G9" i="1"/>
  <c r="F9" i="1"/>
  <c r="E9" i="1"/>
  <c r="D9" i="1"/>
  <c r="C9" i="1"/>
  <c r="DO8" i="1"/>
  <c r="DN8" i="1"/>
  <c r="DM8" i="1"/>
  <c r="DL8" i="1"/>
  <c r="DK8" i="1"/>
  <c r="DS8" i="1" s="1"/>
  <c r="CN8" i="1"/>
  <c r="CU16" i="1" s="1"/>
  <c r="CM8" i="1"/>
  <c r="CL8" i="1"/>
  <c r="CT16" i="1" s="1"/>
  <c r="CK8" i="1"/>
  <c r="CJ8" i="1"/>
  <c r="CI8" i="1"/>
  <c r="CQ16" i="1" s="1"/>
  <c r="BL8" i="1"/>
  <c r="BK8" i="1"/>
  <c r="BS8" i="1" s="1"/>
  <c r="BJ8" i="1"/>
  <c r="BI8" i="1"/>
  <c r="BQ16" i="1" s="1"/>
  <c r="BH8" i="1"/>
  <c r="BG8" i="1"/>
  <c r="BO8" i="1" s="1"/>
  <c r="AP8" i="1"/>
  <c r="AI8" i="1"/>
  <c r="AH8" i="1"/>
  <c r="AG8" i="1"/>
  <c r="AF8" i="1"/>
  <c r="AE8" i="1"/>
  <c r="G8" i="1"/>
  <c r="F8" i="1"/>
  <c r="E8" i="1"/>
  <c r="D8" i="1"/>
  <c r="C8" i="1"/>
  <c r="DO7" i="1"/>
  <c r="DO12" i="1" s="1"/>
  <c r="DN7" i="1"/>
  <c r="DM7" i="1"/>
  <c r="DL7" i="1"/>
  <c r="DP7" i="1" s="1"/>
  <c r="DW15" i="1" s="1"/>
  <c r="EC37" i="1" s="1"/>
  <c r="DK7" i="1"/>
  <c r="DS15" i="1" s="1"/>
  <c r="DY37" i="1" s="1"/>
  <c r="CM7" i="1"/>
  <c r="CL7" i="1"/>
  <c r="CK7" i="1"/>
  <c r="CJ7" i="1"/>
  <c r="CJ12" i="1" s="1"/>
  <c r="CI7" i="1"/>
  <c r="BL7" i="1"/>
  <c r="BO15" i="1" s="1"/>
  <c r="BU37" i="1" s="1"/>
  <c r="BK7" i="1"/>
  <c r="BS15" i="1" s="1"/>
  <c r="BY37" i="1" s="1"/>
  <c r="BJ7" i="1"/>
  <c r="BJ12" i="1" s="1"/>
  <c r="BI7" i="1"/>
  <c r="BH7" i="1"/>
  <c r="BG7" i="1"/>
  <c r="BG12" i="1" s="1"/>
  <c r="AP7" i="1"/>
  <c r="AJ7" i="1"/>
  <c r="AO15" i="1" s="1"/>
  <c r="AU37" i="1" s="1"/>
  <c r="AI7" i="1"/>
  <c r="AI12" i="1" s="1"/>
  <c r="AH7" i="1"/>
  <c r="AG7" i="1"/>
  <c r="AG12" i="1" s="1"/>
  <c r="AF7" i="1"/>
  <c r="AN15" i="1" s="1"/>
  <c r="AT37" i="1" s="1"/>
  <c r="AE7" i="1"/>
  <c r="AE12" i="1" s="1"/>
  <c r="G7" i="1"/>
  <c r="G12" i="1" s="1"/>
  <c r="F7" i="1"/>
  <c r="E7" i="1"/>
  <c r="D7" i="1"/>
  <c r="D12" i="1" s="1"/>
  <c r="C7" i="1"/>
  <c r="C12" i="1" s="1"/>
  <c r="AM8" i="1" l="1"/>
  <c r="L9" i="1"/>
  <c r="AQ9" i="1"/>
  <c r="AQ10" i="1"/>
  <c r="AM11" i="1"/>
  <c r="AQ11" i="1"/>
  <c r="CU19" i="1"/>
  <c r="DV15" i="1"/>
  <c r="EB37" i="1" s="1"/>
  <c r="CR8" i="1"/>
  <c r="CX22" i="1" s="1"/>
  <c r="AN10" i="1"/>
  <c r="AV22" i="1" s="1"/>
  <c r="DW10" i="1"/>
  <c r="BS59" i="1"/>
  <c r="AO10" i="1"/>
  <c r="AO9" i="1"/>
  <c r="AO8" i="1"/>
  <c r="AO7" i="1"/>
  <c r="BR10" i="1"/>
  <c r="BR9" i="1"/>
  <c r="BR8" i="1"/>
  <c r="BR7" i="1"/>
  <c r="BR11" i="1"/>
  <c r="DW8" i="1"/>
  <c r="BO10" i="1"/>
  <c r="DT10" i="1"/>
  <c r="EB22" i="1" s="1"/>
  <c r="O11" i="1"/>
  <c r="AO11" i="1"/>
  <c r="AQ16" i="1"/>
  <c r="AM9" i="1"/>
  <c r="AM18" i="1"/>
  <c r="K8" i="1"/>
  <c r="R22" i="1" s="1"/>
  <c r="O8" i="1"/>
  <c r="DT16" i="1"/>
  <c r="K9" i="1"/>
  <c r="S22" i="1" s="1"/>
  <c r="K10" i="1"/>
  <c r="T22" i="1" s="1"/>
  <c r="O10" i="1"/>
  <c r="DU10" i="1"/>
  <c r="L11" i="1"/>
  <c r="BO11" i="1"/>
  <c r="H7" i="1"/>
  <c r="O15" i="1" s="1"/>
  <c r="U37" i="1" s="1"/>
  <c r="BP15" i="1"/>
  <c r="BV37" i="1" s="1"/>
  <c r="BH12" i="1"/>
  <c r="BP8" i="1" s="1"/>
  <c r="BV22" i="1" s="1"/>
  <c r="H8" i="1"/>
  <c r="M16" i="1" s="1"/>
  <c r="BP17" i="1"/>
  <c r="DT17" i="1"/>
  <c r="AJ10" i="1"/>
  <c r="AQ18" i="1" s="1"/>
  <c r="BL10" i="1"/>
  <c r="BQ18" i="1" s="1"/>
  <c r="DP10" i="1"/>
  <c r="AN19" i="1"/>
  <c r="CN11" i="1"/>
  <c r="CQ19" i="1" s="1"/>
  <c r="DT19" i="1"/>
  <c r="BO59" i="1"/>
  <c r="BX71" i="1" s="1"/>
  <c r="BL59" i="1"/>
  <c r="BO67" i="1" s="1"/>
  <c r="M15" i="1"/>
  <c r="S37" i="1" s="1"/>
  <c r="K7" i="1"/>
  <c r="Q22" i="1" s="1"/>
  <c r="O7" i="1"/>
  <c r="AM7" i="1"/>
  <c r="AQ7" i="1"/>
  <c r="BQ15" i="1"/>
  <c r="BW37" i="1" s="1"/>
  <c r="BI12" i="1"/>
  <c r="BO7" i="1"/>
  <c r="BS7" i="1"/>
  <c r="DU15" i="1"/>
  <c r="EA37" i="1" s="1"/>
  <c r="DM12" i="1"/>
  <c r="DS7" i="1"/>
  <c r="DW7" i="1"/>
  <c r="AQ8" i="1"/>
  <c r="CS16" i="1"/>
  <c r="CQ8" i="1"/>
  <c r="O9" i="1"/>
  <c r="BQ17" i="1"/>
  <c r="BO9" i="1"/>
  <c r="DU17" i="1"/>
  <c r="DW9" i="1"/>
  <c r="AO18" i="1"/>
  <c r="AM10" i="1"/>
  <c r="CS18" i="1"/>
  <c r="M19" i="1"/>
  <c r="K11" i="1"/>
  <c r="U22" i="1" s="1"/>
  <c r="CS19" i="1"/>
  <c r="DU19" i="1"/>
  <c r="DW11" i="1"/>
  <c r="E12" i="1"/>
  <c r="DN12" i="1"/>
  <c r="BR15" i="1"/>
  <c r="BX37" i="1" s="1"/>
  <c r="BP16" i="1"/>
  <c r="L18" i="1"/>
  <c r="DT18" i="1"/>
  <c r="AO19" i="1"/>
  <c r="AM59" i="1"/>
  <c r="AV71" i="1" s="1"/>
  <c r="AQ67" i="1"/>
  <c r="N114" i="1"/>
  <c r="T134" i="1" s="1"/>
  <c r="L15" i="1"/>
  <c r="R37" i="1" s="1"/>
  <c r="CN7" i="1"/>
  <c r="CS15" i="1" s="1"/>
  <c r="CY37" i="1" s="1"/>
  <c r="DT15" i="1"/>
  <c r="DZ37" i="1" s="1"/>
  <c r="DL12" i="1"/>
  <c r="AN16" i="1"/>
  <c r="DP8" i="1"/>
  <c r="DU16" i="1" s="1"/>
  <c r="H9" i="1"/>
  <c r="K17" i="1" s="1"/>
  <c r="AJ9" i="1"/>
  <c r="AN17" i="1" s="1"/>
  <c r="CN9" i="1"/>
  <c r="CS58" i="1"/>
  <c r="CS57" i="1"/>
  <c r="CS56" i="1"/>
  <c r="L7" i="1"/>
  <c r="AP15" i="1"/>
  <c r="AV37" i="1" s="1"/>
  <c r="BP7" i="1"/>
  <c r="BU22" i="1" s="1"/>
  <c r="CT15" i="1"/>
  <c r="CZ37" i="1" s="1"/>
  <c r="CL12" i="1"/>
  <c r="CR7" i="1"/>
  <c r="CW22" i="1" s="1"/>
  <c r="DT7" i="1"/>
  <c r="DY22" i="1" s="1"/>
  <c r="N16" i="1"/>
  <c r="L8" i="1"/>
  <c r="BR16" i="1"/>
  <c r="DV16" i="1"/>
  <c r="DT8" i="1"/>
  <c r="DZ22" i="1" s="1"/>
  <c r="AP17" i="1"/>
  <c r="BP9" i="1"/>
  <c r="BW22" i="1" s="1"/>
  <c r="CT17" i="1"/>
  <c r="CR9" i="1"/>
  <c r="CY22" i="1" s="1"/>
  <c r="DT9" i="1"/>
  <c r="EA22" i="1" s="1"/>
  <c r="N18" i="1"/>
  <c r="L10" i="1"/>
  <c r="BR18" i="1"/>
  <c r="BP10" i="1"/>
  <c r="BX22" i="1" s="1"/>
  <c r="DV18" i="1"/>
  <c r="AN11" i="1"/>
  <c r="AW22" i="1" s="1"/>
  <c r="BP11" i="1"/>
  <c r="BY22" i="1" s="1"/>
  <c r="CT19" i="1"/>
  <c r="CR11" i="1"/>
  <c r="DA22" i="1" s="1"/>
  <c r="DT11" i="1"/>
  <c r="EC22" i="1" s="1"/>
  <c r="F12" i="1"/>
  <c r="AF12" i="1"/>
  <c r="AN9" i="1" s="1"/>
  <c r="AU22" i="1" s="1"/>
  <c r="K15" i="1"/>
  <c r="Q37" i="1" s="1"/>
  <c r="M18" i="1"/>
  <c r="DU18" i="1"/>
  <c r="BG61" i="1"/>
  <c r="BO60" i="1" s="1"/>
  <c r="BY71" i="1" s="1"/>
  <c r="BS64" i="1"/>
  <c r="DW64" i="1"/>
  <c r="K57" i="1"/>
  <c r="R71" i="1" s="1"/>
  <c r="O57" i="1"/>
  <c r="BO57" i="1"/>
  <c r="BV71" i="1" s="1"/>
  <c r="DS57" i="1"/>
  <c r="DZ71" i="1" s="1"/>
  <c r="AM58" i="1"/>
  <c r="AU71" i="1" s="1"/>
  <c r="CU58" i="1"/>
  <c r="AN67" i="1"/>
  <c r="AJ59" i="1"/>
  <c r="AM67" i="1" s="1"/>
  <c r="BQ67" i="1"/>
  <c r="CT68" i="1"/>
  <c r="BQ58" i="1"/>
  <c r="BQ56" i="1"/>
  <c r="DU114" i="1"/>
  <c r="EA134" i="1" s="1"/>
  <c r="AJ8" i="1"/>
  <c r="AM16" i="1" s="1"/>
  <c r="CR16" i="1"/>
  <c r="L17" i="1"/>
  <c r="AN18" i="1"/>
  <c r="CR18" i="1"/>
  <c r="L19" i="1"/>
  <c r="BL11" i="1"/>
  <c r="BQ19" i="1" s="1"/>
  <c r="BS67" i="1"/>
  <c r="CT113" i="1"/>
  <c r="CQ108" i="1"/>
  <c r="DA119" i="1" s="1"/>
  <c r="CQ107" i="1"/>
  <c r="CZ119" i="1" s="1"/>
  <c r="CQ106" i="1"/>
  <c r="CY119" i="1" s="1"/>
  <c r="CQ105" i="1"/>
  <c r="CX119" i="1" s="1"/>
  <c r="CQ104" i="1"/>
  <c r="CW119" i="1" s="1"/>
  <c r="AM15" i="1"/>
  <c r="AS37" i="1" s="1"/>
  <c r="AQ15" i="1"/>
  <c r="AW37" i="1" s="1"/>
  <c r="CQ15" i="1"/>
  <c r="CW37" i="1" s="1"/>
  <c r="CI12" i="1"/>
  <c r="CQ9" i="1" s="1"/>
  <c r="CU15" i="1"/>
  <c r="DA37" i="1" s="1"/>
  <c r="CM12" i="1"/>
  <c r="CS7" i="1"/>
  <c r="K16" i="1"/>
  <c r="O16" i="1"/>
  <c r="BO16" i="1"/>
  <c r="BS16" i="1"/>
  <c r="CS8" i="1"/>
  <c r="DS16" i="1"/>
  <c r="DW16" i="1"/>
  <c r="AM17" i="1"/>
  <c r="AQ17" i="1"/>
  <c r="CU17" i="1"/>
  <c r="DU9" i="1"/>
  <c r="K18" i="1"/>
  <c r="O18" i="1"/>
  <c r="BO18" i="1"/>
  <c r="BS18" i="1"/>
  <c r="DS18" i="1"/>
  <c r="DW18" i="1"/>
  <c r="AM19" i="1"/>
  <c r="AQ19" i="1"/>
  <c r="BO19" i="1"/>
  <c r="BS19" i="1"/>
  <c r="CS11" i="1"/>
  <c r="DU11" i="1"/>
  <c r="D61" i="1"/>
  <c r="L60" i="1" s="1"/>
  <c r="L56" i="1"/>
  <c r="H56" i="1"/>
  <c r="K64" i="1" s="1"/>
  <c r="AF61" i="1"/>
  <c r="AN59" i="1" s="1"/>
  <c r="AN56" i="1"/>
  <c r="AJ56" i="1"/>
  <c r="AO64" i="1" s="1"/>
  <c r="BH61" i="1"/>
  <c r="BP56" i="1"/>
  <c r="BL56" i="1"/>
  <c r="BP64" i="1" s="1"/>
  <c r="CJ61" i="1"/>
  <c r="CR56" i="1"/>
  <c r="CN56" i="1"/>
  <c r="CS64" i="1" s="1"/>
  <c r="DL61" i="1"/>
  <c r="DT60" i="1" s="1"/>
  <c r="DT56" i="1"/>
  <c r="DP56" i="1"/>
  <c r="DS64" i="1" s="1"/>
  <c r="L57" i="1"/>
  <c r="H57" i="1"/>
  <c r="AN65" i="1"/>
  <c r="AT86" i="1" s="1"/>
  <c r="AJ57" i="1"/>
  <c r="AQ65" i="1" s="1"/>
  <c r="AW86" i="1" s="1"/>
  <c r="BP65" i="1"/>
  <c r="BV86" i="1" s="1"/>
  <c r="BP57" i="1"/>
  <c r="BL57" i="1"/>
  <c r="CR57" i="1"/>
  <c r="CN57" i="1"/>
  <c r="CQ65" i="1" s="1"/>
  <c r="CW86" i="1" s="1"/>
  <c r="DT57" i="1"/>
  <c r="DP57" i="1"/>
  <c r="DU65" i="1" s="1"/>
  <c r="EA86" i="1" s="1"/>
  <c r="L66" i="1"/>
  <c r="L58" i="1"/>
  <c r="H58" i="1"/>
  <c r="O66" i="1" s="1"/>
  <c r="AN66" i="1"/>
  <c r="AN58" i="1"/>
  <c r="AJ58" i="1"/>
  <c r="AO66" i="1" s="1"/>
  <c r="BP58" i="1"/>
  <c r="BL58" i="1"/>
  <c r="BP66" i="1" s="1"/>
  <c r="CR58" i="1"/>
  <c r="CN58" i="1"/>
  <c r="DT58" i="1"/>
  <c r="DP58" i="1"/>
  <c r="DW66" i="1" s="1"/>
  <c r="CR59" i="1"/>
  <c r="AP113" i="1"/>
  <c r="DV114" i="1"/>
  <c r="EB134" i="1" s="1"/>
  <c r="AQ108" i="1"/>
  <c r="AQ107" i="1"/>
  <c r="AQ106" i="1"/>
  <c r="AQ105" i="1"/>
  <c r="AQ104" i="1"/>
  <c r="M64" i="1"/>
  <c r="K56" i="1"/>
  <c r="Q71" i="1" s="1"/>
  <c r="O56" i="1"/>
  <c r="AM56" i="1"/>
  <c r="AS71" i="1" s="1"/>
  <c r="BQ64" i="1"/>
  <c r="BO56" i="1"/>
  <c r="BU71" i="1" s="1"/>
  <c r="DU64" i="1"/>
  <c r="DM61" i="1"/>
  <c r="AO65" i="1"/>
  <c r="AU86" i="1" s="1"/>
  <c r="AM57" i="1"/>
  <c r="AT71" i="1" s="1"/>
  <c r="CS65" i="1"/>
  <c r="CY86" i="1" s="1"/>
  <c r="M66" i="1"/>
  <c r="K58" i="1"/>
  <c r="S71" i="1" s="1"/>
  <c r="O58" i="1"/>
  <c r="BO58" i="1"/>
  <c r="BW71" i="1" s="1"/>
  <c r="BS58" i="1"/>
  <c r="DU66" i="1"/>
  <c r="AO67" i="1"/>
  <c r="BP67" i="1"/>
  <c r="BP59" i="1"/>
  <c r="CS67" i="1"/>
  <c r="CS59" i="1"/>
  <c r="DS67" i="1"/>
  <c r="DP59" i="1"/>
  <c r="DU67" i="1" s="1"/>
  <c r="DW67" i="1"/>
  <c r="M68" i="1"/>
  <c r="AJ60" i="1"/>
  <c r="AP68" i="1" s="1"/>
  <c r="AQ68" i="1"/>
  <c r="BQ60" i="1"/>
  <c r="CN60" i="1"/>
  <c r="CR68" i="1" s="1"/>
  <c r="CU68" i="1"/>
  <c r="DU68" i="1"/>
  <c r="BK61" i="1"/>
  <c r="BS60" i="1" s="1"/>
  <c r="DK61" i="1"/>
  <c r="O64" i="1"/>
  <c r="BO64" i="1"/>
  <c r="CQ67" i="1"/>
  <c r="H104" i="1"/>
  <c r="M112" i="1" s="1"/>
  <c r="AJ104" i="1"/>
  <c r="AP112" i="1" s="1"/>
  <c r="BL104" i="1"/>
  <c r="CN104" i="1"/>
  <c r="DP104" i="1"/>
  <c r="DU112" i="1" s="1"/>
  <c r="DW112" i="1"/>
  <c r="H105" i="1"/>
  <c r="AJ105" i="1"/>
  <c r="AO113" i="1" s="1"/>
  <c r="AQ113" i="1"/>
  <c r="BL105" i="1"/>
  <c r="CN105" i="1"/>
  <c r="CS113" i="1" s="1"/>
  <c r="DP105" i="1"/>
  <c r="DV113" i="1" s="1"/>
  <c r="H106" i="1"/>
  <c r="AJ106" i="1"/>
  <c r="BL106" i="1"/>
  <c r="BQ114" i="1" s="1"/>
  <c r="BW134" i="1" s="1"/>
  <c r="BS114" i="1"/>
  <c r="BY134" i="1" s="1"/>
  <c r="CN106" i="1"/>
  <c r="DP106" i="1"/>
  <c r="DW114" i="1"/>
  <c r="EC134" i="1" s="1"/>
  <c r="H107" i="1"/>
  <c r="AJ107" i="1"/>
  <c r="AO115" i="1" s="1"/>
  <c r="CN107" i="1"/>
  <c r="CU115" i="1"/>
  <c r="H108" i="1"/>
  <c r="K116" i="1" s="1"/>
  <c r="DP108" i="1"/>
  <c r="DW116" i="1"/>
  <c r="E109" i="1"/>
  <c r="DU156" i="1"/>
  <c r="N64" i="1"/>
  <c r="F61" i="1"/>
  <c r="AP64" i="1"/>
  <c r="AH61" i="1"/>
  <c r="BR64" i="1"/>
  <c r="BJ61" i="1"/>
  <c r="CT64" i="1"/>
  <c r="CL61" i="1"/>
  <c r="DV64" i="1"/>
  <c r="DN61" i="1"/>
  <c r="AP65" i="1"/>
  <c r="AV86" i="1" s="1"/>
  <c r="BR65" i="1"/>
  <c r="BX86" i="1" s="1"/>
  <c r="CT65" i="1"/>
  <c r="CZ86" i="1" s="1"/>
  <c r="N66" i="1"/>
  <c r="AP66" i="1"/>
  <c r="BR66" i="1"/>
  <c r="DV66" i="1"/>
  <c r="AP67" i="1"/>
  <c r="DT67" i="1"/>
  <c r="AN60" i="1"/>
  <c r="CR60" i="1"/>
  <c r="E61" i="1"/>
  <c r="DO61" i="1"/>
  <c r="DW58" i="1" s="1"/>
  <c r="BQ65" i="1"/>
  <c r="BW86" i="1" s="1"/>
  <c r="K68" i="1"/>
  <c r="L112" i="1"/>
  <c r="AN112" i="1"/>
  <c r="AX119" i="1"/>
  <c r="CR112" i="1"/>
  <c r="DT112" i="1"/>
  <c r="L113" i="1"/>
  <c r="AN113" i="1"/>
  <c r="BP113" i="1"/>
  <c r="CR113" i="1"/>
  <c r="DT113" i="1"/>
  <c r="AN114" i="1"/>
  <c r="AT134" i="1" s="1"/>
  <c r="BP114" i="1"/>
  <c r="BV134" i="1" s="1"/>
  <c r="CR114" i="1"/>
  <c r="CX134" i="1" s="1"/>
  <c r="DT114" i="1"/>
  <c r="DZ134" i="1" s="1"/>
  <c r="L115" i="1"/>
  <c r="AN115" i="1"/>
  <c r="CR115" i="1"/>
  <c r="L108" i="1"/>
  <c r="DT108" i="1"/>
  <c r="AM64" i="1"/>
  <c r="AQ64" i="1"/>
  <c r="CQ64" i="1"/>
  <c r="CI61" i="1"/>
  <c r="CU64" i="1"/>
  <c r="CM61" i="1"/>
  <c r="O65" i="1"/>
  <c r="U86" i="1" s="1"/>
  <c r="BO65" i="1"/>
  <c r="BU86" i="1" s="1"/>
  <c r="BS65" i="1"/>
  <c r="BY86" i="1" s="1"/>
  <c r="AM66" i="1"/>
  <c r="AQ66" i="1"/>
  <c r="L59" i="1"/>
  <c r="H59" i="1"/>
  <c r="N67" i="1" s="1"/>
  <c r="O59" i="1"/>
  <c r="BR67" i="1"/>
  <c r="BQ59" i="1"/>
  <c r="AO68" i="1"/>
  <c r="BL60" i="1"/>
  <c r="CS68" i="1"/>
  <c r="CS60" i="1"/>
  <c r="AG61" i="1"/>
  <c r="DS68" i="1"/>
  <c r="M104" i="1"/>
  <c r="AO112" i="1"/>
  <c r="AG109" i="1"/>
  <c r="BQ104" i="1"/>
  <c r="CS112" i="1"/>
  <c r="CK109" i="1"/>
  <c r="M113" i="1"/>
  <c r="M105" i="1"/>
  <c r="BQ105" i="1"/>
  <c r="CS105" i="1"/>
  <c r="DU113" i="1"/>
  <c r="M106" i="1"/>
  <c r="AO114" i="1"/>
  <c r="AU134" i="1" s="1"/>
  <c r="BQ106" i="1"/>
  <c r="CS114" i="1"/>
  <c r="CY134" i="1" s="1"/>
  <c r="CS106" i="1"/>
  <c r="M107" i="1"/>
  <c r="AO107" i="1"/>
  <c r="BQ107" i="1"/>
  <c r="CS115" i="1"/>
  <c r="DU115" i="1"/>
  <c r="M116" i="1"/>
  <c r="M108" i="1"/>
  <c r="AO116" i="1"/>
  <c r="BQ108" i="1"/>
  <c r="CS116" i="1"/>
  <c r="DU116" i="1"/>
  <c r="DM109" i="1"/>
  <c r="AO161" i="1"/>
  <c r="DV60" i="1"/>
  <c r="CR67" i="1"/>
  <c r="L68" i="1"/>
  <c r="DT68" i="1"/>
  <c r="AN104" i="1"/>
  <c r="L105" i="1"/>
  <c r="DT105" i="1"/>
  <c r="CR106" i="1"/>
  <c r="BP107" i="1"/>
  <c r="CT115" i="1"/>
  <c r="N116" i="1"/>
  <c r="DV116" i="1"/>
  <c r="F109" i="1"/>
  <c r="AF109" i="1"/>
  <c r="AN107" i="1" s="1"/>
  <c r="BJ109" i="1"/>
  <c r="CJ109" i="1"/>
  <c r="CR108" i="1" s="1"/>
  <c r="DN109" i="1"/>
  <c r="CQ115" i="1"/>
  <c r="DS116" i="1"/>
  <c r="AN68" i="1"/>
  <c r="BO115" i="1"/>
  <c r="AM116" i="1"/>
  <c r="AQ116" i="1"/>
  <c r="CQ116" i="1"/>
  <c r="CU116" i="1"/>
  <c r="C109" i="1"/>
  <c r="G109" i="1"/>
  <c r="BG109" i="1"/>
  <c r="BK109" i="1"/>
  <c r="DK109" i="1"/>
  <c r="DO109" i="1"/>
  <c r="K112" i="1"/>
  <c r="DS112" i="1"/>
  <c r="AM113" i="1"/>
  <c r="CQ113" i="1"/>
  <c r="BO114" i="1"/>
  <c r="BU134" i="1" s="1"/>
  <c r="DS114" i="1"/>
  <c r="DY134" i="1" s="1"/>
  <c r="AM115" i="1"/>
  <c r="AP116" i="1"/>
  <c r="M161" i="1"/>
  <c r="DT59" i="1"/>
  <c r="BP60" i="1"/>
  <c r="BL107" i="1"/>
  <c r="BQ115" i="1" s="1"/>
  <c r="DP107" i="1"/>
  <c r="DV115" i="1" s="1"/>
  <c r="L116" i="1"/>
  <c r="AN116" i="1"/>
  <c r="AJ108" i="1"/>
  <c r="BL108" i="1"/>
  <c r="BR108" i="1"/>
  <c r="CN108" i="1"/>
  <c r="CR116" i="1" s="1"/>
  <c r="DT116" i="1"/>
  <c r="D109" i="1"/>
  <c r="L104" i="1" s="1"/>
  <c r="AH109" i="1"/>
  <c r="AP108" i="1" s="1"/>
  <c r="BH109" i="1"/>
  <c r="CL109" i="1"/>
  <c r="DL109" i="1"/>
  <c r="DT107" i="1" s="1"/>
  <c r="AN161" i="1"/>
  <c r="AP161" i="1"/>
  <c r="BO160" i="1"/>
  <c r="BS160" i="1"/>
  <c r="DS160" i="1"/>
  <c r="AM161" i="1"/>
  <c r="CQ161" i="1"/>
  <c r="K154" i="1"/>
  <c r="S167" i="1" s="1"/>
  <c r="BO154" i="1"/>
  <c r="BW167" i="1" s="1"/>
  <c r="DS154" i="1"/>
  <c r="EA167" i="1" s="1"/>
  <c r="AM155" i="1"/>
  <c r="AV167" i="1" s="1"/>
  <c r="CQ155" i="1"/>
  <c r="CZ167" i="1" s="1"/>
  <c r="L152" i="1"/>
  <c r="H152" i="1"/>
  <c r="AF157" i="1"/>
  <c r="AN152" i="1"/>
  <c r="AJ152" i="1"/>
  <c r="BL152" i="1"/>
  <c r="BP160" i="1" s="1"/>
  <c r="CJ157" i="1"/>
  <c r="CN152" i="1"/>
  <c r="CT160" i="1" s="1"/>
  <c r="DT152" i="1"/>
  <c r="DP152" i="1"/>
  <c r="L161" i="1"/>
  <c r="L153" i="1"/>
  <c r="H153" i="1"/>
  <c r="N161" i="1" s="1"/>
  <c r="AN153" i="1"/>
  <c r="AJ153" i="1"/>
  <c r="AQ161" i="1" s="1"/>
  <c r="BL153" i="1"/>
  <c r="CN153" i="1"/>
  <c r="CS161" i="1" s="1"/>
  <c r="DT153" i="1"/>
  <c r="DP153" i="1"/>
  <c r="DW161" i="1" s="1"/>
  <c r="L154" i="1"/>
  <c r="H154" i="1"/>
  <c r="AN154" i="1"/>
  <c r="AJ154" i="1"/>
  <c r="AM162" i="1" s="1"/>
  <c r="BP162" i="1"/>
  <c r="BL154" i="1"/>
  <c r="BR162" i="1" s="1"/>
  <c r="CN154" i="1"/>
  <c r="CU162" i="1" s="1"/>
  <c r="DT154" i="1"/>
  <c r="DP154" i="1"/>
  <c r="L155" i="1"/>
  <c r="H155" i="1"/>
  <c r="K163" i="1" s="1"/>
  <c r="Q182" i="1" s="1"/>
  <c r="AN163" i="1"/>
  <c r="AT182" i="1" s="1"/>
  <c r="AN155" i="1"/>
  <c r="AJ155" i="1"/>
  <c r="AO163" i="1" s="1"/>
  <c r="AU182" i="1" s="1"/>
  <c r="BP155" i="1"/>
  <c r="BL155" i="1"/>
  <c r="BS163" i="1" s="1"/>
  <c r="BY182" i="1" s="1"/>
  <c r="CN155" i="1"/>
  <c r="DT155" i="1"/>
  <c r="DP155" i="1"/>
  <c r="DS163" i="1" s="1"/>
  <c r="DY182" i="1" s="1"/>
  <c r="L164" i="1"/>
  <c r="L156" i="1"/>
  <c r="H156" i="1"/>
  <c r="AN156" i="1"/>
  <c r="AJ156" i="1"/>
  <c r="AN164" i="1" s="1"/>
  <c r="BL156" i="1"/>
  <c r="CR164" i="1"/>
  <c r="CN156" i="1"/>
  <c r="CT164" i="1" s="1"/>
  <c r="DT164" i="1"/>
  <c r="DT156" i="1"/>
  <c r="DP156" i="1"/>
  <c r="BH157" i="1"/>
  <c r="BP153" i="1" s="1"/>
  <c r="L160" i="1"/>
  <c r="CR161" i="1"/>
  <c r="AM152" i="1"/>
  <c r="AS167" i="1" s="1"/>
  <c r="CQ152" i="1"/>
  <c r="CW167" i="1" s="1"/>
  <c r="CU152" i="1"/>
  <c r="K153" i="1"/>
  <c r="R167" i="1" s="1"/>
  <c r="DS153" i="1"/>
  <c r="DZ167" i="1" s="1"/>
  <c r="AO162" i="1"/>
  <c r="CS162" i="1"/>
  <c r="CQ154" i="1"/>
  <c r="CY167" i="1" s="1"/>
  <c r="M163" i="1"/>
  <c r="S182" i="1" s="1"/>
  <c r="BQ163" i="1"/>
  <c r="BW182" i="1" s="1"/>
  <c r="BO155" i="1"/>
  <c r="BX167" i="1" s="1"/>
  <c r="DU163" i="1"/>
  <c r="EA182" i="1" s="1"/>
  <c r="AO164" i="1"/>
  <c r="CS164" i="1"/>
  <c r="E157" i="1"/>
  <c r="AE157" i="1"/>
  <c r="AM156" i="1" s="1"/>
  <c r="AW167" i="1" s="1"/>
  <c r="AI157" i="1"/>
  <c r="AQ156" i="1" s="1"/>
  <c r="BI157" i="1"/>
  <c r="CI157" i="1"/>
  <c r="CQ156" i="1" s="1"/>
  <c r="DA167" i="1" s="1"/>
  <c r="CM157" i="1"/>
  <c r="DM157" i="1"/>
  <c r="M164" i="1"/>
  <c r="BL201" i="1"/>
  <c r="BP209" i="1" s="1"/>
  <c r="K211" i="1"/>
  <c r="H203" i="1"/>
  <c r="O211" i="1"/>
  <c r="O203" i="1"/>
  <c r="DV161" i="1"/>
  <c r="AP162" i="1"/>
  <c r="CT162" i="1"/>
  <c r="N163" i="1"/>
  <c r="T182" i="1" s="1"/>
  <c r="BR163" i="1"/>
  <c r="BX182" i="1" s="1"/>
  <c r="DV163" i="1"/>
  <c r="EB182" i="1" s="1"/>
  <c r="N164" i="1"/>
  <c r="AP164" i="1"/>
  <c r="DV164" i="1"/>
  <c r="F157" i="1"/>
  <c r="BJ157" i="1"/>
  <c r="DN157" i="1"/>
  <c r="DU164" i="1"/>
  <c r="BO162" i="1"/>
  <c r="BS162" i="1"/>
  <c r="AM163" i="1"/>
  <c r="AS182" i="1" s="1"/>
  <c r="AQ163" i="1"/>
  <c r="AW182" i="1" s="1"/>
  <c r="CU163" i="1"/>
  <c r="DA182" i="1" s="1"/>
  <c r="DU155" i="1"/>
  <c r="K164" i="1"/>
  <c r="O164" i="1"/>
  <c r="AM164" i="1"/>
  <c r="AQ164" i="1"/>
  <c r="CQ164" i="1"/>
  <c r="CU164" i="1"/>
  <c r="DS164" i="1"/>
  <c r="DW164" i="1"/>
  <c r="C157" i="1"/>
  <c r="K156" i="1" s="1"/>
  <c r="U167" i="1" s="1"/>
  <c r="G157" i="1"/>
  <c r="O156" i="1" s="1"/>
  <c r="AG157" i="1"/>
  <c r="AO156" i="1" s="1"/>
  <c r="BG157" i="1"/>
  <c r="BK157" i="1"/>
  <c r="BS156" i="1" s="1"/>
  <c r="CK157" i="1"/>
  <c r="DK157" i="1"/>
  <c r="DS152" i="1" s="1"/>
  <c r="DY167" i="1" s="1"/>
  <c r="DO157" i="1"/>
  <c r="CI205" i="1"/>
  <c r="CQ200" i="1" s="1"/>
  <c r="CW215" i="1" s="1"/>
  <c r="CN200" i="1"/>
  <c r="CM205" i="1"/>
  <c r="CU200" i="1" s="1"/>
  <c r="AP209" i="1"/>
  <c r="AM210" i="1"/>
  <c r="AJ202" i="1"/>
  <c r="AQ210" i="1"/>
  <c r="CQ204" i="1"/>
  <c r="DA215" i="1" s="1"/>
  <c r="CU204" i="1"/>
  <c r="BG205" i="1"/>
  <c r="BO201" i="1" s="1"/>
  <c r="BV215" i="1" s="1"/>
  <c r="BL200" i="1"/>
  <c r="BQ208" i="1" s="1"/>
  <c r="BK205" i="1"/>
  <c r="BS200" i="1" s="1"/>
  <c r="CR208" i="1"/>
  <c r="AM209" i="1"/>
  <c r="AJ201" i="1"/>
  <c r="AQ209" i="1"/>
  <c r="H202" i="1"/>
  <c r="N210" i="1" s="1"/>
  <c r="AN210" i="1"/>
  <c r="DS210" i="1"/>
  <c r="DP202" i="1"/>
  <c r="DV210" i="1" s="1"/>
  <c r="DW210" i="1"/>
  <c r="L211" i="1"/>
  <c r="L212" i="1"/>
  <c r="R230" i="1" s="1"/>
  <c r="H204" i="1"/>
  <c r="BJ205" i="1"/>
  <c r="N202" i="1"/>
  <c r="N201" i="1"/>
  <c r="N200" i="1"/>
  <c r="AE205" i="1"/>
  <c r="AM200" i="1" s="1"/>
  <c r="AS215" i="1" s="1"/>
  <c r="AJ200" i="1"/>
  <c r="AI205" i="1"/>
  <c r="AQ200" i="1" s="1"/>
  <c r="DV208" i="1"/>
  <c r="K209" i="1"/>
  <c r="H201" i="1"/>
  <c r="L209" i="1" s="1"/>
  <c r="O209" i="1"/>
  <c r="DP201" i="1"/>
  <c r="CQ210" i="1"/>
  <c r="CQ202" i="1"/>
  <c r="CY215" i="1" s="1"/>
  <c r="CN202" i="1"/>
  <c r="CR210" i="1" s="1"/>
  <c r="CU202" i="1"/>
  <c r="C205" i="1"/>
  <c r="H200" i="1"/>
  <c r="N208" i="1" s="1"/>
  <c r="G205" i="1"/>
  <c r="DK205" i="1"/>
  <c r="DP200" i="1"/>
  <c r="DS208" i="1" s="1"/>
  <c r="DO205" i="1"/>
  <c r="CQ201" i="1"/>
  <c r="CX215" i="1" s="1"/>
  <c r="CN201" i="1"/>
  <c r="CT209" i="1" s="1"/>
  <c r="CU209" i="1"/>
  <c r="CU201" i="1"/>
  <c r="DT201" i="1"/>
  <c r="BO210" i="1"/>
  <c r="BO202" i="1"/>
  <c r="BW215" i="1" s="1"/>
  <c r="BL202" i="1"/>
  <c r="BR210" i="1" s="1"/>
  <c r="BS210" i="1"/>
  <c r="BS202" i="1"/>
  <c r="AJ203" i="1"/>
  <c r="AP211" i="1" s="1"/>
  <c r="BQ211" i="1"/>
  <c r="N212" i="1"/>
  <c r="T230" i="1" s="1"/>
  <c r="BP204" i="1"/>
  <c r="BR204" i="1"/>
  <c r="DT212" i="1"/>
  <c r="DZ230" i="1" s="1"/>
  <c r="L208" i="1"/>
  <c r="D205" i="1"/>
  <c r="BH205" i="1"/>
  <c r="DT208" i="1"/>
  <c r="DL205" i="1"/>
  <c r="AN209" i="1"/>
  <c r="CR209" i="1"/>
  <c r="L210" i="1"/>
  <c r="BP210" i="1"/>
  <c r="DT210" i="1"/>
  <c r="AO211" i="1"/>
  <c r="BR211" i="1"/>
  <c r="BR203" i="1"/>
  <c r="CQ203" i="1"/>
  <c r="CZ215" i="1" s="1"/>
  <c r="CU203" i="1"/>
  <c r="DP203" i="1"/>
  <c r="M212" i="1"/>
  <c r="S230" i="1" s="1"/>
  <c r="BS212" i="1"/>
  <c r="BY230" i="1" s="1"/>
  <c r="CN204" i="1"/>
  <c r="AF205" i="1"/>
  <c r="AN202" i="1" s="1"/>
  <c r="DN205" i="1"/>
  <c r="M208" i="1"/>
  <c r="E205" i="1"/>
  <c r="AO208" i="1"/>
  <c r="AG205" i="1"/>
  <c r="BI205" i="1"/>
  <c r="CS208" i="1"/>
  <c r="CK205" i="1"/>
  <c r="CS203" i="1" s="1"/>
  <c r="DU208" i="1"/>
  <c r="DM205" i="1"/>
  <c r="M209" i="1"/>
  <c r="AO209" i="1"/>
  <c r="CS209" i="1"/>
  <c r="DU209" i="1"/>
  <c r="M210" i="1"/>
  <c r="AO210" i="1"/>
  <c r="BQ210" i="1"/>
  <c r="CS210" i="1"/>
  <c r="DU210" i="1"/>
  <c r="M211" i="1"/>
  <c r="M203" i="1"/>
  <c r="BO211" i="1"/>
  <c r="BS211" i="1"/>
  <c r="CN203" i="1"/>
  <c r="CT211" i="1" s="1"/>
  <c r="N204" i="1"/>
  <c r="AM204" i="1"/>
  <c r="AW215" i="1" s="1"/>
  <c r="AQ204" i="1"/>
  <c r="BL204" i="1"/>
  <c r="BP212" i="1" s="1"/>
  <c r="BV230" i="1" s="1"/>
  <c r="CS212" i="1"/>
  <c r="CY230" i="1" s="1"/>
  <c r="DV204" i="1"/>
  <c r="CJ205" i="1"/>
  <c r="CR204" i="1" s="1"/>
  <c r="AN208" i="1"/>
  <c r="DT209" i="1"/>
  <c r="BP211" i="1"/>
  <c r="L200" i="1"/>
  <c r="AP208" i="1"/>
  <c r="AH205" i="1"/>
  <c r="AP204" i="1" s="1"/>
  <c r="BP200" i="1"/>
  <c r="CT208" i="1"/>
  <c r="CL205" i="1"/>
  <c r="DT200" i="1"/>
  <c r="N209" i="1"/>
  <c r="DV209" i="1"/>
  <c r="AP210" i="1"/>
  <c r="BP202" i="1"/>
  <c r="CT210" i="1"/>
  <c r="DT202" i="1"/>
  <c r="N211" i="1"/>
  <c r="N203" i="1"/>
  <c r="AM203" i="1"/>
  <c r="AV215" i="1" s="1"/>
  <c r="AQ203" i="1"/>
  <c r="CR203" i="1"/>
  <c r="DV203" i="1"/>
  <c r="O204" i="1"/>
  <c r="AJ204" i="1"/>
  <c r="AQ212" i="1" s="1"/>
  <c r="AW230" i="1" s="1"/>
  <c r="BQ212" i="1"/>
  <c r="BW230" i="1" s="1"/>
  <c r="CT212" i="1"/>
  <c r="CZ230" i="1" s="1"/>
  <c r="CT204" i="1"/>
  <c r="DS204" i="1"/>
  <c r="EC215" i="1" s="1"/>
  <c r="DW204" i="1"/>
  <c r="DV212" i="1"/>
  <c r="EB230" i="1" s="1"/>
  <c r="DU203" i="1"/>
  <c r="DU204" i="1"/>
  <c r="AM211" i="1"/>
  <c r="AQ211" i="1"/>
  <c r="CU211" i="1"/>
  <c r="K212" i="1"/>
  <c r="Q230" i="1" s="1"/>
  <c r="O212" i="1"/>
  <c r="U230" i="1" s="1"/>
  <c r="DW212" i="1"/>
  <c r="EC230" i="1" s="1"/>
  <c r="DP204" i="1"/>
  <c r="DU212" i="1" s="1"/>
  <c r="EA230" i="1" s="1"/>
  <c r="AM212" i="1"/>
  <c r="AS230" i="1" s="1"/>
  <c r="BO203" i="1"/>
  <c r="BX215" i="1" s="1"/>
  <c r="BS203" i="1"/>
  <c r="DS203" i="1"/>
  <c r="EB215" i="1" s="1"/>
  <c r="DW203" i="1"/>
  <c r="BO204" i="1"/>
  <c r="BY215" i="1" s="1"/>
  <c r="BS204" i="1"/>
  <c r="BQ200" i="1" l="1"/>
  <c r="BQ201" i="1"/>
  <c r="BQ202" i="1"/>
  <c r="M201" i="1"/>
  <c r="M202" i="1"/>
  <c r="M200" i="1"/>
  <c r="DS211" i="1"/>
  <c r="DW211" i="1"/>
  <c r="DT211" i="1"/>
  <c r="K203" i="1"/>
  <c r="T215" i="1" s="1"/>
  <c r="K200" i="1"/>
  <c r="Q215" i="1" s="1"/>
  <c r="K201" i="1"/>
  <c r="R215" i="1" s="1"/>
  <c r="BS164" i="1"/>
  <c r="BQ164" i="1"/>
  <c r="BR164" i="1"/>
  <c r="BO164" i="1"/>
  <c r="BP164" i="1"/>
  <c r="DU162" i="1"/>
  <c r="DS162" i="1"/>
  <c r="DT162" i="1"/>
  <c r="M162" i="1"/>
  <c r="K162" i="1"/>
  <c r="N162" i="1"/>
  <c r="L162" i="1"/>
  <c r="AP160" i="1"/>
  <c r="AQ160" i="1"/>
  <c r="AN160" i="1"/>
  <c r="AO160" i="1"/>
  <c r="AM160" i="1"/>
  <c r="DU108" i="1"/>
  <c r="DU106" i="1"/>
  <c r="DU107" i="1"/>
  <c r="DU104" i="1"/>
  <c r="DU105" i="1"/>
  <c r="BZ37" i="1"/>
  <c r="DS212" i="1"/>
  <c r="DY230" i="1" s="1"/>
  <c r="CQ211" i="1"/>
  <c r="CS204" i="1"/>
  <c r="K204" i="1"/>
  <c r="U215" i="1" s="1"/>
  <c r="CS211" i="1"/>
  <c r="CR201" i="1"/>
  <c r="CR211" i="1"/>
  <c r="BQ209" i="1"/>
  <c r="BO212" i="1"/>
  <c r="BU230" i="1" s="1"/>
  <c r="BP203" i="1"/>
  <c r="BP201" i="1"/>
  <c r="DS201" i="1"/>
  <c r="DZ215" i="1" s="1"/>
  <c r="DS200" i="1"/>
  <c r="DY215" i="1" s="1"/>
  <c r="DS202" i="1"/>
  <c r="EA215" i="1" s="1"/>
  <c r="DW209" i="1"/>
  <c r="DS209" i="1"/>
  <c r="BR212" i="1"/>
  <c r="BX230" i="1" s="1"/>
  <c r="CQ208" i="1"/>
  <c r="CU208" i="1"/>
  <c r="BR156" i="1"/>
  <c r="BR154" i="1"/>
  <c r="BR152" i="1"/>
  <c r="BR155" i="1"/>
  <c r="BR153" i="1"/>
  <c r="BQ155" i="1"/>
  <c r="BQ154" i="1"/>
  <c r="BQ153" i="1"/>
  <c r="BQ152" i="1"/>
  <c r="BQ156" i="1"/>
  <c r="BR161" i="1"/>
  <c r="BS161" i="1"/>
  <c r="BQ161" i="1"/>
  <c r="BO161" i="1"/>
  <c r="BP161" i="1"/>
  <c r="BP106" i="1"/>
  <c r="BP104" i="1"/>
  <c r="BP108" i="1"/>
  <c r="BP105" i="1"/>
  <c r="AO104" i="1"/>
  <c r="AO105" i="1"/>
  <c r="AO106" i="1"/>
  <c r="AO108" i="1"/>
  <c r="AO57" i="1"/>
  <c r="AO59" i="1"/>
  <c r="AO58" i="1"/>
  <c r="AO56" i="1"/>
  <c r="AO60" i="1"/>
  <c r="DW65" i="1"/>
  <c r="EC86" i="1" s="1"/>
  <c r="M56" i="1"/>
  <c r="M60" i="1"/>
  <c r="M59" i="1"/>
  <c r="M58" i="1"/>
  <c r="BO113" i="1"/>
  <c r="BS113" i="1"/>
  <c r="BR113" i="1"/>
  <c r="BQ113" i="1"/>
  <c r="M65" i="1"/>
  <c r="S86" i="1" s="1"/>
  <c r="N65" i="1"/>
  <c r="T86" i="1" s="1"/>
  <c r="K65" i="1"/>
  <c r="Q86" i="1" s="1"/>
  <c r="L65" i="1"/>
  <c r="R86" i="1" s="1"/>
  <c r="V37" i="1"/>
  <c r="AN204" i="1"/>
  <c r="AN200" i="1"/>
  <c r="DV162" i="1"/>
  <c r="BQ203" i="1"/>
  <c r="AO212" i="1"/>
  <c r="AU230" i="1" s="1"/>
  <c r="AP212" i="1"/>
  <c r="AV230" i="1" s="1"/>
  <c r="BR209" i="1"/>
  <c r="CS202" i="1"/>
  <c r="CS200" i="1"/>
  <c r="CS201" i="1"/>
  <c r="AO200" i="1"/>
  <c r="AO201" i="1"/>
  <c r="AO202" i="1"/>
  <c r="AO204" i="1"/>
  <c r="CU212" i="1"/>
  <c r="DA230" i="1" s="1"/>
  <c r="CQ212" i="1"/>
  <c r="CW230" i="1" s="1"/>
  <c r="L203" i="1"/>
  <c r="L204" i="1"/>
  <c r="L201" i="1"/>
  <c r="O202" i="1"/>
  <c r="O201" i="1"/>
  <c r="O200" i="1"/>
  <c r="K202" i="1"/>
  <c r="S215" i="1" s="1"/>
  <c r="DB215" i="1"/>
  <c r="O162" i="1"/>
  <c r="CR155" i="1"/>
  <c r="CR152" i="1"/>
  <c r="CR153" i="1"/>
  <c r="CR156" i="1"/>
  <c r="DV107" i="1"/>
  <c r="DV106" i="1"/>
  <c r="DV105" i="1"/>
  <c r="DV104" i="1"/>
  <c r="DV108" i="1"/>
  <c r="N108" i="1"/>
  <c r="N107" i="1"/>
  <c r="N106" i="1"/>
  <c r="N105" i="1"/>
  <c r="N104" i="1"/>
  <c r="CS107" i="1"/>
  <c r="CS104" i="1"/>
  <c r="CS108" i="1"/>
  <c r="L114" i="1"/>
  <c r="R134" i="1" s="1"/>
  <c r="O114" i="1"/>
  <c r="U134" i="1" s="1"/>
  <c r="K114" i="1"/>
  <c r="Q134" i="1" s="1"/>
  <c r="M114" i="1"/>
  <c r="S134" i="1" s="1"/>
  <c r="DS59" i="1"/>
  <c r="EB71" i="1" s="1"/>
  <c r="DS60" i="1"/>
  <c r="EC71" i="1" s="1"/>
  <c r="DS56" i="1"/>
  <c r="DY71" i="1" s="1"/>
  <c r="DS58" i="1"/>
  <c r="EA71" i="1" s="1"/>
  <c r="CT66" i="1"/>
  <c r="CQ66" i="1"/>
  <c r="CS66" i="1"/>
  <c r="CR66" i="1"/>
  <c r="CU66" i="1"/>
  <c r="CU9" i="1"/>
  <c r="CU11" i="1"/>
  <c r="CU8" i="1"/>
  <c r="CU7" i="1"/>
  <c r="CU10" i="1"/>
  <c r="DU201" i="1"/>
  <c r="DU202" i="1"/>
  <c r="DU200" i="1"/>
  <c r="CR202" i="1"/>
  <c r="BP208" i="1"/>
  <c r="BR208" i="1"/>
  <c r="BO208" i="1"/>
  <c r="BS208" i="1"/>
  <c r="BS209" i="1"/>
  <c r="BO209" i="1"/>
  <c r="CS163" i="1"/>
  <c r="CY182" i="1" s="1"/>
  <c r="CQ163" i="1"/>
  <c r="CW182" i="1" s="1"/>
  <c r="CT163" i="1"/>
  <c r="CZ182" i="1" s="1"/>
  <c r="CR163" i="1"/>
  <c r="CX182" i="1" s="1"/>
  <c r="BQ68" i="1"/>
  <c r="BO68" i="1"/>
  <c r="BP68" i="1"/>
  <c r="BS68" i="1"/>
  <c r="BR68" i="1"/>
  <c r="BP112" i="1"/>
  <c r="BS112" i="1"/>
  <c r="BQ112" i="1"/>
  <c r="BO112" i="1"/>
  <c r="DU58" i="1"/>
  <c r="DU56" i="1"/>
  <c r="DU59" i="1"/>
  <c r="DU57" i="1"/>
  <c r="DU60" i="1"/>
  <c r="DV65" i="1"/>
  <c r="EB86" i="1" s="1"/>
  <c r="DS65" i="1"/>
  <c r="DY86" i="1" s="1"/>
  <c r="DT65" i="1"/>
  <c r="DZ86" i="1" s="1"/>
  <c r="BQ204" i="1"/>
  <c r="CR200" i="1"/>
  <c r="AP202" i="1"/>
  <c r="AP201" i="1"/>
  <c r="AP200" i="1"/>
  <c r="AP203" i="1"/>
  <c r="V230" i="1"/>
  <c r="M204" i="1"/>
  <c r="AO203" i="1"/>
  <c r="AN212" i="1"/>
  <c r="AT230" i="1" s="1"/>
  <c r="AX230" i="1" s="1"/>
  <c r="DV211" i="1"/>
  <c r="L202" i="1"/>
  <c r="AN201" i="1"/>
  <c r="CT202" i="1"/>
  <c r="CT201" i="1"/>
  <c r="CT200" i="1"/>
  <c r="CT203" i="1"/>
  <c r="DU211" i="1"/>
  <c r="DV202" i="1"/>
  <c r="DV201" i="1"/>
  <c r="DV200" i="1"/>
  <c r="CR212" i="1"/>
  <c r="CX230" i="1" s="1"/>
  <c r="DT203" i="1"/>
  <c r="DT204" i="1"/>
  <c r="AN203" i="1"/>
  <c r="DW202" i="1"/>
  <c r="DW200" i="1"/>
  <c r="DW201" i="1"/>
  <c r="AM208" i="1"/>
  <c r="AQ208" i="1"/>
  <c r="DW156" i="1"/>
  <c r="DW155" i="1"/>
  <c r="DW153" i="1"/>
  <c r="DW152" i="1"/>
  <c r="DW154" i="1"/>
  <c r="BO156" i="1"/>
  <c r="BY167" i="1" s="1"/>
  <c r="BO152" i="1"/>
  <c r="BU167" i="1" s="1"/>
  <c r="DW162" i="1"/>
  <c r="BO153" i="1"/>
  <c r="BV167" i="1" s="1"/>
  <c r="CR154" i="1"/>
  <c r="DT160" i="1"/>
  <c r="DV160" i="1"/>
  <c r="DW160" i="1"/>
  <c r="DU160" i="1"/>
  <c r="M160" i="1"/>
  <c r="N160" i="1"/>
  <c r="O160" i="1"/>
  <c r="K160" i="1"/>
  <c r="BS116" i="1"/>
  <c r="BP116" i="1"/>
  <c r="BR116" i="1"/>
  <c r="BQ116" i="1"/>
  <c r="BO116" i="1"/>
  <c r="BO108" i="1"/>
  <c r="BY119" i="1" s="1"/>
  <c r="BO107" i="1"/>
  <c r="BX119" i="1" s="1"/>
  <c r="BO106" i="1"/>
  <c r="BW119" i="1" s="1"/>
  <c r="BO105" i="1"/>
  <c r="BV119" i="1" s="1"/>
  <c r="BO104" i="1"/>
  <c r="BU119" i="1" s="1"/>
  <c r="CQ60" i="1"/>
  <c r="DA71" i="1" s="1"/>
  <c r="CQ59" i="1"/>
  <c r="CZ71" i="1" s="1"/>
  <c r="CQ58" i="1"/>
  <c r="CY71" i="1" s="1"/>
  <c r="CQ56" i="1"/>
  <c r="CW71" i="1" s="1"/>
  <c r="CQ57" i="1"/>
  <c r="CX71" i="1" s="1"/>
  <c r="CT59" i="1"/>
  <c r="CT58" i="1"/>
  <c r="CT57" i="1"/>
  <c r="CT56" i="1"/>
  <c r="CT60" i="1"/>
  <c r="AP60" i="1"/>
  <c r="AP59" i="1"/>
  <c r="AP58" i="1"/>
  <c r="AP57" i="1"/>
  <c r="AP56" i="1"/>
  <c r="K115" i="1"/>
  <c r="O115" i="1"/>
  <c r="N115" i="1"/>
  <c r="M115" i="1"/>
  <c r="BR112" i="1"/>
  <c r="M57" i="1"/>
  <c r="CS17" i="1"/>
  <c r="CQ17" i="1"/>
  <c r="CR17" i="1"/>
  <c r="O210" i="1"/>
  <c r="AM201" i="1"/>
  <c r="AT215" i="1" s="1"/>
  <c r="AM202" i="1"/>
  <c r="AU215" i="1" s="1"/>
  <c r="CS154" i="1"/>
  <c r="CS153" i="1"/>
  <c r="CS152" i="1"/>
  <c r="CS156" i="1"/>
  <c r="BS201" i="1"/>
  <c r="CU156" i="1"/>
  <c r="CU155" i="1"/>
  <c r="O155" i="1"/>
  <c r="AQ154" i="1"/>
  <c r="CQ153" i="1"/>
  <c r="CX167" i="1" s="1"/>
  <c r="DB167" i="1" s="1"/>
  <c r="AM153" i="1"/>
  <c r="AT167" i="1" s="1"/>
  <c r="K152" i="1"/>
  <c r="Q167" i="1" s="1"/>
  <c r="DT163" i="1"/>
  <c r="DZ182" i="1" s="1"/>
  <c r="ED182" i="1" s="1"/>
  <c r="L163" i="1"/>
  <c r="R182" i="1" s="1"/>
  <c r="AN162" i="1"/>
  <c r="BO163" i="1"/>
  <c r="BU182" i="1" s="1"/>
  <c r="K155" i="1"/>
  <c r="T167" i="1" s="1"/>
  <c r="CQ162" i="1"/>
  <c r="AM154" i="1"/>
  <c r="AU167" i="1" s="1"/>
  <c r="DS161" i="1"/>
  <c r="K161" i="1"/>
  <c r="CQ160" i="1"/>
  <c r="BR160" i="1"/>
  <c r="DT115" i="1"/>
  <c r="DU161" i="1"/>
  <c r="DS108" i="1"/>
  <c r="EC119" i="1" s="1"/>
  <c r="DS107" i="1"/>
  <c r="EB119" i="1" s="1"/>
  <c r="DS106" i="1"/>
  <c r="EA119" i="1" s="1"/>
  <c r="DS105" i="1"/>
  <c r="DZ119" i="1" s="1"/>
  <c r="DS104" i="1"/>
  <c r="DY119" i="1" s="1"/>
  <c r="K108" i="1"/>
  <c r="U119" i="1" s="1"/>
  <c r="K107" i="1"/>
  <c r="T119" i="1" s="1"/>
  <c r="K106" i="1"/>
  <c r="S119" i="1" s="1"/>
  <c r="K105" i="1"/>
  <c r="R119" i="1" s="1"/>
  <c r="K104" i="1"/>
  <c r="Q119" i="1" s="1"/>
  <c r="DS115" i="1"/>
  <c r="BR107" i="1"/>
  <c r="BR106" i="1"/>
  <c r="BR105" i="1"/>
  <c r="BR104" i="1"/>
  <c r="CT116" i="1"/>
  <c r="CR107" i="1"/>
  <c r="L107" i="1"/>
  <c r="AN106" i="1"/>
  <c r="CR104" i="1"/>
  <c r="CU59" i="1"/>
  <c r="CU60" i="1"/>
  <c r="BQ160" i="1"/>
  <c r="O67" i="1"/>
  <c r="DV59" i="1"/>
  <c r="DV57" i="1"/>
  <c r="DV58" i="1"/>
  <c r="DV56" i="1"/>
  <c r="BR60" i="1"/>
  <c r="BR59" i="1"/>
  <c r="BR56" i="1"/>
  <c r="BR58" i="1"/>
  <c r="BR57" i="1"/>
  <c r="N60" i="1"/>
  <c r="N59" i="1"/>
  <c r="N58" i="1"/>
  <c r="N57" i="1"/>
  <c r="N56" i="1"/>
  <c r="O116" i="1"/>
  <c r="AQ115" i="1"/>
  <c r="AQ114" i="1"/>
  <c r="AW134" i="1" s="1"/>
  <c r="AM114" i="1"/>
  <c r="AS134" i="1" s="1"/>
  <c r="CU113" i="1"/>
  <c r="CU112" i="1"/>
  <c r="CQ112" i="1"/>
  <c r="O112" i="1"/>
  <c r="CQ68" i="1"/>
  <c r="AM68" i="1"/>
  <c r="BQ66" i="1"/>
  <c r="CU57" i="1"/>
  <c r="DW56" i="1"/>
  <c r="BS56" i="1"/>
  <c r="AN57" i="1"/>
  <c r="DT64" i="1"/>
  <c r="CR64" i="1"/>
  <c r="AN64" i="1"/>
  <c r="L64" i="1"/>
  <c r="DB119" i="1"/>
  <c r="BR115" i="1"/>
  <c r="BS66" i="1"/>
  <c r="K66" i="1"/>
  <c r="CU56" i="1"/>
  <c r="N8" i="1"/>
  <c r="N7" i="1"/>
  <c r="N11" i="1"/>
  <c r="N10" i="1"/>
  <c r="N9" i="1"/>
  <c r="AN8" i="1"/>
  <c r="AT22" i="1" s="1"/>
  <c r="DB22" i="1"/>
  <c r="AN7" i="1"/>
  <c r="AS22" i="1" s="1"/>
  <c r="BQ162" i="1"/>
  <c r="N112" i="1"/>
  <c r="M11" i="1"/>
  <c r="M9" i="1"/>
  <c r="M8" i="1"/>
  <c r="M7" i="1"/>
  <c r="CQ11" i="1"/>
  <c r="DU8" i="1"/>
  <c r="DU7" i="1"/>
  <c r="BQ9" i="1"/>
  <c r="BQ8" i="1"/>
  <c r="BQ7" i="1"/>
  <c r="BP18" i="1"/>
  <c r="O17" i="1"/>
  <c r="AP16" i="1"/>
  <c r="BP19" i="1"/>
  <c r="AO17" i="1"/>
  <c r="BQ11" i="1"/>
  <c r="BR202" i="1"/>
  <c r="BR201" i="1"/>
  <c r="BR200" i="1"/>
  <c r="AQ201" i="1"/>
  <c r="AQ202" i="1"/>
  <c r="DV156" i="1"/>
  <c r="DV154" i="1"/>
  <c r="DV152" i="1"/>
  <c r="DV155" i="1"/>
  <c r="DV153" i="1"/>
  <c r="M155" i="1"/>
  <c r="M154" i="1"/>
  <c r="M153" i="1"/>
  <c r="M152" i="1"/>
  <c r="BS153" i="1"/>
  <c r="O153" i="1"/>
  <c r="AQ152" i="1"/>
  <c r="BP154" i="1"/>
  <c r="BP152" i="1"/>
  <c r="DW163" i="1"/>
  <c r="EC182" i="1" s="1"/>
  <c r="AQ155" i="1"/>
  <c r="BS154" i="1"/>
  <c r="O154" i="1"/>
  <c r="CU161" i="1"/>
  <c r="AP163" i="1"/>
  <c r="AV182" i="1" s="1"/>
  <c r="CT161" i="1"/>
  <c r="CT107" i="1"/>
  <c r="CT106" i="1"/>
  <c r="CT105" i="1"/>
  <c r="CT104" i="1"/>
  <c r="BS108" i="1"/>
  <c r="BS107" i="1"/>
  <c r="BS106" i="1"/>
  <c r="BS105" i="1"/>
  <c r="BS104" i="1"/>
  <c r="BS115" i="1"/>
  <c r="DT106" i="1"/>
  <c r="L106" i="1"/>
  <c r="AN105" i="1"/>
  <c r="M156" i="1"/>
  <c r="BZ86" i="1"/>
  <c r="AN108" i="1"/>
  <c r="BP115" i="1"/>
  <c r="DW60" i="1"/>
  <c r="DW59" i="1"/>
  <c r="K67" i="1"/>
  <c r="CU114" i="1"/>
  <c r="DA134" i="1" s="1"/>
  <c r="CQ114" i="1"/>
  <c r="CW134" i="1" s="1"/>
  <c r="O113" i="1"/>
  <c r="K113" i="1"/>
  <c r="BZ71" i="1"/>
  <c r="V71" i="1"/>
  <c r="AP115" i="1"/>
  <c r="DT66" i="1"/>
  <c r="CT114" i="1"/>
  <c r="CZ134" i="1" s="1"/>
  <c r="DS66" i="1"/>
  <c r="BO66" i="1"/>
  <c r="DW57" i="1"/>
  <c r="BS57" i="1"/>
  <c r="BR19" i="1"/>
  <c r="CT11" i="1"/>
  <c r="CT10" i="1"/>
  <c r="CT9" i="1"/>
  <c r="CT8" i="1"/>
  <c r="CT7" i="1"/>
  <c r="M67" i="1"/>
  <c r="CR15" i="1"/>
  <c r="CX37" i="1" s="1"/>
  <c r="M17" i="1"/>
  <c r="AO16" i="1"/>
  <c r="V22" i="1"/>
  <c r="AP18" i="1"/>
  <c r="BQ10" i="1"/>
  <c r="N17" i="1"/>
  <c r="ED37" i="1"/>
  <c r="N15" i="1"/>
  <c r="T37" i="1" s="1"/>
  <c r="CQ7" i="1"/>
  <c r="AN211" i="1"/>
  <c r="CQ209" i="1"/>
  <c r="DW208" i="1"/>
  <c r="O208" i="1"/>
  <c r="K208" i="1"/>
  <c r="CU210" i="1"/>
  <c r="K210" i="1"/>
  <c r="BO200" i="1"/>
  <c r="BU215" i="1" s="1"/>
  <c r="DS156" i="1"/>
  <c r="EC167" i="1" s="1"/>
  <c r="DS155" i="1"/>
  <c r="EB167" i="1" s="1"/>
  <c r="AO155" i="1"/>
  <c r="AO154" i="1"/>
  <c r="AO153" i="1"/>
  <c r="AO152" i="1"/>
  <c r="N156" i="1"/>
  <c r="N154" i="1"/>
  <c r="N152" i="1"/>
  <c r="N155" i="1"/>
  <c r="N153" i="1"/>
  <c r="DU154" i="1"/>
  <c r="DU153" i="1"/>
  <c r="DU152" i="1"/>
  <c r="CU153" i="1"/>
  <c r="AQ153" i="1"/>
  <c r="BS152" i="1"/>
  <c r="O152" i="1"/>
  <c r="BP156" i="1"/>
  <c r="BP163" i="1"/>
  <c r="BV182" i="1" s="1"/>
  <c r="V182" i="1"/>
  <c r="CR162" i="1"/>
  <c r="DT161" i="1"/>
  <c r="CR160" i="1"/>
  <c r="BS155" i="1"/>
  <c r="O163" i="1"/>
  <c r="U182" i="1" s="1"/>
  <c r="CU154" i="1"/>
  <c r="AQ162" i="1"/>
  <c r="O161" i="1"/>
  <c r="CU160" i="1"/>
  <c r="AP107" i="1"/>
  <c r="AP106" i="1"/>
  <c r="AP105" i="1"/>
  <c r="AP104" i="1"/>
  <c r="CT108" i="1"/>
  <c r="CS160" i="1"/>
  <c r="ED134" i="1"/>
  <c r="DW108" i="1"/>
  <c r="DW107" i="1"/>
  <c r="DW106" i="1"/>
  <c r="DW105" i="1"/>
  <c r="DW104" i="1"/>
  <c r="O108" i="1"/>
  <c r="O107" i="1"/>
  <c r="O106" i="1"/>
  <c r="O105" i="1"/>
  <c r="O104" i="1"/>
  <c r="DW115" i="1"/>
  <c r="CR105" i="1"/>
  <c r="DT104" i="1"/>
  <c r="L67" i="1"/>
  <c r="DW113" i="1"/>
  <c r="DS113" i="1"/>
  <c r="AQ112" i="1"/>
  <c r="AM112" i="1"/>
  <c r="AX71" i="1"/>
  <c r="AP114" i="1"/>
  <c r="AV134" i="1" s="1"/>
  <c r="DV112" i="1"/>
  <c r="CR65" i="1"/>
  <c r="CX86" i="1" s="1"/>
  <c r="AX37" i="1"/>
  <c r="BR114" i="1"/>
  <c r="BX134" i="1" s="1"/>
  <c r="CU65" i="1"/>
  <c r="DA86" i="1" s="1"/>
  <c r="AM65" i="1"/>
  <c r="AS86" i="1" s="1"/>
  <c r="ED22" i="1"/>
  <c r="BZ22" i="1"/>
  <c r="DV67" i="1"/>
  <c r="CS155" i="1"/>
  <c r="N113" i="1"/>
  <c r="DV10" i="1"/>
  <c r="DV9" i="1"/>
  <c r="DV7" i="1"/>
  <c r="DV11" i="1"/>
  <c r="DV8" i="1"/>
  <c r="CT112" i="1"/>
  <c r="CQ10" i="1"/>
  <c r="CR19" i="1"/>
  <c r="M10" i="1"/>
  <c r="L16" i="1"/>
  <c r="BZ134" i="1" l="1"/>
  <c r="AX182" i="1"/>
  <c r="DB37" i="1"/>
  <c r="AX134" i="1"/>
  <c r="BZ215" i="1"/>
  <c r="AX22" i="1"/>
  <c r="BZ182" i="1"/>
  <c r="ED86" i="1"/>
  <c r="ED71" i="1"/>
  <c r="BZ230" i="1"/>
  <c r="AX86" i="1"/>
  <c r="ED119" i="1"/>
  <c r="DB230" i="1"/>
  <c r="V215" i="1"/>
  <c r="DB86" i="1"/>
  <c r="V119" i="1"/>
  <c r="V167" i="1"/>
  <c r="BZ167" i="1"/>
  <c r="AX215" i="1"/>
  <c r="V134" i="1"/>
  <c r="ED215" i="1"/>
  <c r="ED230" i="1"/>
  <c r="DB134" i="1"/>
  <c r="DB71" i="1"/>
  <c r="BZ119" i="1"/>
  <c r="DB182" i="1"/>
  <c r="ED167" i="1"/>
  <c r="AX167" i="1"/>
  <c r="V86" i="1"/>
  <c r="EC176" i="1"/>
  <c r="AW74" i="1"/>
  <c r="EA171" i="1"/>
  <c r="BX121" i="1"/>
  <c r="BX128" i="1"/>
  <c r="U131" i="1"/>
  <c r="DY74" i="1"/>
  <c r="EC220" i="1"/>
  <c r="AV130" i="1"/>
  <c r="BV227" i="1"/>
  <c r="AS127" i="1"/>
  <c r="BW226" i="1"/>
  <c r="AW82" i="1"/>
  <c r="DY170" i="1"/>
  <c r="T121" i="1"/>
  <c r="BX177" i="1"/>
  <c r="BW224" i="1"/>
  <c r="EC173" i="1"/>
  <c r="CY82" i="1"/>
  <c r="EB79" i="1"/>
  <c r="DA75" i="1"/>
  <c r="EB78" i="1"/>
  <c r="CY80" i="1"/>
  <c r="EC75" i="1"/>
  <c r="BX175" i="1"/>
  <c r="CW76" i="1"/>
  <c r="EC177" i="1"/>
  <c r="S26" i="1"/>
  <c r="S25" i="1"/>
  <c r="S127" i="1"/>
  <c r="BV179" i="1"/>
  <c r="CY77" i="1"/>
  <c r="BW130" i="1"/>
  <c r="CZ83" i="1"/>
  <c r="BX178" i="1"/>
  <c r="T125" i="1"/>
  <c r="EA73" i="1"/>
  <c r="BV218" i="1"/>
  <c r="BW171" i="1"/>
  <c r="CW179" i="1"/>
  <c r="T129" i="1"/>
  <c r="BY123" i="1"/>
  <c r="R128" i="1"/>
  <c r="T218" i="1"/>
  <c r="BV222" i="1"/>
  <c r="U78" i="1"/>
  <c r="EB225" i="1"/>
  <c r="AV174" i="1"/>
  <c r="BV122" i="1"/>
  <c r="BV126" i="1"/>
  <c r="BU172" i="1"/>
  <c r="U27" i="1"/>
  <c r="BW174" i="1"/>
  <c r="BU169" i="1"/>
  <c r="BU221" i="1"/>
  <c r="BU173" i="1"/>
  <c r="EA83" i="1"/>
  <c r="BX219" i="1"/>
  <c r="CY28" i="1"/>
  <c r="T75" i="1"/>
  <c r="CX25" i="1"/>
  <c r="Q77" i="1"/>
  <c r="AS73" i="1"/>
  <c r="S175" i="1"/>
  <c r="CX129" i="1"/>
  <c r="R176" i="1"/>
  <c r="U178" i="1"/>
  <c r="T217" i="1"/>
  <c r="DA79" i="1"/>
  <c r="Q219" i="1"/>
  <c r="BX131" i="1"/>
  <c r="AV176" i="1"/>
  <c r="AV220" i="1"/>
  <c r="EC124" i="1"/>
  <c r="DY128" i="1"/>
  <c r="DZ123" i="1"/>
  <c r="CX221" i="1"/>
  <c r="T29" i="1"/>
  <c r="R76" i="1"/>
  <c r="DA33" i="1"/>
  <c r="DZ178" i="1"/>
  <c r="DA34" i="1"/>
  <c r="DA170" i="1"/>
  <c r="CW224" i="1"/>
  <c r="AU227" i="1"/>
  <c r="EB127" i="1"/>
  <c r="CW225" i="1"/>
  <c r="DA122" i="1"/>
  <c r="U169" i="1"/>
  <c r="U172" i="1"/>
  <c r="AV179" i="1"/>
  <c r="DA178" i="1"/>
  <c r="Q73" i="1"/>
  <c r="AS78" i="1"/>
  <c r="CY220" i="1"/>
  <c r="AT83" i="1"/>
  <c r="CZ123" i="1"/>
  <c r="AV131" i="1"/>
  <c r="CW217" i="1"/>
  <c r="AU169" i="1"/>
  <c r="AW124" i="1"/>
  <c r="Q227" i="1"/>
  <c r="S221" i="1"/>
  <c r="AW76" i="1"/>
  <c r="CZ219" i="1"/>
  <c r="AV226" i="1"/>
  <c r="AW123" i="1"/>
  <c r="DA174" i="1"/>
  <c r="T24" i="1"/>
  <c r="S225" i="1"/>
  <c r="S223" i="1"/>
  <c r="EC129" i="1"/>
  <c r="DA172" i="1"/>
  <c r="CX27" i="1"/>
  <c r="S33" i="1"/>
  <c r="EC222" i="1"/>
  <c r="CX32" i="1"/>
  <c r="CW222" i="1"/>
  <c r="R177" i="1"/>
  <c r="EA175" i="1"/>
  <c r="S79" i="1"/>
  <c r="BY223" i="1"/>
  <c r="CY226" i="1"/>
  <c r="BX220" i="1"/>
  <c r="AU122" i="1"/>
  <c r="EC217" i="1"/>
  <c r="AW170" i="1"/>
  <c r="AV77" i="1"/>
  <c r="AV218" i="1"/>
  <c r="AV27" i="1"/>
  <c r="AS79" i="1"/>
  <c r="CZ218" i="1"/>
  <c r="EC130" i="1"/>
  <c r="T32" i="1"/>
  <c r="DA131" i="1"/>
  <c r="EB131" i="1"/>
  <c r="BU170" i="1"/>
  <c r="AU178" i="1"/>
  <c r="CX31" i="1"/>
  <c r="EB28" i="1"/>
  <c r="DY27" i="1"/>
  <c r="EC24" i="1"/>
  <c r="DY31" i="1"/>
  <c r="EB126" i="1"/>
  <c r="T34" i="1"/>
  <c r="R170" i="1"/>
  <c r="BX217" i="1"/>
  <c r="U173" i="1"/>
  <c r="AV129" i="1"/>
  <c r="EB172" i="1"/>
  <c r="CZ130" i="1"/>
  <c r="U220" i="1"/>
  <c r="U31" i="1"/>
  <c r="BV77" i="1"/>
  <c r="DA173" i="1"/>
  <c r="AV26" i="1"/>
  <c r="DA177" i="1"/>
  <c r="DA175" i="1"/>
  <c r="EA33" i="1"/>
  <c r="AS121" i="1"/>
  <c r="BW75" i="1"/>
  <c r="AU28" i="1"/>
  <c r="AS33" i="1"/>
  <c r="AV30" i="1"/>
  <c r="AV175" i="1"/>
  <c r="AV25" i="1"/>
  <c r="BY34" i="1"/>
  <c r="BX80" i="1"/>
  <c r="EA26" i="1"/>
  <c r="BW25" i="1"/>
  <c r="DZ30" i="1"/>
  <c r="BX78" i="1"/>
  <c r="BV27" i="1"/>
  <c r="BX29" i="1"/>
  <c r="BV31" i="1"/>
  <c r="BU28" i="1"/>
  <c r="AW34" i="1"/>
  <c r="BV82" i="1"/>
  <c r="BU32" i="1"/>
  <c r="BX24" i="1"/>
  <c r="BX73" i="1"/>
  <c r="DY34" i="1"/>
  <c r="BY83" i="1"/>
  <c r="BW81" i="1"/>
  <c r="AW32" i="1"/>
  <c r="CY95" i="1"/>
  <c r="CZ144" i="1"/>
  <c r="DA191" i="1"/>
  <c r="CX234" i="1"/>
  <c r="BY187" i="1"/>
  <c r="AW140" i="1"/>
  <c r="EB90" i="1"/>
  <c r="AS87" i="1"/>
  <c r="CW232" i="1"/>
  <c r="R137" i="1"/>
  <c r="Q97" i="1"/>
  <c r="EC193" i="1"/>
  <c r="CW44" i="1"/>
  <c r="AS186" i="1"/>
  <c r="Q49" i="1"/>
  <c r="BV192" i="1"/>
  <c r="DA238" i="1"/>
  <c r="T139" i="1"/>
  <c r="BU236" i="1"/>
  <c r="DY236" i="1"/>
  <c r="Q88" i="1"/>
  <c r="U188" i="1"/>
  <c r="DA45" i="1"/>
  <c r="CX93" i="1"/>
  <c r="BU233" i="1"/>
  <c r="BX186" i="1"/>
  <c r="DZ191" i="1"/>
  <c r="DZ235" i="1"/>
  <c r="S136" i="1"/>
  <c r="AS137" i="1"/>
  <c r="EC91" i="1"/>
  <c r="Q89" i="1"/>
  <c r="EA93" i="1"/>
  <c r="AV135" i="1"/>
  <c r="EA87" i="1"/>
  <c r="AW98" i="1"/>
  <c r="CW241" i="1"/>
  <c r="R145" i="1"/>
  <c r="DA142" i="1"/>
  <c r="AS89" i="1"/>
  <c r="CX97" i="1"/>
  <c r="BU238" i="1"/>
  <c r="CY98" i="1"/>
  <c r="DY232" i="1"/>
  <c r="AS241" i="1"/>
  <c r="T138" i="1"/>
  <c r="AV236" i="1"/>
  <c r="AS232" i="1"/>
  <c r="DZ184" i="1"/>
  <c r="DY183" i="1"/>
  <c r="AS146" i="1"/>
  <c r="CY94" i="1"/>
  <c r="BV30" i="1"/>
  <c r="BX137" i="1"/>
  <c r="BV184" i="1"/>
  <c r="DA146" i="1"/>
  <c r="BX231" i="1"/>
  <c r="DY189" i="1"/>
  <c r="AS145" i="1"/>
  <c r="EC88" i="1"/>
  <c r="CW233" i="1"/>
  <c r="AS242" i="1"/>
  <c r="CW240" i="1"/>
  <c r="AS90" i="1"/>
  <c r="AS238" i="1"/>
  <c r="BU193" i="1"/>
  <c r="DY186" i="1"/>
  <c r="BV33" i="1"/>
  <c r="BX140" i="1"/>
  <c r="Q38" i="1"/>
  <c r="CW41" i="1"/>
  <c r="BX141" i="1"/>
  <c r="CX47" i="1"/>
  <c r="CX38" i="1"/>
  <c r="Q194" i="1"/>
  <c r="Q40" i="1"/>
  <c r="CW190" i="1"/>
  <c r="DA143" i="1"/>
  <c r="Q39" i="1"/>
  <c r="AU192" i="1"/>
  <c r="Q45" i="1"/>
  <c r="BU146" i="1"/>
  <c r="Q47" i="1"/>
  <c r="Q48" i="1"/>
  <c r="BU144" i="1"/>
  <c r="Q190" i="1"/>
  <c r="EA97" i="1"/>
  <c r="CW231" i="1"/>
  <c r="U144" i="1"/>
  <c r="DY234" i="1"/>
  <c r="DA185" i="1"/>
  <c r="DY238" i="1"/>
  <c r="DA188" i="1"/>
  <c r="R185" i="1"/>
  <c r="BU242" i="1"/>
  <c r="AS88" i="1"/>
  <c r="AS188" i="1"/>
  <c r="AS189" i="1"/>
  <c r="T146" i="1"/>
  <c r="Q191" i="1"/>
  <c r="CW192" i="1"/>
  <c r="DY194" i="1"/>
  <c r="DY242" i="1"/>
  <c r="Q94" i="1"/>
  <c r="AS141" i="1"/>
  <c r="Q143" i="1"/>
  <c r="Q41" i="1"/>
  <c r="AW139" i="1"/>
  <c r="BU240" i="1"/>
  <c r="AW29" i="1"/>
  <c r="AS233" i="1"/>
  <c r="DY188" i="1"/>
  <c r="CW91" i="1"/>
  <c r="U183" i="1"/>
  <c r="BX143" i="1"/>
  <c r="CW39" i="1"/>
  <c r="AS143" i="1"/>
  <c r="BU241" i="1"/>
  <c r="CZ72" i="1"/>
  <c r="AW237" i="1"/>
  <c r="DA137" i="1"/>
  <c r="CW187" i="1"/>
  <c r="S96" i="1"/>
  <c r="DA141" i="1"/>
  <c r="AS144" i="1"/>
  <c r="BU194" i="1"/>
  <c r="EA94" i="1"/>
  <c r="BU237" i="1"/>
  <c r="AS97" i="1"/>
  <c r="R184" i="1"/>
  <c r="AS240" i="1"/>
  <c r="EC25" i="1"/>
  <c r="DY241" i="1"/>
  <c r="CW140" i="1"/>
  <c r="BU145" i="1"/>
  <c r="DA183" i="1"/>
  <c r="Q92" i="1"/>
  <c r="BW120" i="1"/>
  <c r="Q192" i="1"/>
  <c r="AS136" i="1"/>
  <c r="BV183" i="1"/>
  <c r="AS93" i="1"/>
  <c r="CX40" i="1"/>
  <c r="CW237" i="1"/>
  <c r="R141" i="1"/>
  <c r="CW186" i="1"/>
  <c r="EA120" i="1"/>
  <c r="CX236" i="1"/>
  <c r="Q87" i="1"/>
  <c r="DZ185" i="1"/>
  <c r="EB187" i="1"/>
  <c r="CZ89" i="1"/>
  <c r="Q186" i="1"/>
  <c r="U187" i="1"/>
  <c r="Q46" i="1"/>
  <c r="BX135" i="1"/>
  <c r="BU138" i="1"/>
  <c r="AV187" i="1"/>
  <c r="CW49" i="1"/>
  <c r="Q120" i="1"/>
  <c r="EA45" i="1"/>
  <c r="EA46" i="1"/>
  <c r="AS46" i="1"/>
  <c r="BW41" i="1"/>
  <c r="BW92" i="1"/>
  <c r="BW87" i="1"/>
  <c r="AS48" i="1"/>
  <c r="EC140" i="1"/>
  <c r="AS38" i="1"/>
  <c r="S232" i="1"/>
  <c r="AT49" i="1"/>
  <c r="DY136" i="1"/>
  <c r="BV97" i="1"/>
  <c r="AT23" i="1"/>
  <c r="EA139" i="1"/>
  <c r="U239" i="1"/>
  <c r="S242" i="1"/>
  <c r="BY89" i="1"/>
  <c r="DY216" i="1"/>
  <c r="BW45" i="1"/>
  <c r="BU49" i="1"/>
  <c r="EA138" i="1"/>
  <c r="EC43" i="1"/>
  <c r="EA40" i="1"/>
  <c r="CY120" i="1"/>
  <c r="Q241" i="1"/>
  <c r="AU41" i="1"/>
  <c r="EC144" i="1"/>
  <c r="DY47" i="1"/>
  <c r="BW42" i="1"/>
  <c r="DZ135" i="1"/>
  <c r="BU93" i="1"/>
  <c r="AV42" i="1"/>
  <c r="U234" i="1"/>
  <c r="BX44" i="1"/>
  <c r="U235" i="1"/>
  <c r="EB168" i="1"/>
  <c r="CX168" i="1"/>
  <c r="T236" i="1"/>
  <c r="BW72" i="1"/>
  <c r="DZ143" i="1"/>
  <c r="AW45" i="1"/>
  <c r="BY168" i="1"/>
  <c r="BU216" i="1"/>
  <c r="AV43" i="1"/>
  <c r="U233" i="1"/>
  <c r="BY98" i="1"/>
  <c r="DA216" i="1"/>
  <c r="AW47" i="1"/>
  <c r="EC23" i="1"/>
  <c r="DZ142" i="1"/>
  <c r="EC44" i="1"/>
  <c r="BU39" i="1"/>
  <c r="DZ137" i="1"/>
  <c r="BW90" i="1"/>
  <c r="AU39" i="1"/>
  <c r="EA42" i="1"/>
  <c r="DZ38" i="1"/>
  <c r="T168" i="1"/>
  <c r="BU47" i="1"/>
  <c r="BU40" i="1"/>
  <c r="R23" i="1"/>
  <c r="AS72" i="1"/>
  <c r="AU120" i="1"/>
  <c r="CZ23" i="1"/>
  <c r="Q72" i="1"/>
  <c r="T122" i="1" l="1"/>
  <c r="Q122" i="1"/>
  <c r="CZ77" i="1"/>
  <c r="Q234" i="1"/>
  <c r="AS41" i="1"/>
  <c r="BU140" i="1"/>
  <c r="CX33" i="1"/>
  <c r="Q26" i="1"/>
  <c r="AS139" i="1"/>
  <c r="CW238" i="1"/>
  <c r="EC188" i="1"/>
  <c r="EB24" i="1"/>
  <c r="CY93" i="1"/>
  <c r="AW72" i="1"/>
  <c r="CW236" i="1"/>
  <c r="Q188" i="1"/>
  <c r="BU29" i="1"/>
  <c r="AS43" i="1"/>
  <c r="CW168" i="1"/>
  <c r="DY97" i="1"/>
  <c r="AS135" i="1"/>
  <c r="BU186" i="1"/>
  <c r="AW30" i="1"/>
  <c r="DZ172" i="1"/>
  <c r="AU27" i="1"/>
  <c r="U24" i="1"/>
  <c r="DA187" i="1"/>
  <c r="AW143" i="1"/>
  <c r="R25" i="1"/>
  <c r="DY137" i="1"/>
  <c r="BU72" i="1"/>
  <c r="BU44" i="1"/>
  <c r="BU41" i="1"/>
  <c r="U232" i="1"/>
  <c r="DY94" i="1"/>
  <c r="BV186" i="1"/>
  <c r="AV186" i="1"/>
  <c r="CW144" i="1"/>
  <c r="BW83" i="1"/>
  <c r="BW78" i="1"/>
  <c r="CX76" i="1"/>
  <c r="T145" i="1"/>
  <c r="AV41" i="1"/>
  <c r="CX89" i="1"/>
  <c r="U184" i="1"/>
  <c r="EA216" i="1"/>
  <c r="CY240" i="1"/>
  <c r="S137" i="1"/>
  <c r="AV169" i="1"/>
  <c r="U26" i="1"/>
  <c r="DA97" i="1"/>
  <c r="DA23" i="1"/>
  <c r="CX120" i="1"/>
  <c r="S94" i="1"/>
  <c r="CX77" i="1"/>
  <c r="BV44" i="1"/>
  <c r="BU42" i="1"/>
  <c r="AW41" i="1"/>
  <c r="CW120" i="1"/>
  <c r="AV72" i="1"/>
  <c r="AU23" i="1"/>
  <c r="DY187" i="1"/>
  <c r="Q146" i="1"/>
  <c r="EC136" i="1"/>
  <c r="CW94" i="1"/>
  <c r="Q145" i="1"/>
  <c r="AW83" i="1"/>
  <c r="DZ24" i="1"/>
  <c r="DY124" i="1"/>
  <c r="R26" i="1"/>
  <c r="BX224" i="1"/>
  <c r="BX216" i="1"/>
  <c r="CY232" i="1"/>
  <c r="DZ44" i="1"/>
  <c r="DA168" i="1"/>
  <c r="AV141" i="1"/>
  <c r="BV120" i="1"/>
  <c r="EA88" i="1"/>
  <c r="AU26" i="1"/>
  <c r="BV216" i="1"/>
  <c r="BW93" i="1"/>
  <c r="R186" i="1"/>
  <c r="AV188" i="1"/>
  <c r="BX144" i="1"/>
  <c r="BX146" i="1"/>
  <c r="DA94" i="1"/>
  <c r="AT135" i="1"/>
  <c r="CZ191" i="1"/>
  <c r="DY78" i="1"/>
  <c r="BU179" i="1"/>
  <c r="EB74" i="1"/>
  <c r="T131" i="1"/>
  <c r="Q233" i="1"/>
  <c r="BW216" i="1"/>
  <c r="Q235" i="1"/>
  <c r="DY135" i="1"/>
  <c r="BV42" i="1"/>
  <c r="DY144" i="1"/>
  <c r="BV72" i="1"/>
  <c r="Q187" i="1"/>
  <c r="DZ187" i="1"/>
  <c r="DZ194" i="1"/>
  <c r="R191" i="1"/>
  <c r="T232" i="1"/>
  <c r="BY97" i="1"/>
  <c r="EB135" i="1"/>
  <c r="DY88" i="1"/>
  <c r="AV241" i="1"/>
  <c r="BY73" i="1"/>
  <c r="BV32" i="1"/>
  <c r="S139" i="1"/>
  <c r="BW77" i="1"/>
  <c r="DZ27" i="1"/>
  <c r="R32" i="1"/>
  <c r="DZ31" i="1"/>
  <c r="DY79" i="1"/>
  <c r="AV74" i="1"/>
  <c r="AT168" i="1"/>
  <c r="AV168" i="1"/>
  <c r="EC145" i="1"/>
  <c r="EB145" i="1"/>
  <c r="EA145" i="1"/>
  <c r="DY145" i="1"/>
  <c r="DZ145" i="1"/>
  <c r="AS95" i="1"/>
  <c r="AV95" i="1"/>
  <c r="BY191" i="1"/>
  <c r="BW191" i="1"/>
  <c r="BV191" i="1"/>
  <c r="R72" i="1"/>
  <c r="T234" i="1"/>
  <c r="S234" i="1"/>
  <c r="R234" i="1"/>
  <c r="EC47" i="1"/>
  <c r="EA47" i="1"/>
  <c r="EB47" i="1"/>
  <c r="S231" i="1"/>
  <c r="T231" i="1"/>
  <c r="R231" i="1"/>
  <c r="CX186" i="1"/>
  <c r="CY186" i="1"/>
  <c r="DA186" i="1"/>
  <c r="EA89" i="1"/>
  <c r="EB89" i="1"/>
  <c r="S192" i="1"/>
  <c r="R192" i="1"/>
  <c r="DY231" i="1"/>
  <c r="EB231" i="1"/>
  <c r="CX39" i="1"/>
  <c r="T143" i="1"/>
  <c r="AV189" i="1"/>
  <c r="AW189" i="1"/>
  <c r="AT189" i="1"/>
  <c r="AW88" i="1"/>
  <c r="AT88" i="1"/>
  <c r="EA190" i="1"/>
  <c r="DY190" i="1"/>
  <c r="BV193" i="1"/>
  <c r="DZ239" i="1"/>
  <c r="DY239" i="1"/>
  <c r="EA143" i="1"/>
  <c r="AS185" i="1"/>
  <c r="AT185" i="1"/>
  <c r="CW239" i="1"/>
  <c r="CY239" i="1"/>
  <c r="DA239" i="1"/>
  <c r="EC32" i="1"/>
  <c r="DY32" i="1"/>
  <c r="DZ32" i="1"/>
  <c r="EB32" i="1"/>
  <c r="S74" i="1"/>
  <c r="T74" i="1"/>
  <c r="Q74" i="1"/>
  <c r="AU81" i="1"/>
  <c r="AT81" i="1"/>
  <c r="EA23" i="1"/>
  <c r="DY23" i="1"/>
  <c r="EB72" i="1"/>
  <c r="EA72" i="1"/>
  <c r="BY92" i="1"/>
  <c r="BU92" i="1"/>
  <c r="CX141" i="1"/>
  <c r="CW141" i="1"/>
  <c r="EB143" i="1"/>
  <c r="DA136" i="1"/>
  <c r="CW136" i="1"/>
  <c r="CW43" i="1"/>
  <c r="CY43" i="1"/>
  <c r="BY76" i="1"/>
  <c r="BW76" i="1"/>
  <c r="BX76" i="1"/>
  <c r="T126" i="1"/>
  <c r="U126" i="1"/>
  <c r="R126" i="1"/>
  <c r="BX40" i="1"/>
  <c r="BY40" i="1"/>
  <c r="BY39" i="1"/>
  <c r="BV39" i="1"/>
  <c r="EB142" i="1"/>
  <c r="DY142" i="1"/>
  <c r="T72" i="1"/>
  <c r="DY44" i="1"/>
  <c r="BY93" i="1"/>
  <c r="BW91" i="1"/>
  <c r="BY91" i="1"/>
  <c r="AU72" i="1"/>
  <c r="AS49" i="1"/>
  <c r="BV87" i="1"/>
  <c r="BX87" i="1"/>
  <c r="BU87" i="1"/>
  <c r="EB46" i="1"/>
  <c r="DY46" i="1"/>
  <c r="DZ46" i="1"/>
  <c r="BY48" i="1"/>
  <c r="BU48" i="1"/>
  <c r="BW48" i="1"/>
  <c r="BX48" i="1"/>
  <c r="BV48" i="1"/>
  <c r="EB139" i="1"/>
  <c r="CW40" i="1"/>
  <c r="BU120" i="1"/>
  <c r="BX120" i="1"/>
  <c r="BW143" i="1"/>
  <c r="BY143" i="1"/>
  <c r="BU143" i="1"/>
  <c r="DA192" i="1"/>
  <c r="CZ185" i="1"/>
  <c r="CW185" i="1"/>
  <c r="BY42" i="1"/>
  <c r="BU141" i="1"/>
  <c r="AT43" i="1"/>
  <c r="CZ88" i="1"/>
  <c r="CY88" i="1"/>
  <c r="DZ190" i="1"/>
  <c r="EC183" i="1"/>
  <c r="DZ47" i="1"/>
  <c r="CW46" i="1"/>
  <c r="CX46" i="1"/>
  <c r="BX238" i="1"/>
  <c r="CX227" i="1"/>
  <c r="DA227" i="1"/>
  <c r="BV125" i="1"/>
  <c r="BX125" i="1"/>
  <c r="BV89" i="1"/>
  <c r="BU89" i="1"/>
  <c r="EC45" i="1"/>
  <c r="DZ45" i="1"/>
  <c r="DY45" i="1"/>
  <c r="AS120" i="1"/>
  <c r="AW120" i="1"/>
  <c r="DY143" i="1"/>
  <c r="Q236" i="1"/>
  <c r="EA168" i="1"/>
  <c r="DZ72" i="1"/>
  <c r="AW168" i="1"/>
  <c r="AT216" i="1"/>
  <c r="AS216" i="1"/>
  <c r="AW216" i="1"/>
  <c r="AT40" i="1"/>
  <c r="AW40" i="1"/>
  <c r="AV40" i="1"/>
  <c r="AU40" i="1"/>
  <c r="BW89" i="1"/>
  <c r="DY72" i="1"/>
  <c r="BW39" i="1"/>
  <c r="EC143" i="1"/>
  <c r="CZ190" i="1"/>
  <c r="DA190" i="1"/>
  <c r="CW38" i="1"/>
  <c r="BX39" i="1"/>
  <c r="CZ145" i="1"/>
  <c r="CW145" i="1"/>
  <c r="BW184" i="1"/>
  <c r="BU184" i="1"/>
  <c r="BX184" i="1"/>
  <c r="BU191" i="1"/>
  <c r="AT28" i="1"/>
  <c r="AW28" i="1"/>
  <c r="AW223" i="1"/>
  <c r="AV223" i="1"/>
  <c r="AW171" i="1"/>
  <c r="AV171" i="1"/>
  <c r="AW125" i="1"/>
  <c r="AU125" i="1"/>
  <c r="R140" i="1"/>
  <c r="U140" i="1"/>
  <c r="AU126" i="1"/>
  <c r="AS126" i="1"/>
  <c r="DZ77" i="1"/>
  <c r="EC77" i="1"/>
  <c r="DY77" i="1"/>
  <c r="EA77" i="1"/>
  <c r="AW80" i="1"/>
  <c r="AT80" i="1"/>
  <c r="DY121" i="1"/>
  <c r="EB121" i="1"/>
  <c r="DZ82" i="1"/>
  <c r="EC82" i="1"/>
  <c r="BY216" i="1"/>
  <c r="DY138" i="1"/>
  <c r="Q242" i="1"/>
  <c r="AV23" i="1"/>
  <c r="BX72" i="1"/>
  <c r="DZ136" i="1"/>
  <c r="AT41" i="1"/>
  <c r="CW89" i="1"/>
  <c r="EA241" i="1"/>
  <c r="DZ241" i="1"/>
  <c r="Q184" i="1"/>
  <c r="S146" i="1"/>
  <c r="U146" i="1"/>
  <c r="R146" i="1"/>
  <c r="EA136" i="1"/>
  <c r="EB137" i="1"/>
  <c r="CY92" i="1"/>
  <c r="DA92" i="1"/>
  <c r="R142" i="1"/>
  <c r="S142" i="1"/>
  <c r="AW242" i="1"/>
  <c r="AU242" i="1"/>
  <c r="Q138" i="1"/>
  <c r="EC87" i="1"/>
  <c r="DY87" i="1"/>
  <c r="BU192" i="1"/>
  <c r="CX44" i="1"/>
  <c r="CZ184" i="1"/>
  <c r="CY184" i="1"/>
  <c r="CX184" i="1"/>
  <c r="BU187" i="1"/>
  <c r="CW191" i="1"/>
  <c r="BX33" i="1"/>
  <c r="BW24" i="1"/>
  <c r="BV24" i="1"/>
  <c r="DZ169" i="1"/>
  <c r="EA169" i="1"/>
  <c r="U174" i="1"/>
  <c r="T174" i="1"/>
  <c r="Q224" i="1"/>
  <c r="S224" i="1"/>
  <c r="CY33" i="1"/>
  <c r="CZ30" i="1"/>
  <c r="CY30" i="1"/>
  <c r="T120" i="1"/>
  <c r="S120" i="1"/>
  <c r="R233" i="1"/>
  <c r="R242" i="1"/>
  <c r="EA137" i="1"/>
  <c r="EB136" i="1"/>
  <c r="DY240" i="1"/>
  <c r="EA240" i="1"/>
  <c r="AW235" i="1"/>
  <c r="AU235" i="1"/>
  <c r="CY127" i="1"/>
  <c r="DA127" i="1"/>
  <c r="AS77" i="1"/>
  <c r="T222" i="1"/>
  <c r="R222" i="1"/>
  <c r="BY174" i="1"/>
  <c r="BU174" i="1"/>
  <c r="EB80" i="1"/>
  <c r="EC80" i="1"/>
  <c r="EB77" i="1"/>
  <c r="U222" i="1"/>
  <c r="BW128" i="1"/>
  <c r="CY97" i="1"/>
  <c r="BV78" i="1"/>
  <c r="BW29" i="1"/>
  <c r="AW33" i="1"/>
  <c r="EB31" i="1"/>
  <c r="BY75" i="1"/>
  <c r="BY77" i="1"/>
  <c r="T177" i="1"/>
  <c r="CW83" i="1"/>
  <c r="EA176" i="1"/>
  <c r="AV33" i="1"/>
  <c r="BX75" i="1"/>
  <c r="BU77" i="1"/>
  <c r="EC31" i="1"/>
  <c r="EA24" i="1"/>
  <c r="CZ174" i="1"/>
  <c r="AS76" i="1"/>
  <c r="AV78" i="1"/>
  <c r="EC27" i="1"/>
  <c r="AU174" i="1"/>
  <c r="T26" i="1"/>
  <c r="DY176" i="1"/>
  <c r="T237" i="1"/>
  <c r="Q237" i="1"/>
  <c r="S237" i="1"/>
  <c r="R237" i="1"/>
  <c r="U237" i="1"/>
  <c r="BV23" i="1"/>
  <c r="BX23" i="1"/>
  <c r="AU191" i="1"/>
  <c r="AW191" i="1"/>
  <c r="AT191" i="1"/>
  <c r="U91" i="1"/>
  <c r="S91" i="1"/>
  <c r="T91" i="1"/>
  <c r="R91" i="1"/>
  <c r="Q91" i="1"/>
  <c r="BV239" i="1"/>
  <c r="BW239" i="1"/>
  <c r="BX239" i="1"/>
  <c r="BY239" i="1"/>
  <c r="EB92" i="1"/>
  <c r="EA92" i="1"/>
  <c r="DY92" i="1"/>
  <c r="EC92" i="1"/>
  <c r="DZ92" i="1"/>
  <c r="AU142" i="1"/>
  <c r="AT142" i="1"/>
  <c r="AW142" i="1"/>
  <c r="AV142" i="1"/>
  <c r="AS142" i="1"/>
  <c r="AT96" i="1"/>
  <c r="AV96" i="1"/>
  <c r="AW96" i="1"/>
  <c r="AU96" i="1"/>
  <c r="AS96" i="1"/>
  <c r="AT47" i="1"/>
  <c r="T98" i="1"/>
  <c r="U98" i="1"/>
  <c r="R98" i="1"/>
  <c r="BW185" i="1"/>
  <c r="BX185" i="1"/>
  <c r="BY185" i="1"/>
  <c r="BV185" i="1"/>
  <c r="BU185" i="1"/>
  <c r="AU193" i="1"/>
  <c r="AW193" i="1"/>
  <c r="AT193" i="1"/>
  <c r="AV193" i="1"/>
  <c r="AS193" i="1"/>
  <c r="EA233" i="1"/>
  <c r="EC233" i="1"/>
  <c r="DZ233" i="1"/>
  <c r="DY233" i="1"/>
  <c r="EB233" i="1"/>
  <c r="DZ95" i="1"/>
  <c r="EC95" i="1"/>
  <c r="EB95" i="1"/>
  <c r="EA95" i="1"/>
  <c r="DY95" i="1"/>
  <c r="BY235" i="1"/>
  <c r="BW235" i="1"/>
  <c r="BV235" i="1"/>
  <c r="BX235" i="1"/>
  <c r="BU235" i="1"/>
  <c r="S23" i="1"/>
  <c r="T23" i="1"/>
  <c r="Q23" i="1"/>
  <c r="U23" i="1"/>
  <c r="EB49" i="1"/>
  <c r="DY49" i="1"/>
  <c r="DZ49" i="1"/>
  <c r="EA49" i="1"/>
  <c r="EC49" i="1"/>
  <c r="BY96" i="1"/>
  <c r="BX96" i="1"/>
  <c r="BV96" i="1"/>
  <c r="BU96" i="1"/>
  <c r="BW96" i="1"/>
  <c r="EC141" i="1"/>
  <c r="EB141" i="1"/>
  <c r="DY141" i="1"/>
  <c r="DZ141" i="1"/>
  <c r="EA141" i="1"/>
  <c r="AT48" i="1"/>
  <c r="AW48" i="1"/>
  <c r="AV48" i="1"/>
  <c r="AU48" i="1"/>
  <c r="CZ48" i="1"/>
  <c r="CY48" i="1"/>
  <c r="DA48" i="1"/>
  <c r="CX48" i="1"/>
  <c r="CW48" i="1"/>
  <c r="AV191" i="1"/>
  <c r="EB43" i="1"/>
  <c r="EB25" i="1"/>
  <c r="DY25" i="1"/>
  <c r="DZ25" i="1"/>
  <c r="EA25" i="1"/>
  <c r="BW237" i="1"/>
  <c r="BV237" i="1"/>
  <c r="BY237" i="1"/>
  <c r="BX237" i="1"/>
  <c r="DZ192" i="1"/>
  <c r="EA192" i="1"/>
  <c r="DY192" i="1"/>
  <c r="EC192" i="1"/>
  <c r="EB192" i="1"/>
  <c r="S98" i="1"/>
  <c r="AW190" i="1"/>
  <c r="AU190" i="1"/>
  <c r="AV190" i="1"/>
  <c r="AS190" i="1"/>
  <c r="AT190" i="1"/>
  <c r="AT94" i="1"/>
  <c r="AW94" i="1"/>
  <c r="AV94" i="1"/>
  <c r="AS94" i="1"/>
  <c r="AU94" i="1"/>
  <c r="CY23" i="1"/>
  <c r="CX23" i="1"/>
  <c r="BW47" i="1"/>
  <c r="BV47" i="1"/>
  <c r="BX47" i="1"/>
  <c r="BW38" i="1"/>
  <c r="BV38" i="1"/>
  <c r="BX38" i="1"/>
  <c r="BU38" i="1"/>
  <c r="BV46" i="1"/>
  <c r="BY46" i="1"/>
  <c r="BW46" i="1"/>
  <c r="BU46" i="1"/>
  <c r="BX46" i="1"/>
  <c r="EB144" i="1"/>
  <c r="DZ144" i="1"/>
  <c r="BV49" i="1"/>
  <c r="BY49" i="1"/>
  <c r="BY45" i="1"/>
  <c r="BV45" i="1"/>
  <c r="BU45" i="1"/>
  <c r="AW44" i="1"/>
  <c r="AS44" i="1"/>
  <c r="AT44" i="1"/>
  <c r="AU44" i="1"/>
  <c r="AV44" i="1"/>
  <c r="BX95" i="1"/>
  <c r="BW95" i="1"/>
  <c r="BV95" i="1"/>
  <c r="BU95" i="1"/>
  <c r="BY95" i="1"/>
  <c r="BW23" i="1"/>
  <c r="DY139" i="1"/>
  <c r="DZ139" i="1"/>
  <c r="EC139" i="1"/>
  <c r="BU97" i="1"/>
  <c r="BX97" i="1"/>
  <c r="BW97" i="1"/>
  <c r="AT38" i="1"/>
  <c r="AU38" i="1"/>
  <c r="AV38" i="1"/>
  <c r="BY23" i="1"/>
  <c r="AW23" i="1"/>
  <c r="AW38" i="1"/>
  <c r="CY49" i="1"/>
  <c r="CZ49" i="1"/>
  <c r="DA49" i="1"/>
  <c r="AW231" i="1"/>
  <c r="AT231" i="1"/>
  <c r="AS231" i="1"/>
  <c r="AU231" i="1"/>
  <c r="AV231" i="1"/>
  <c r="U87" i="1"/>
  <c r="T87" i="1"/>
  <c r="R87" i="1"/>
  <c r="S87" i="1"/>
  <c r="BX145" i="1"/>
  <c r="BW145" i="1"/>
  <c r="BY145" i="1"/>
  <c r="BV145" i="1"/>
  <c r="CZ187" i="1"/>
  <c r="CY187" i="1"/>
  <c r="CX187" i="1"/>
  <c r="CX72" i="1"/>
  <c r="EA144" i="1"/>
  <c r="AW141" i="1"/>
  <c r="AT141" i="1"/>
  <c r="AU141" i="1"/>
  <c r="T94" i="1"/>
  <c r="U94" i="1"/>
  <c r="R94" i="1"/>
  <c r="EB242" i="1"/>
  <c r="EA242" i="1"/>
  <c r="DZ242" i="1"/>
  <c r="EC242" i="1"/>
  <c r="U95" i="1"/>
  <c r="R95" i="1"/>
  <c r="S95" i="1"/>
  <c r="T95" i="1"/>
  <c r="Q95" i="1"/>
  <c r="Q216" i="1"/>
  <c r="T216" i="1"/>
  <c r="S216" i="1"/>
  <c r="U216" i="1"/>
  <c r="R216" i="1"/>
  <c r="AS23" i="1"/>
  <c r="CY135" i="1"/>
  <c r="DA135" i="1"/>
  <c r="CX135" i="1"/>
  <c r="CZ135" i="1"/>
  <c r="CW135" i="1"/>
  <c r="R42" i="1"/>
  <c r="U42" i="1"/>
  <c r="S42" i="1"/>
  <c r="T42" i="1"/>
  <c r="Q42" i="1"/>
  <c r="BV142" i="1"/>
  <c r="BX142" i="1"/>
  <c r="BY142" i="1"/>
  <c r="BW142" i="1"/>
  <c r="BU142" i="1"/>
  <c r="AW183" i="1"/>
  <c r="AU183" i="1"/>
  <c r="AV183" i="1"/>
  <c r="AS183" i="1"/>
  <c r="AT183" i="1"/>
  <c r="AT42" i="1"/>
  <c r="AV45" i="1"/>
  <c r="AV39" i="1"/>
  <c r="CY193" i="1"/>
  <c r="CZ193" i="1"/>
  <c r="CX193" i="1"/>
  <c r="DA193" i="1"/>
  <c r="CW193" i="1"/>
  <c r="BY47" i="1"/>
  <c r="BX43" i="1"/>
  <c r="BY43" i="1"/>
  <c r="EA38" i="1"/>
  <c r="EC38" i="1"/>
  <c r="EB38" i="1"/>
  <c r="DZ48" i="1"/>
  <c r="EC48" i="1"/>
  <c r="EB42" i="1"/>
  <c r="DZ42" i="1"/>
  <c r="BV90" i="1"/>
  <c r="BY90" i="1"/>
  <c r="BX90" i="1"/>
  <c r="BV94" i="1"/>
  <c r="BX94" i="1"/>
  <c r="BU94" i="1"/>
  <c r="BY94" i="1"/>
  <c r="BW94" i="1"/>
  <c r="AU47" i="1"/>
  <c r="AS47" i="1"/>
  <c r="BV98" i="1"/>
  <c r="BU98" i="1"/>
  <c r="BX98" i="1"/>
  <c r="AW42" i="1"/>
  <c r="AS42" i="1"/>
  <c r="AU42" i="1"/>
  <c r="BV88" i="1"/>
  <c r="BU88" i="1"/>
  <c r="BW88" i="1"/>
  <c r="BY88" i="1"/>
  <c r="BX88" i="1"/>
  <c r="DZ40" i="1"/>
  <c r="EB40" i="1"/>
  <c r="EA39" i="1"/>
  <c r="DZ39" i="1"/>
  <c r="EB39" i="1"/>
  <c r="EC39" i="1"/>
  <c r="EC40" i="1"/>
  <c r="EA48" i="1"/>
  <c r="AU92" i="1"/>
  <c r="AW92" i="1"/>
  <c r="AV92" i="1"/>
  <c r="AS92" i="1"/>
  <c r="AT92" i="1"/>
  <c r="CY138" i="1"/>
  <c r="CX138" i="1"/>
  <c r="DA138" i="1"/>
  <c r="DZ43" i="1"/>
  <c r="AU138" i="1"/>
  <c r="AV138" i="1"/>
  <c r="AT138" i="1"/>
  <c r="AW138" i="1"/>
  <c r="AS138" i="1"/>
  <c r="CZ42" i="1"/>
  <c r="CY42" i="1"/>
  <c r="CX42" i="1"/>
  <c r="CW42" i="1"/>
  <c r="DA42" i="1"/>
  <c r="S168" i="1"/>
  <c r="Q168" i="1"/>
  <c r="BW43" i="1"/>
  <c r="EB48" i="1"/>
  <c r="AW39" i="1"/>
  <c r="BV168" i="1"/>
  <c r="BU168" i="1"/>
  <c r="BW168" i="1"/>
  <c r="BX168" i="1"/>
  <c r="EA43" i="1"/>
  <c r="Q240" i="1"/>
  <c r="T240" i="1"/>
  <c r="S240" i="1"/>
  <c r="DY140" i="1"/>
  <c r="EB140" i="1"/>
  <c r="DZ140" i="1"/>
  <c r="EA140" i="1"/>
  <c r="AT46" i="1"/>
  <c r="AW46" i="1"/>
  <c r="AV46" i="1"/>
  <c r="AU46" i="1"/>
  <c r="BW98" i="1"/>
  <c r="T44" i="1"/>
  <c r="U44" i="1"/>
  <c r="S44" i="1"/>
  <c r="R44" i="1"/>
  <c r="Q44" i="1"/>
  <c r="U46" i="1"/>
  <c r="T46" i="1"/>
  <c r="R46" i="1"/>
  <c r="S46" i="1"/>
  <c r="S135" i="1"/>
  <c r="T135" i="1"/>
  <c r="Q135" i="1"/>
  <c r="U135" i="1"/>
  <c r="R135" i="1"/>
  <c r="EC98" i="1"/>
  <c r="EB98" i="1"/>
  <c r="DZ98" i="1"/>
  <c r="EA98" i="1"/>
  <c r="DY98" i="1"/>
  <c r="DA91" i="1"/>
  <c r="CY91" i="1"/>
  <c r="CZ91" i="1"/>
  <c r="CX91" i="1"/>
  <c r="CZ138" i="1"/>
  <c r="R240" i="1"/>
  <c r="CY235" i="1"/>
  <c r="DA235" i="1"/>
  <c r="CZ235" i="1"/>
  <c r="CX235" i="1"/>
  <c r="CW235" i="1"/>
  <c r="BW190" i="1"/>
  <c r="BX190" i="1"/>
  <c r="BV190" i="1"/>
  <c r="BU190" i="1"/>
  <c r="BY190" i="1"/>
  <c r="S72" i="1"/>
  <c r="U72" i="1"/>
  <c r="AT120" i="1"/>
  <c r="AV120" i="1"/>
  <c r="EA41" i="1"/>
  <c r="DZ41" i="1"/>
  <c r="EB41" i="1"/>
  <c r="DY41" i="1"/>
  <c r="EC41" i="1"/>
  <c r="BU43" i="1"/>
  <c r="DY38" i="1"/>
  <c r="DY48" i="1"/>
  <c r="DY42" i="1"/>
  <c r="AS39" i="1"/>
  <c r="BU90" i="1"/>
  <c r="DZ23" i="1"/>
  <c r="EB23" i="1"/>
  <c r="CW216" i="1"/>
  <c r="CY216" i="1"/>
  <c r="CW23" i="1"/>
  <c r="AS45" i="1"/>
  <c r="S235" i="1"/>
  <c r="T235" i="1"/>
  <c r="R235" i="1"/>
  <c r="CX216" i="1"/>
  <c r="BU23" i="1"/>
  <c r="BV93" i="1"/>
  <c r="BX93" i="1"/>
  <c r="EA135" i="1"/>
  <c r="EC135" i="1"/>
  <c r="CZ216" i="1"/>
  <c r="S241" i="1"/>
  <c r="T241" i="1"/>
  <c r="U241" i="1"/>
  <c r="R241" i="1"/>
  <c r="DY40" i="1"/>
  <c r="DY43" i="1"/>
  <c r="R168" i="1"/>
  <c r="BW49" i="1"/>
  <c r="EA146" i="1"/>
  <c r="EC146" i="1"/>
  <c r="EB146" i="1"/>
  <c r="DY146" i="1"/>
  <c r="DZ146" i="1"/>
  <c r="R238" i="1"/>
  <c r="T238" i="1"/>
  <c r="Q238" i="1"/>
  <c r="S238" i="1"/>
  <c r="U238" i="1"/>
  <c r="DY39" i="1"/>
  <c r="BX41" i="1"/>
  <c r="BY41" i="1"/>
  <c r="U168" i="1"/>
  <c r="BX45" i="1"/>
  <c r="BW136" i="1"/>
  <c r="BY136" i="1"/>
  <c r="BV136" i="1"/>
  <c r="BX136" i="1"/>
  <c r="BU136" i="1"/>
  <c r="BV41" i="1"/>
  <c r="CX49" i="1"/>
  <c r="U240" i="1"/>
  <c r="AS191" i="1"/>
  <c r="BY38" i="1"/>
  <c r="AT39" i="1"/>
  <c r="CX96" i="1"/>
  <c r="CZ96" i="1"/>
  <c r="CY96" i="1"/>
  <c r="DA96" i="1"/>
  <c r="CW96" i="1"/>
  <c r="DZ120" i="1"/>
  <c r="EB120" i="1"/>
  <c r="DY120" i="1"/>
  <c r="EC120" i="1"/>
  <c r="CY139" i="1"/>
  <c r="DA139" i="1"/>
  <c r="CZ139" i="1"/>
  <c r="CW139" i="1"/>
  <c r="CX139" i="1"/>
  <c r="EB237" i="1"/>
  <c r="DZ237" i="1"/>
  <c r="EA237" i="1"/>
  <c r="DY237" i="1"/>
  <c r="EC237" i="1"/>
  <c r="CY237" i="1"/>
  <c r="CX237" i="1"/>
  <c r="DA237" i="1"/>
  <c r="CZ237" i="1"/>
  <c r="BU239" i="1"/>
  <c r="AT240" i="1"/>
  <c r="AU240" i="1"/>
  <c r="AW240" i="1"/>
  <c r="AV240" i="1"/>
  <c r="CW72" i="1"/>
  <c r="DA72" i="1"/>
  <c r="AT45" i="1"/>
  <c r="DA39" i="1"/>
  <c r="CZ39" i="1"/>
  <c r="CY39" i="1"/>
  <c r="EC42" i="1"/>
  <c r="BV43" i="1"/>
  <c r="AW234" i="1"/>
  <c r="AV234" i="1"/>
  <c r="AU234" i="1"/>
  <c r="AT234" i="1"/>
  <c r="AS234" i="1"/>
  <c r="Q98" i="1"/>
  <c r="CW138" i="1"/>
  <c r="R193" i="1"/>
  <c r="S193" i="1"/>
  <c r="T193" i="1"/>
  <c r="U193" i="1"/>
  <c r="Q193" i="1"/>
  <c r="BY232" i="1"/>
  <c r="BV232" i="1"/>
  <c r="BW232" i="1"/>
  <c r="BX232" i="1"/>
  <c r="BU232" i="1"/>
  <c r="EC96" i="1"/>
  <c r="EB96" i="1"/>
  <c r="EA96" i="1"/>
  <c r="DY96" i="1"/>
  <c r="DZ96" i="1"/>
  <c r="BY189" i="1"/>
  <c r="BW189" i="1"/>
  <c r="BU189" i="1"/>
  <c r="BV189" i="1"/>
  <c r="BX189" i="1"/>
  <c r="AW188" i="1"/>
  <c r="AT188" i="1"/>
  <c r="AU188" i="1"/>
  <c r="S189" i="1"/>
  <c r="T189" i="1"/>
  <c r="U189" i="1"/>
  <c r="Q189" i="1"/>
  <c r="R189" i="1"/>
  <c r="U90" i="1"/>
  <c r="S90" i="1"/>
  <c r="R90" i="1"/>
  <c r="T90" i="1"/>
  <c r="Q90" i="1"/>
  <c r="BX49" i="1"/>
  <c r="AU45" i="1"/>
  <c r="AU184" i="1"/>
  <c r="AW184" i="1"/>
  <c r="AT184" i="1"/>
  <c r="AV184" i="1"/>
  <c r="AS184" i="1"/>
  <c r="AV47" i="1"/>
  <c r="BY234" i="1"/>
  <c r="BV234" i="1"/>
  <c r="BW234" i="1"/>
  <c r="BX234" i="1"/>
  <c r="BU234" i="1"/>
  <c r="AT91" i="1"/>
  <c r="AU91" i="1"/>
  <c r="AW91" i="1"/>
  <c r="AV91" i="1"/>
  <c r="AS91" i="1"/>
  <c r="CZ189" i="1"/>
  <c r="CY189" i="1"/>
  <c r="CX189" i="1"/>
  <c r="DA189" i="1"/>
  <c r="CW189" i="1"/>
  <c r="CY72" i="1"/>
  <c r="BW139" i="1"/>
  <c r="BY139" i="1"/>
  <c r="BV139" i="1"/>
  <c r="BX139" i="1"/>
  <c r="BU139" i="1"/>
  <c r="CX90" i="1"/>
  <c r="CY90" i="1"/>
  <c r="DA90" i="1"/>
  <c r="CW90" i="1"/>
  <c r="CZ90" i="1"/>
  <c r="AW194" i="1"/>
  <c r="AU194" i="1"/>
  <c r="AV194" i="1"/>
  <c r="AS194" i="1"/>
  <c r="AT194" i="1"/>
  <c r="DZ97" i="1"/>
  <c r="EC97" i="1"/>
  <c r="U190" i="1"/>
  <c r="S190" i="1"/>
  <c r="BW144" i="1"/>
  <c r="BY144" i="1"/>
  <c r="BV144" i="1"/>
  <c r="R194" i="1"/>
  <c r="S194" i="1"/>
  <c r="U194" i="1"/>
  <c r="EA186" i="1"/>
  <c r="EB186" i="1"/>
  <c r="DZ186" i="1"/>
  <c r="BW193" i="1"/>
  <c r="BX193" i="1"/>
  <c r="CX233" i="1"/>
  <c r="CY233" i="1"/>
  <c r="CZ233" i="1"/>
  <c r="DA233" i="1"/>
  <c r="R93" i="1"/>
  <c r="U93" i="1"/>
  <c r="S93" i="1"/>
  <c r="DA194" i="1"/>
  <c r="CZ194" i="1"/>
  <c r="T43" i="1"/>
  <c r="R43" i="1"/>
  <c r="S43" i="1"/>
  <c r="U43" i="1"/>
  <c r="BV188" i="1"/>
  <c r="BW188" i="1"/>
  <c r="BX26" i="1"/>
  <c r="BY26" i="1"/>
  <c r="BU79" i="1"/>
  <c r="BV79" i="1"/>
  <c r="BW79" i="1"/>
  <c r="BY188" i="1"/>
  <c r="DA98" i="1"/>
  <c r="CW26" i="1"/>
  <c r="CY26" i="1"/>
  <c r="CZ26" i="1"/>
  <c r="DA26" i="1"/>
  <c r="BX25" i="1"/>
  <c r="AT24" i="1"/>
  <c r="AS24" i="1"/>
  <c r="AU24" i="1"/>
  <c r="CZ128" i="1"/>
  <c r="CY128" i="1"/>
  <c r="CW128" i="1"/>
  <c r="DA128" i="1"/>
  <c r="CX128" i="1"/>
  <c r="EA218" i="1"/>
  <c r="DZ218" i="1"/>
  <c r="EC218" i="1"/>
  <c r="DY218" i="1"/>
  <c r="EB218" i="1"/>
  <c r="EC122" i="1"/>
  <c r="EB122" i="1"/>
  <c r="DZ122" i="1"/>
  <c r="DY122" i="1"/>
  <c r="EA122" i="1"/>
  <c r="AV221" i="1"/>
  <c r="AS221" i="1"/>
  <c r="AT221" i="1"/>
  <c r="AW221" i="1"/>
  <c r="AU221" i="1"/>
  <c r="BY127" i="1"/>
  <c r="BU127" i="1"/>
  <c r="BW127" i="1"/>
  <c r="BV127" i="1"/>
  <c r="BX127" i="1"/>
  <c r="DZ168" i="1"/>
  <c r="BU91" i="1"/>
  <c r="EC216" i="1"/>
  <c r="Q239" i="1"/>
  <c r="Q232" i="1"/>
  <c r="EB216" i="1"/>
  <c r="AV216" i="1"/>
  <c r="DA120" i="1"/>
  <c r="AS40" i="1"/>
  <c r="Q231" i="1"/>
  <c r="T233" i="1"/>
  <c r="U120" i="1"/>
  <c r="EA44" i="1"/>
  <c r="EC46" i="1"/>
  <c r="R120" i="1"/>
  <c r="AS187" i="1"/>
  <c r="BU135" i="1"/>
  <c r="AU43" i="1"/>
  <c r="R187" i="1"/>
  <c r="T187" i="1"/>
  <c r="U186" i="1"/>
  <c r="S186" i="1"/>
  <c r="EA187" i="1"/>
  <c r="EC187" i="1"/>
  <c r="DY185" i="1"/>
  <c r="CY236" i="1"/>
  <c r="CZ236" i="1"/>
  <c r="DA236" i="1"/>
  <c r="Q141" i="1"/>
  <c r="T141" i="1"/>
  <c r="DZ216" i="1"/>
  <c r="CY40" i="1"/>
  <c r="DA40" i="1"/>
  <c r="AU93" i="1"/>
  <c r="AW93" i="1"/>
  <c r="AV93" i="1"/>
  <c r="DY89" i="1"/>
  <c r="BU183" i="1"/>
  <c r="S92" i="1"/>
  <c r="T92" i="1"/>
  <c r="U92" i="1"/>
  <c r="CW183" i="1"/>
  <c r="CX140" i="1"/>
  <c r="DA140" i="1"/>
  <c r="AT97" i="1"/>
  <c r="AW97" i="1"/>
  <c r="AU97" i="1"/>
  <c r="AV97" i="1"/>
  <c r="DZ94" i="1"/>
  <c r="EC94" i="1"/>
  <c r="BW194" i="1"/>
  <c r="BV194" i="1"/>
  <c r="Q96" i="1"/>
  <c r="R96" i="1"/>
  <c r="CW137" i="1"/>
  <c r="AS237" i="1"/>
  <c r="AV237" i="1"/>
  <c r="AU143" i="1"/>
  <c r="AV143" i="1"/>
  <c r="AT143" i="1"/>
  <c r="AW43" i="1"/>
  <c r="EC142" i="1"/>
  <c r="Q183" i="1"/>
  <c r="EA188" i="1"/>
  <c r="DZ188" i="1"/>
  <c r="AW233" i="1"/>
  <c r="AU233" i="1"/>
  <c r="AV233" i="1"/>
  <c r="AT233" i="1"/>
  <c r="AT29" i="1"/>
  <c r="AU29" i="1"/>
  <c r="AS29" i="1"/>
  <c r="AV29" i="1"/>
  <c r="BY240" i="1"/>
  <c r="BW240" i="1"/>
  <c r="BX240" i="1"/>
  <c r="S143" i="1"/>
  <c r="U143" i="1"/>
  <c r="EA194" i="1"/>
  <c r="EB194" i="1"/>
  <c r="CY192" i="1"/>
  <c r="CZ192" i="1"/>
  <c r="S191" i="1"/>
  <c r="U191" i="1"/>
  <c r="T191" i="1"/>
  <c r="Q185" i="1"/>
  <c r="CW188" i="1"/>
  <c r="EB234" i="1"/>
  <c r="EC234" i="1"/>
  <c r="Q144" i="1"/>
  <c r="T144" i="1"/>
  <c r="AW95" i="1"/>
  <c r="AT95" i="1"/>
  <c r="AU95" i="1"/>
  <c r="BW44" i="1"/>
  <c r="BV40" i="1"/>
  <c r="U231" i="1"/>
  <c r="S48" i="1"/>
  <c r="T48" i="1"/>
  <c r="R48" i="1"/>
  <c r="U48" i="1"/>
  <c r="AU49" i="1"/>
  <c r="R236" i="1"/>
  <c r="U236" i="1"/>
  <c r="AV49" i="1"/>
  <c r="BY44" i="1"/>
  <c r="BV146" i="1"/>
  <c r="BY146" i="1"/>
  <c r="R239" i="1"/>
  <c r="BX89" i="1"/>
  <c r="AS192" i="1"/>
  <c r="EB44" i="1"/>
  <c r="U39" i="1"/>
  <c r="T39" i="1"/>
  <c r="S39" i="1"/>
  <c r="R39" i="1"/>
  <c r="CW92" i="1"/>
  <c r="CX92" i="1"/>
  <c r="CW143" i="1"/>
  <c r="DA38" i="1"/>
  <c r="CZ38" i="1"/>
  <c r="EA142" i="1"/>
  <c r="CW47" i="1"/>
  <c r="EC138" i="1"/>
  <c r="AW49" i="1"/>
  <c r="CZ41" i="1"/>
  <c r="CY41" i="1"/>
  <c r="CX41" i="1"/>
  <c r="BV92" i="1"/>
  <c r="BX42" i="1"/>
  <c r="BY140" i="1"/>
  <c r="BW140" i="1"/>
  <c r="CW88" i="1"/>
  <c r="CX88" i="1"/>
  <c r="CY145" i="1"/>
  <c r="DA145" i="1"/>
  <c r="CX145" i="1"/>
  <c r="AW90" i="1"/>
  <c r="AU90" i="1"/>
  <c r="Q142" i="1"/>
  <c r="T142" i="1"/>
  <c r="EB239" i="1"/>
  <c r="EA239" i="1"/>
  <c r="EC239" i="1"/>
  <c r="AU168" i="1"/>
  <c r="EA189" i="1"/>
  <c r="EB189" i="1"/>
  <c r="DZ189" i="1"/>
  <c r="EC189" i="1"/>
  <c r="BU231" i="1"/>
  <c r="CW146" i="1"/>
  <c r="BU137" i="1"/>
  <c r="BW30" i="1"/>
  <c r="BY30" i="1"/>
  <c r="BU30" i="1"/>
  <c r="EA183" i="1"/>
  <c r="DZ183" i="1"/>
  <c r="DA46" i="1"/>
  <c r="CY46" i="1"/>
  <c r="CZ46" i="1"/>
  <c r="DY184" i="1"/>
  <c r="EC184" i="1"/>
  <c r="U138" i="1"/>
  <c r="S138" i="1"/>
  <c r="R138" i="1"/>
  <c r="AW241" i="1"/>
  <c r="AU241" i="1"/>
  <c r="BV238" i="1"/>
  <c r="BW238" i="1"/>
  <c r="EB87" i="1"/>
  <c r="DZ87" i="1"/>
  <c r="AU135" i="1"/>
  <c r="AW135" i="1"/>
  <c r="CZ136" i="1"/>
  <c r="CY136" i="1"/>
  <c r="CX43" i="1"/>
  <c r="CZ43" i="1"/>
  <c r="DA43" i="1"/>
  <c r="DY191" i="1"/>
  <c r="BX233" i="1"/>
  <c r="BW233" i="1"/>
  <c r="BY233" i="1"/>
  <c r="CW93" i="1"/>
  <c r="DA93" i="1"/>
  <c r="R188" i="1"/>
  <c r="S188" i="1"/>
  <c r="U88" i="1"/>
  <c r="R88" i="1"/>
  <c r="T88" i="1"/>
  <c r="S88" i="1"/>
  <c r="Q140" i="1"/>
  <c r="T140" i="1"/>
  <c r="AU216" i="1"/>
  <c r="EB236" i="1"/>
  <c r="EC236" i="1"/>
  <c r="DZ236" i="1"/>
  <c r="CY238" i="1"/>
  <c r="CZ238" i="1"/>
  <c r="CX238" i="1"/>
  <c r="BX192" i="1"/>
  <c r="BW192" i="1"/>
  <c r="U242" i="1"/>
  <c r="BX91" i="1"/>
  <c r="AW186" i="1"/>
  <c r="AU186" i="1"/>
  <c r="AT186" i="1"/>
  <c r="CZ44" i="1"/>
  <c r="DA44" i="1"/>
  <c r="DY193" i="1"/>
  <c r="Q137" i="1"/>
  <c r="T137" i="1"/>
  <c r="DY90" i="1"/>
  <c r="EA90" i="1"/>
  <c r="AS140" i="1"/>
  <c r="BW187" i="1"/>
  <c r="BX187" i="1"/>
  <c r="CW234" i="1"/>
  <c r="CX191" i="1"/>
  <c r="CY191" i="1"/>
  <c r="CY144" i="1"/>
  <c r="CX144" i="1"/>
  <c r="DA144" i="1"/>
  <c r="AS32" i="1"/>
  <c r="AT32" i="1"/>
  <c r="AU32" i="1"/>
  <c r="AV32" i="1"/>
  <c r="S239" i="1"/>
  <c r="S236" i="1"/>
  <c r="BX30" i="1"/>
  <c r="S233" i="1"/>
  <c r="BV83" i="1"/>
  <c r="BU83" i="1"/>
  <c r="BX83" i="1"/>
  <c r="EB34" i="1"/>
  <c r="BX82" i="1"/>
  <c r="BU82" i="1"/>
  <c r="BY82" i="1"/>
  <c r="BW82" i="1"/>
  <c r="BX28" i="1"/>
  <c r="BW28" i="1"/>
  <c r="BV28" i="1"/>
  <c r="EB191" i="1"/>
  <c r="T190" i="1"/>
  <c r="CZ92" i="1"/>
  <c r="CX192" i="1"/>
  <c r="EC185" i="1"/>
  <c r="BV140" i="1"/>
  <c r="CY38" i="1"/>
  <c r="EA234" i="1"/>
  <c r="BV233" i="1"/>
  <c r="EB188" i="1"/>
  <c r="BY194" i="1"/>
  <c r="BV26" i="1"/>
  <c r="BU27" i="1"/>
  <c r="BW27" i="1"/>
  <c r="BX27" i="1"/>
  <c r="BY27" i="1"/>
  <c r="BU78" i="1"/>
  <c r="DY26" i="1"/>
  <c r="EC26" i="1"/>
  <c r="AS25" i="1"/>
  <c r="AT25" i="1"/>
  <c r="AU25" i="1"/>
  <c r="CZ140" i="1"/>
  <c r="AT241" i="1"/>
  <c r="DZ88" i="1"/>
  <c r="BX188" i="1"/>
  <c r="BY192" i="1"/>
  <c r="S187" i="1"/>
  <c r="AT242" i="1"/>
  <c r="CX194" i="1"/>
  <c r="AT237" i="1"/>
  <c r="AV242" i="1"/>
  <c r="BV143" i="1"/>
  <c r="CX98" i="1"/>
  <c r="T192" i="1"/>
  <c r="U141" i="1"/>
  <c r="T186" i="1"/>
  <c r="EB183" i="1"/>
  <c r="CZ40" i="1"/>
  <c r="CZ94" i="1"/>
  <c r="U142" i="1"/>
  <c r="DA88" i="1"/>
  <c r="BV141" i="1"/>
  <c r="AV90" i="1"/>
  <c r="CZ186" i="1"/>
  <c r="DA89" i="1"/>
  <c r="EB88" i="1"/>
  <c r="CX95" i="1"/>
  <c r="BY32" i="1"/>
  <c r="AV24" i="1"/>
  <c r="AS222" i="1"/>
  <c r="AT222" i="1"/>
  <c r="AV222" i="1"/>
  <c r="AU222" i="1"/>
  <c r="AW222" i="1"/>
  <c r="AS170" i="1"/>
  <c r="AT170" i="1"/>
  <c r="AU170" i="1"/>
  <c r="BU34" i="1"/>
  <c r="R226" i="1"/>
  <c r="S226" i="1"/>
  <c r="Q226" i="1"/>
  <c r="T226" i="1"/>
  <c r="BX191" i="1"/>
  <c r="EB190" i="1"/>
  <c r="AU172" i="1"/>
  <c r="AS172" i="1"/>
  <c r="AT172" i="1"/>
  <c r="AW172" i="1"/>
  <c r="AV172" i="1"/>
  <c r="DZ28" i="1"/>
  <c r="U82" i="1"/>
  <c r="R82" i="1"/>
  <c r="S82" i="1"/>
  <c r="Q82" i="1"/>
  <c r="T82" i="1"/>
  <c r="EC186" i="1"/>
  <c r="AS128" i="1"/>
  <c r="AT128" i="1"/>
  <c r="AU128" i="1"/>
  <c r="AW128" i="1"/>
  <c r="CY194" i="1"/>
  <c r="AT219" i="1"/>
  <c r="AU219" i="1"/>
  <c r="AS219" i="1"/>
  <c r="AV219" i="1"/>
  <c r="AW219" i="1"/>
  <c r="AT173" i="1"/>
  <c r="AS173" i="1"/>
  <c r="AU173" i="1"/>
  <c r="AW173" i="1"/>
  <c r="AV173" i="1"/>
  <c r="S145" i="1"/>
  <c r="S171" i="1"/>
  <c r="Q171" i="1"/>
  <c r="U171" i="1"/>
  <c r="T171" i="1"/>
  <c r="R171" i="1"/>
  <c r="CX121" i="1"/>
  <c r="CY121" i="1"/>
  <c r="CZ121" i="1"/>
  <c r="CW121" i="1"/>
  <c r="DA121" i="1"/>
  <c r="U226" i="1"/>
  <c r="AV170" i="1"/>
  <c r="AV217" i="1"/>
  <c r="AU217" i="1"/>
  <c r="AW217" i="1"/>
  <c r="AT217" i="1"/>
  <c r="AS217" i="1"/>
  <c r="S47" i="1"/>
  <c r="R47" i="1"/>
  <c r="U47" i="1"/>
  <c r="T47" i="1"/>
  <c r="R40" i="1"/>
  <c r="T40" i="1"/>
  <c r="S40" i="1"/>
  <c r="U40" i="1"/>
  <c r="AW238" i="1"/>
  <c r="AU238" i="1"/>
  <c r="AV238" i="1"/>
  <c r="AW145" i="1"/>
  <c r="AU145" i="1"/>
  <c r="AW146" i="1"/>
  <c r="AT146" i="1"/>
  <c r="AU146" i="1"/>
  <c r="AV146" i="1"/>
  <c r="AT98" i="1"/>
  <c r="AU98" i="1"/>
  <c r="AV98" i="1"/>
  <c r="EC235" i="1"/>
  <c r="EA235" i="1"/>
  <c r="EB235" i="1"/>
  <c r="CZ87" i="1"/>
  <c r="CX87" i="1"/>
  <c r="AV239" i="1"/>
  <c r="AU239" i="1"/>
  <c r="AT239" i="1"/>
  <c r="CZ242" i="1"/>
  <c r="CY242" i="1"/>
  <c r="BW74" i="1"/>
  <c r="BY74" i="1"/>
  <c r="BX74" i="1"/>
  <c r="BY141" i="1"/>
  <c r="CY190" i="1"/>
  <c r="EB179" i="1"/>
  <c r="EC179" i="1"/>
  <c r="DY179" i="1"/>
  <c r="EA179" i="1"/>
  <c r="BV25" i="1"/>
  <c r="BU25" i="1"/>
  <c r="EB97" i="1"/>
  <c r="BY193" i="1"/>
  <c r="AT238" i="1"/>
  <c r="CX124" i="1"/>
  <c r="CY124" i="1"/>
  <c r="DA124" i="1"/>
  <c r="CW124" i="1"/>
  <c r="CZ124" i="1"/>
  <c r="CX169" i="1"/>
  <c r="CW169" i="1"/>
  <c r="CZ169" i="1"/>
  <c r="DA169" i="1"/>
  <c r="CY169" i="1"/>
  <c r="DZ29" i="1"/>
  <c r="EB29" i="1"/>
  <c r="EC29" i="1"/>
  <c r="EA29" i="1"/>
  <c r="DY29" i="1"/>
  <c r="EA174" i="1"/>
  <c r="EB174" i="1"/>
  <c r="EC174" i="1"/>
  <c r="DY174" i="1"/>
  <c r="DZ174" i="1"/>
  <c r="AV145" i="1"/>
  <c r="AT72" i="1"/>
  <c r="DY168" i="1"/>
  <c r="CZ168" i="1"/>
  <c r="CY168" i="1"/>
  <c r="BY72" i="1"/>
  <c r="CZ120" i="1"/>
  <c r="AS168" i="1"/>
  <c r="DZ138" i="1"/>
  <c r="T242" i="1"/>
  <c r="BV91" i="1"/>
  <c r="T239" i="1"/>
  <c r="AW187" i="1"/>
  <c r="AU187" i="1"/>
  <c r="AT187" i="1"/>
  <c r="BX138" i="1"/>
  <c r="BW138" i="1"/>
  <c r="BY135" i="1"/>
  <c r="BW135" i="1"/>
  <c r="DZ89" i="1"/>
  <c r="EC89" i="1"/>
  <c r="BW183" i="1"/>
  <c r="BX183" i="1"/>
  <c r="BY183" i="1"/>
  <c r="AW136" i="1"/>
  <c r="AV136" i="1"/>
  <c r="AT136" i="1"/>
  <c r="EC168" i="1"/>
  <c r="CY183" i="1"/>
  <c r="CX183" i="1"/>
  <c r="CZ183" i="1"/>
  <c r="EC241" i="1"/>
  <c r="EB241" i="1"/>
  <c r="EC72" i="1"/>
  <c r="AU144" i="1"/>
  <c r="AT144" i="1"/>
  <c r="AW144" i="1"/>
  <c r="AV144" i="1"/>
  <c r="U96" i="1"/>
  <c r="T96" i="1"/>
  <c r="CX137" i="1"/>
  <c r="CZ137" i="1"/>
  <c r="DZ231" i="1"/>
  <c r="EC231" i="1"/>
  <c r="BX241" i="1"/>
  <c r="BY241" i="1"/>
  <c r="BV241" i="1"/>
  <c r="EB45" i="1"/>
  <c r="R183" i="1"/>
  <c r="T183" i="1"/>
  <c r="S183" i="1"/>
  <c r="AT139" i="1"/>
  <c r="AV139" i="1"/>
  <c r="AU139" i="1"/>
  <c r="T41" i="1"/>
  <c r="R41" i="1"/>
  <c r="U41" i="1"/>
  <c r="S41" i="1"/>
  <c r="AU88" i="1"/>
  <c r="AV88" i="1"/>
  <c r="BY242" i="1"/>
  <c r="BX242" i="1"/>
  <c r="BV242" i="1"/>
  <c r="BW242" i="1"/>
  <c r="U185" i="1"/>
  <c r="S185" i="1"/>
  <c r="T185" i="1"/>
  <c r="CZ188" i="1"/>
  <c r="CX188" i="1"/>
  <c r="EC238" i="1"/>
  <c r="EB238" i="1"/>
  <c r="DZ238" i="1"/>
  <c r="S144" i="1"/>
  <c r="R144" i="1"/>
  <c r="CX231" i="1"/>
  <c r="CZ231" i="1"/>
  <c r="DA231" i="1"/>
  <c r="CY231" i="1"/>
  <c r="BX92" i="1"/>
  <c r="R232" i="1"/>
  <c r="EB138" i="1"/>
  <c r="S45" i="1"/>
  <c r="U45" i="1"/>
  <c r="R45" i="1"/>
  <c r="T45" i="1"/>
  <c r="AW192" i="1"/>
  <c r="AV192" i="1"/>
  <c r="AT192" i="1"/>
  <c r="EC137" i="1"/>
  <c r="BY87" i="1"/>
  <c r="CX143" i="1"/>
  <c r="CZ143" i="1"/>
  <c r="CZ47" i="1"/>
  <c r="DA47" i="1"/>
  <c r="CY47" i="1"/>
  <c r="BW40" i="1"/>
  <c r="S38" i="1"/>
  <c r="U38" i="1"/>
  <c r="T38" i="1"/>
  <c r="R38" i="1"/>
  <c r="BU33" i="1"/>
  <c r="BY33" i="1"/>
  <c r="CZ240" i="1"/>
  <c r="CX240" i="1"/>
  <c r="DA240" i="1"/>
  <c r="BV231" i="1"/>
  <c r="BW231" i="1"/>
  <c r="CZ146" i="1"/>
  <c r="CY146" i="1"/>
  <c r="CX146" i="1"/>
  <c r="BY137" i="1"/>
  <c r="BV137" i="1"/>
  <c r="BW137" i="1"/>
  <c r="BY120" i="1"/>
  <c r="EB184" i="1"/>
  <c r="EA184" i="1"/>
  <c r="AW232" i="1"/>
  <c r="AV232" i="1"/>
  <c r="AT232" i="1"/>
  <c r="AU232" i="1"/>
  <c r="AS236" i="1"/>
  <c r="AU236" i="1"/>
  <c r="CW97" i="1"/>
  <c r="AV89" i="1"/>
  <c r="AU89" i="1"/>
  <c r="AT89" i="1"/>
  <c r="AW89" i="1"/>
  <c r="CW142" i="1"/>
  <c r="DY93" i="1"/>
  <c r="EB240" i="1"/>
  <c r="EC240" i="1"/>
  <c r="DY91" i="1"/>
  <c r="EA91" i="1"/>
  <c r="CW45" i="1"/>
  <c r="BW236" i="1"/>
  <c r="BY236" i="1"/>
  <c r="BX236" i="1"/>
  <c r="BV236" i="1"/>
  <c r="Q139" i="1"/>
  <c r="AS235" i="1"/>
  <c r="AV235" i="1"/>
  <c r="AW185" i="1"/>
  <c r="AV185" i="1"/>
  <c r="U49" i="1"/>
  <c r="R49" i="1"/>
  <c r="T49" i="1"/>
  <c r="S49" i="1"/>
  <c r="DZ193" i="1"/>
  <c r="EA193" i="1"/>
  <c r="CW184" i="1"/>
  <c r="DA184" i="1"/>
  <c r="CZ232" i="1"/>
  <c r="DA232" i="1"/>
  <c r="DZ90" i="1"/>
  <c r="EC90" i="1"/>
  <c r="AT140" i="1"/>
  <c r="AU140" i="1"/>
  <c r="AV140" i="1"/>
  <c r="CY234" i="1"/>
  <c r="DA234" i="1"/>
  <c r="CW95" i="1"/>
  <c r="DA95" i="1"/>
  <c r="BX81" i="1"/>
  <c r="BU81" i="1"/>
  <c r="EC34" i="1"/>
  <c r="DZ34" i="1"/>
  <c r="AS34" i="1"/>
  <c r="AU34" i="1"/>
  <c r="AT34" i="1"/>
  <c r="AV34" i="1"/>
  <c r="BW33" i="1"/>
  <c r="EA238" i="1"/>
  <c r="S141" i="1"/>
  <c r="BV187" i="1"/>
  <c r="EB94" i="1"/>
  <c r="CY89" i="1"/>
  <c r="DA242" i="1"/>
  <c r="CZ93" i="1"/>
  <c r="CZ97" i="1"/>
  <c r="BY231" i="1"/>
  <c r="T188" i="1"/>
  <c r="BW186" i="1"/>
  <c r="BU31" i="1"/>
  <c r="BX31" i="1"/>
  <c r="BY31" i="1"/>
  <c r="EC30" i="1"/>
  <c r="BU80" i="1"/>
  <c r="BW80" i="1"/>
  <c r="BV80" i="1"/>
  <c r="BY80" i="1"/>
  <c r="BV81" i="1"/>
  <c r="BW31" i="1"/>
  <c r="BY78" i="1"/>
  <c r="U137" i="1"/>
  <c r="AU237" i="1"/>
  <c r="EC190" i="1"/>
  <c r="EA191" i="1"/>
  <c r="BY138" i="1"/>
  <c r="AW236" i="1"/>
  <c r="U192" i="1"/>
  <c r="R190" i="1"/>
  <c r="R92" i="1"/>
  <c r="BW146" i="1"/>
  <c r="BY238" i="1"/>
  <c r="AT235" i="1"/>
  <c r="DZ234" i="1"/>
  <c r="CY87" i="1"/>
  <c r="DZ240" i="1"/>
  <c r="BY186" i="1"/>
  <c r="AT93" i="1"/>
  <c r="AW239" i="1"/>
  <c r="CY44" i="1"/>
  <c r="EB26" i="1"/>
  <c r="BW32" i="1"/>
  <c r="AW25" i="1"/>
  <c r="BX32" i="1"/>
  <c r="CZ98" i="1"/>
  <c r="CY141" i="1"/>
  <c r="EC191" i="1"/>
  <c r="BY24" i="1"/>
  <c r="U80" i="1"/>
  <c r="Q80" i="1"/>
  <c r="S80" i="1"/>
  <c r="R80" i="1"/>
  <c r="T80" i="1"/>
  <c r="EA28" i="1"/>
  <c r="EC28" i="1"/>
  <c r="DY28" i="1"/>
  <c r="U81" i="1"/>
  <c r="Q81" i="1"/>
  <c r="T81" i="1"/>
  <c r="R81" i="1"/>
  <c r="S81" i="1"/>
  <c r="AT31" i="1"/>
  <c r="AS31" i="1"/>
  <c r="AU31" i="1"/>
  <c r="AW31" i="1"/>
  <c r="BY81" i="1"/>
  <c r="BX194" i="1"/>
  <c r="EB185" i="1"/>
  <c r="CY176" i="1"/>
  <c r="CW176" i="1"/>
  <c r="CX176" i="1"/>
  <c r="CZ176" i="1"/>
  <c r="DA176" i="1"/>
  <c r="DZ26" i="1"/>
  <c r="AV31" i="1"/>
  <c r="DA29" i="1"/>
  <c r="CZ29" i="1"/>
  <c r="CY29" i="1"/>
  <c r="CX29" i="1"/>
  <c r="CW29" i="1"/>
  <c r="AV128" i="1"/>
  <c r="EA185" i="1"/>
  <c r="U123" i="1"/>
  <c r="Q123" i="1"/>
  <c r="R123" i="1"/>
  <c r="T123" i="1"/>
  <c r="S123" i="1"/>
  <c r="EB232" i="1"/>
  <c r="EA232" i="1"/>
  <c r="DZ232" i="1"/>
  <c r="CW98" i="1"/>
  <c r="CX142" i="1"/>
  <c r="CZ142" i="1"/>
  <c r="CY142" i="1"/>
  <c r="DA241" i="1"/>
  <c r="CX241" i="1"/>
  <c r="CZ241" i="1"/>
  <c r="CY241" i="1"/>
  <c r="AS98" i="1"/>
  <c r="EB93" i="1"/>
  <c r="DZ93" i="1"/>
  <c r="R89" i="1"/>
  <c r="T89" i="1"/>
  <c r="U89" i="1"/>
  <c r="S89" i="1"/>
  <c r="EB91" i="1"/>
  <c r="DZ91" i="1"/>
  <c r="AT137" i="1"/>
  <c r="AV137" i="1"/>
  <c r="AU137" i="1"/>
  <c r="AW137" i="1"/>
  <c r="Q136" i="1"/>
  <c r="T136" i="1"/>
  <c r="DY235" i="1"/>
  <c r="CY45" i="1"/>
  <c r="CZ45" i="1"/>
  <c r="CX45" i="1"/>
  <c r="Q93" i="1"/>
  <c r="U139" i="1"/>
  <c r="R139" i="1"/>
  <c r="CW87" i="1"/>
  <c r="DA87" i="1"/>
  <c r="AS239" i="1"/>
  <c r="R97" i="1"/>
  <c r="U97" i="1"/>
  <c r="S97" i="1"/>
  <c r="T97" i="1"/>
  <c r="AT87" i="1"/>
  <c r="AW87" i="1"/>
  <c r="AU87" i="1"/>
  <c r="CW194" i="1"/>
  <c r="Q43" i="1"/>
  <c r="CZ239" i="1"/>
  <c r="CX239" i="1"/>
  <c r="CW242" i="1"/>
  <c r="CX242" i="1"/>
  <c r="BU188" i="1"/>
  <c r="BU74" i="1"/>
  <c r="BU26" i="1"/>
  <c r="BV73" i="1"/>
  <c r="BW73" i="1"/>
  <c r="BW26" i="1"/>
  <c r="BX79" i="1"/>
  <c r="CX190" i="1"/>
  <c r="BV138" i="1"/>
  <c r="EA231" i="1"/>
  <c r="BV135" i="1"/>
  <c r="AT236" i="1"/>
  <c r="S140" i="1"/>
  <c r="EC232" i="1"/>
  <c r="R136" i="1"/>
  <c r="CZ141" i="1"/>
  <c r="EA236" i="1"/>
  <c r="EB193" i="1"/>
  <c r="AU185" i="1"/>
  <c r="CX136" i="1"/>
  <c r="DZ179" i="1"/>
  <c r="BV240" i="1"/>
  <c r="CZ95" i="1"/>
  <c r="BY29" i="1"/>
  <c r="BV29" i="1"/>
  <c r="BU73" i="1"/>
  <c r="CX26" i="1"/>
  <c r="EA30" i="1"/>
  <c r="EB30" i="1"/>
  <c r="DY30" i="1"/>
  <c r="BY25" i="1"/>
  <c r="BW34" i="1"/>
  <c r="BX34" i="1"/>
  <c r="BV34" i="1"/>
  <c r="AW24" i="1"/>
  <c r="AS175" i="1"/>
  <c r="AU175" i="1"/>
  <c r="AT175" i="1"/>
  <c r="AW175" i="1"/>
  <c r="CY185" i="1"/>
  <c r="CX94" i="1"/>
  <c r="T194" i="1"/>
  <c r="BW141" i="1"/>
  <c r="AT90" i="1"/>
  <c r="CX185" i="1"/>
  <c r="T93" i="1"/>
  <c r="CY188" i="1"/>
  <c r="EC194" i="1"/>
  <c r="AU189" i="1"/>
  <c r="BY184" i="1"/>
  <c r="CY137" i="1"/>
  <c r="CY140" i="1"/>
  <c r="AU136" i="1"/>
  <c r="AS30" i="1"/>
  <c r="AU30" i="1"/>
  <c r="AT30" i="1"/>
  <c r="AT33" i="1"/>
  <c r="AU33" i="1"/>
  <c r="CZ234" i="1"/>
  <c r="DA41" i="1"/>
  <c r="T184" i="1"/>
  <c r="BY28" i="1"/>
  <c r="BU24" i="1"/>
  <c r="AS225" i="1"/>
  <c r="AU225" i="1"/>
  <c r="AW225" i="1"/>
  <c r="AV225" i="1"/>
  <c r="AT225" i="1"/>
  <c r="U83" i="1"/>
  <c r="R83" i="1"/>
  <c r="T83" i="1"/>
  <c r="Q83" i="1"/>
  <c r="S83" i="1"/>
  <c r="R143" i="1"/>
  <c r="U145" i="1"/>
  <c r="CY143" i="1"/>
  <c r="U136" i="1"/>
  <c r="CY171" i="1"/>
  <c r="CW171" i="1"/>
  <c r="CX171" i="1"/>
  <c r="CZ171" i="1"/>
  <c r="DA171" i="1"/>
  <c r="DA125" i="1"/>
  <c r="CY125" i="1"/>
  <c r="CX125" i="1"/>
  <c r="CZ125" i="1"/>
  <c r="CW125" i="1"/>
  <c r="EA34" i="1"/>
  <c r="CW126" i="1"/>
  <c r="CY126" i="1"/>
  <c r="CX126" i="1"/>
  <c r="DA126" i="1"/>
  <c r="CZ220" i="1"/>
  <c r="CX220" i="1"/>
  <c r="CW220" i="1"/>
  <c r="DA220" i="1"/>
  <c r="EC93" i="1"/>
  <c r="S184" i="1"/>
  <c r="AV87" i="1"/>
  <c r="CZ24" i="1"/>
  <c r="CY24" i="1"/>
  <c r="DA24" i="1"/>
  <c r="CX24" i="1"/>
  <c r="CW24" i="1"/>
  <c r="BY79" i="1"/>
  <c r="BV74" i="1"/>
  <c r="CZ126" i="1"/>
  <c r="CX232" i="1"/>
  <c r="BW241" i="1"/>
  <c r="EC125" i="1"/>
  <c r="DY125" i="1"/>
  <c r="EA125" i="1"/>
  <c r="EB125" i="1"/>
  <c r="DZ125" i="1"/>
  <c r="AT145" i="1"/>
  <c r="BV124" i="1"/>
  <c r="BW124" i="1"/>
  <c r="BY124" i="1"/>
  <c r="BU124" i="1"/>
  <c r="BX124" i="1"/>
  <c r="EC33" i="1"/>
  <c r="AV28" i="1"/>
  <c r="AW26" i="1"/>
  <c r="CW130" i="1"/>
  <c r="CY130" i="1"/>
  <c r="DA130" i="1"/>
  <c r="CX130" i="1"/>
  <c r="EA172" i="1"/>
  <c r="DY172" i="1"/>
  <c r="BV217" i="1"/>
  <c r="BY217" i="1"/>
  <c r="BU217" i="1"/>
  <c r="BW217" i="1"/>
  <c r="CY227" i="1"/>
  <c r="CZ227" i="1"/>
  <c r="R34" i="1"/>
  <c r="U34" i="1"/>
  <c r="DZ126" i="1"/>
  <c r="EB27" i="1"/>
  <c r="CW31" i="1"/>
  <c r="CZ31" i="1"/>
  <c r="CY31" i="1"/>
  <c r="DA31" i="1"/>
  <c r="AV178" i="1"/>
  <c r="DY131" i="1"/>
  <c r="DZ131" i="1"/>
  <c r="DY130" i="1"/>
  <c r="EB130" i="1"/>
  <c r="EA130" i="1"/>
  <c r="AS27" i="1"/>
  <c r="AT27" i="1"/>
  <c r="DY217" i="1"/>
  <c r="DZ217" i="1"/>
  <c r="EA217" i="1"/>
  <c r="EB217" i="1"/>
  <c r="AS122" i="1"/>
  <c r="DY24" i="1"/>
  <c r="BV223" i="1"/>
  <c r="BU223" i="1"/>
  <c r="BX223" i="1"/>
  <c r="BW223" i="1"/>
  <c r="EB175" i="1"/>
  <c r="EC175" i="1"/>
  <c r="DY175" i="1"/>
  <c r="DA32" i="1"/>
  <c r="CZ32" i="1"/>
  <c r="CY32" i="1"/>
  <c r="Q33" i="1"/>
  <c r="U33" i="1"/>
  <c r="R33" i="1"/>
  <c r="CW174" i="1"/>
  <c r="CY174" i="1"/>
  <c r="CX174" i="1"/>
  <c r="AV126" i="1"/>
  <c r="R227" i="1"/>
  <c r="T227" i="1"/>
  <c r="CX217" i="1"/>
  <c r="CZ217" i="1"/>
  <c r="DA217" i="1"/>
  <c r="CY217" i="1"/>
  <c r="AS171" i="1"/>
  <c r="AT171" i="1"/>
  <c r="AU171" i="1"/>
  <c r="CZ178" i="1"/>
  <c r="CW178" i="1"/>
  <c r="CY178" i="1"/>
  <c r="CX178" i="1"/>
  <c r="AW178" i="1"/>
  <c r="R172" i="1"/>
  <c r="Q172" i="1"/>
  <c r="T172" i="1"/>
  <c r="CW223" i="1"/>
  <c r="CX223" i="1"/>
  <c r="CZ223" i="1"/>
  <c r="CY223" i="1"/>
  <c r="DA223" i="1"/>
  <c r="DA224" i="1"/>
  <c r="CX224" i="1"/>
  <c r="CZ224" i="1"/>
  <c r="T33" i="1"/>
  <c r="AS83" i="1"/>
  <c r="S76" i="1"/>
  <c r="U76" i="1"/>
  <c r="Q76" i="1"/>
  <c r="U227" i="1"/>
  <c r="R29" i="1"/>
  <c r="U29" i="1"/>
  <c r="EC128" i="1"/>
  <c r="DZ128" i="1"/>
  <c r="EA128" i="1"/>
  <c r="AU220" i="1"/>
  <c r="AW220" i="1"/>
  <c r="AS220" i="1"/>
  <c r="AT220" i="1"/>
  <c r="EA131" i="1"/>
  <c r="EA32" i="1"/>
  <c r="AV76" i="1"/>
  <c r="S219" i="1"/>
  <c r="T219" i="1"/>
  <c r="R219" i="1"/>
  <c r="T77" i="1"/>
  <c r="S77" i="1"/>
  <c r="U77" i="1"/>
  <c r="R77" i="1"/>
  <c r="R224" i="1"/>
  <c r="T224" i="1"/>
  <c r="Q34" i="1"/>
  <c r="DY33" i="1"/>
  <c r="BX221" i="1"/>
  <c r="BW221" i="1"/>
  <c r="BV221" i="1"/>
  <c r="BY221" i="1"/>
  <c r="EB128" i="1"/>
  <c r="S34" i="1"/>
  <c r="CW227" i="1"/>
  <c r="Q29" i="1"/>
  <c r="S227" i="1"/>
  <c r="U130" i="1"/>
  <c r="R130" i="1"/>
  <c r="S130" i="1"/>
  <c r="T130" i="1"/>
  <c r="Q130" i="1"/>
  <c r="AS28" i="1"/>
  <c r="T76" i="1"/>
  <c r="AU83" i="1"/>
  <c r="EB221" i="1"/>
  <c r="EA221" i="1"/>
  <c r="DY221" i="1"/>
  <c r="EC221" i="1"/>
  <c r="DZ221" i="1"/>
  <c r="S29" i="1"/>
  <c r="EB224" i="1"/>
  <c r="EC224" i="1"/>
  <c r="EA224" i="1"/>
  <c r="DY224" i="1"/>
  <c r="EC172" i="1"/>
  <c r="CX175" i="1"/>
  <c r="CY175" i="1"/>
  <c r="CZ175" i="1"/>
  <c r="DZ33" i="1"/>
  <c r="Q31" i="1"/>
  <c r="R31" i="1"/>
  <c r="S31" i="1"/>
  <c r="AU129" i="1"/>
  <c r="AW129" i="1"/>
  <c r="AT129" i="1"/>
  <c r="S170" i="1"/>
  <c r="T170" i="1"/>
  <c r="Q170" i="1"/>
  <c r="EA126" i="1"/>
  <c r="EC126" i="1"/>
  <c r="DY126" i="1"/>
  <c r="AS178" i="1"/>
  <c r="AT178" i="1"/>
  <c r="CW131" i="1"/>
  <c r="CY131" i="1"/>
  <c r="CZ131" i="1"/>
  <c r="CX131" i="1"/>
  <c r="DA218" i="1"/>
  <c r="CX218" i="1"/>
  <c r="CY218" i="1"/>
  <c r="AU218" i="1"/>
  <c r="AS218" i="1"/>
  <c r="AT218" i="1"/>
  <c r="AW218" i="1"/>
  <c r="AW122" i="1"/>
  <c r="AT122" i="1"/>
  <c r="AV122" i="1"/>
  <c r="BU220" i="1"/>
  <c r="BW220" i="1"/>
  <c r="BV220" i="1"/>
  <c r="BY220" i="1"/>
  <c r="T79" i="1"/>
  <c r="U79" i="1"/>
  <c r="Q79" i="1"/>
  <c r="T31" i="1"/>
  <c r="Q177" i="1"/>
  <c r="S177" i="1"/>
  <c r="AS129" i="1"/>
  <c r="DZ222" i="1"/>
  <c r="DY222" i="1"/>
  <c r="EA222" i="1"/>
  <c r="EB222" i="1"/>
  <c r="BX77" i="1"/>
  <c r="DA27" i="1"/>
  <c r="CZ27" i="1"/>
  <c r="CY27" i="1"/>
  <c r="EA31" i="1"/>
  <c r="R225" i="1"/>
  <c r="T225" i="1"/>
  <c r="U225" i="1"/>
  <c r="Q225" i="1"/>
  <c r="BU76" i="1"/>
  <c r="AT126" i="1"/>
  <c r="AW126" i="1"/>
  <c r="AU123" i="1"/>
  <c r="AV123" i="1"/>
  <c r="AT123" i="1"/>
  <c r="U177" i="1"/>
  <c r="AS124" i="1"/>
  <c r="AV124" i="1"/>
  <c r="AT124" i="1"/>
  <c r="AU124" i="1"/>
  <c r="AS131" i="1"/>
  <c r="AT131" i="1"/>
  <c r="AW131" i="1"/>
  <c r="AU131" i="1"/>
  <c r="CW218" i="1"/>
  <c r="AU78" i="1"/>
  <c r="AT78" i="1"/>
  <c r="AW78" i="1"/>
  <c r="CW175" i="1"/>
  <c r="EC169" i="1"/>
  <c r="DY169" i="1"/>
  <c r="EB169" i="1"/>
  <c r="T169" i="1"/>
  <c r="S169" i="1"/>
  <c r="R169" i="1"/>
  <c r="Q169" i="1"/>
  <c r="BU75" i="1"/>
  <c r="CY122" i="1"/>
  <c r="CX122" i="1"/>
  <c r="CZ122" i="1"/>
  <c r="CW122" i="1"/>
  <c r="CZ225" i="1"/>
  <c r="CX225" i="1"/>
  <c r="DA225" i="1"/>
  <c r="CY225" i="1"/>
  <c r="DZ127" i="1"/>
  <c r="DY127" i="1"/>
  <c r="EC127" i="1"/>
  <c r="EA127" i="1"/>
  <c r="AT227" i="1"/>
  <c r="AV227" i="1"/>
  <c r="AS227" i="1"/>
  <c r="AW227" i="1"/>
  <c r="BV76" i="1"/>
  <c r="Q174" i="1"/>
  <c r="S174" i="1"/>
  <c r="R174" i="1"/>
  <c r="DY178" i="1"/>
  <c r="EA178" i="1"/>
  <c r="EC178" i="1"/>
  <c r="EB178" i="1"/>
  <c r="S28" i="1"/>
  <c r="Q28" i="1"/>
  <c r="U28" i="1"/>
  <c r="R28" i="1"/>
  <c r="T28" i="1"/>
  <c r="U217" i="1"/>
  <c r="S217" i="1"/>
  <c r="Q217" i="1"/>
  <c r="R217" i="1"/>
  <c r="Q178" i="1"/>
  <c r="S178" i="1"/>
  <c r="T178" i="1"/>
  <c r="R178" i="1"/>
  <c r="U176" i="1"/>
  <c r="T176" i="1"/>
  <c r="Q176" i="1"/>
  <c r="DA129" i="1"/>
  <c r="CW129" i="1"/>
  <c r="CY129" i="1"/>
  <c r="CZ129" i="1"/>
  <c r="U175" i="1"/>
  <c r="Q175" i="1"/>
  <c r="R175" i="1"/>
  <c r="T175" i="1"/>
  <c r="AV73" i="1"/>
  <c r="AW73" i="1"/>
  <c r="AU73" i="1"/>
  <c r="AT73" i="1"/>
  <c r="BV75" i="1"/>
  <c r="S172" i="1"/>
  <c r="S75" i="1"/>
  <c r="R75" i="1"/>
  <c r="Q75" i="1"/>
  <c r="AT75" i="1"/>
  <c r="AS75" i="1"/>
  <c r="AU75" i="1"/>
  <c r="AW75" i="1"/>
  <c r="AV75" i="1"/>
  <c r="BW169" i="1"/>
  <c r="BV169" i="1"/>
  <c r="BY169" i="1"/>
  <c r="BX169" i="1"/>
  <c r="AS26" i="1"/>
  <c r="CW32" i="1"/>
  <c r="R79" i="1"/>
  <c r="U224" i="1"/>
  <c r="DY225" i="1"/>
  <c r="DZ225" i="1"/>
  <c r="EA225" i="1"/>
  <c r="EC225" i="1"/>
  <c r="U218" i="1"/>
  <c r="Q218" i="1"/>
  <c r="S218" i="1"/>
  <c r="R218" i="1"/>
  <c r="AT26" i="1"/>
  <c r="EB226" i="1"/>
  <c r="DZ226" i="1"/>
  <c r="EA226" i="1"/>
  <c r="EC226" i="1"/>
  <c r="DY226" i="1"/>
  <c r="CX74" i="1"/>
  <c r="DA74" i="1"/>
  <c r="CZ74" i="1"/>
  <c r="CY74" i="1"/>
  <c r="CW74" i="1"/>
  <c r="DZ223" i="1"/>
  <c r="EC223" i="1"/>
  <c r="EB223" i="1"/>
  <c r="EA223" i="1"/>
  <c r="DY223" i="1"/>
  <c r="AW121" i="1"/>
  <c r="AU121" i="1"/>
  <c r="AV121" i="1"/>
  <c r="AT121" i="1"/>
  <c r="CY177" i="1"/>
  <c r="CZ177" i="1"/>
  <c r="CX177" i="1"/>
  <c r="CW177" i="1"/>
  <c r="CY173" i="1"/>
  <c r="CW173" i="1"/>
  <c r="CZ173" i="1"/>
  <c r="CX173" i="1"/>
  <c r="S220" i="1"/>
  <c r="R220" i="1"/>
  <c r="Q220" i="1"/>
  <c r="R173" i="1"/>
  <c r="S173" i="1"/>
  <c r="T173" i="1"/>
  <c r="Q173" i="1"/>
  <c r="U122" i="1"/>
  <c r="S122" i="1"/>
  <c r="R122" i="1"/>
  <c r="EA27" i="1"/>
  <c r="BX170" i="1"/>
  <c r="BY170" i="1"/>
  <c r="BW170" i="1"/>
  <c r="BV170" i="1"/>
  <c r="Q32" i="1"/>
  <c r="U32" i="1"/>
  <c r="S32" i="1"/>
  <c r="AW79" i="1"/>
  <c r="AT79" i="1"/>
  <c r="AV79" i="1"/>
  <c r="AU79" i="1"/>
  <c r="AW77" i="1"/>
  <c r="AT77" i="1"/>
  <c r="AU77" i="1"/>
  <c r="CX226" i="1"/>
  <c r="DA226" i="1"/>
  <c r="CZ226" i="1"/>
  <c r="AU223" i="1"/>
  <c r="AS223" i="1"/>
  <c r="AT223" i="1"/>
  <c r="BW125" i="1"/>
  <c r="BU125" i="1"/>
  <c r="BY125" i="1"/>
  <c r="CZ222" i="1"/>
  <c r="CY222" i="1"/>
  <c r="CX222" i="1"/>
  <c r="CZ172" i="1"/>
  <c r="CX172" i="1"/>
  <c r="CW172" i="1"/>
  <c r="CY172" i="1"/>
  <c r="EA129" i="1"/>
  <c r="EB129" i="1"/>
  <c r="DY129" i="1"/>
  <c r="U223" i="1"/>
  <c r="T223" i="1"/>
  <c r="R223" i="1"/>
  <c r="S24" i="1"/>
  <c r="Q24" i="1"/>
  <c r="R24" i="1"/>
  <c r="AU226" i="1"/>
  <c r="AW226" i="1"/>
  <c r="AT226" i="1"/>
  <c r="CW226" i="1"/>
  <c r="AW27" i="1"/>
  <c r="EB33" i="1"/>
  <c r="CX219" i="1"/>
  <c r="CW219" i="1"/>
  <c r="CY219" i="1"/>
  <c r="DA219" i="1"/>
  <c r="AT76" i="1"/>
  <c r="AU76" i="1"/>
  <c r="Q221" i="1"/>
  <c r="T221" i="1"/>
  <c r="U221" i="1"/>
  <c r="R221" i="1"/>
  <c r="AW169" i="1"/>
  <c r="AT169" i="1"/>
  <c r="AS169" i="1"/>
  <c r="CY123" i="1"/>
  <c r="CW123" i="1"/>
  <c r="DA123" i="1"/>
  <c r="CX127" i="1"/>
  <c r="CW127" i="1"/>
  <c r="CZ127" i="1"/>
  <c r="U73" i="1"/>
  <c r="S73" i="1"/>
  <c r="R73" i="1"/>
  <c r="T73" i="1"/>
  <c r="AU179" i="1"/>
  <c r="AW179" i="1"/>
  <c r="AT179" i="1"/>
  <c r="AS179" i="1"/>
  <c r="DZ130" i="1"/>
  <c r="CW34" i="1"/>
  <c r="CY34" i="1"/>
  <c r="CZ34" i="1"/>
  <c r="CX34" i="1"/>
  <c r="EC123" i="1"/>
  <c r="DY123" i="1"/>
  <c r="EB123" i="1"/>
  <c r="EA123" i="1"/>
  <c r="EB124" i="1"/>
  <c r="EA124" i="1"/>
  <c r="AU176" i="1"/>
  <c r="AS176" i="1"/>
  <c r="AT176" i="1"/>
  <c r="AW176" i="1"/>
  <c r="BW131" i="1"/>
  <c r="BY131" i="1"/>
  <c r="BU131" i="1"/>
  <c r="CY224" i="1"/>
  <c r="BX176" i="1"/>
  <c r="BV176" i="1"/>
  <c r="BY176" i="1"/>
  <c r="BU176" i="1"/>
  <c r="BW176" i="1"/>
  <c r="DZ175" i="1"/>
  <c r="Q222" i="1"/>
  <c r="S222" i="1"/>
  <c r="U219" i="1"/>
  <c r="DA28" i="1"/>
  <c r="CW28" i="1"/>
  <c r="CX28" i="1"/>
  <c r="CZ28" i="1"/>
  <c r="DZ124" i="1"/>
  <c r="AU224" i="1"/>
  <c r="AS224" i="1"/>
  <c r="AT224" i="1"/>
  <c r="AV224" i="1"/>
  <c r="AW224" i="1"/>
  <c r="T220" i="1"/>
  <c r="U30" i="1"/>
  <c r="T30" i="1"/>
  <c r="R30" i="1"/>
  <c r="Q30" i="1"/>
  <c r="S30" i="1"/>
  <c r="CW27" i="1"/>
  <c r="U170" i="1"/>
  <c r="DA222" i="1"/>
  <c r="DA73" i="1"/>
  <c r="CZ73" i="1"/>
  <c r="CY73" i="1"/>
  <c r="CW73" i="1"/>
  <c r="CX73" i="1"/>
  <c r="CX123" i="1"/>
  <c r="DY219" i="1"/>
  <c r="EC219" i="1"/>
  <c r="EA219" i="1"/>
  <c r="EB219" i="1"/>
  <c r="DZ219" i="1"/>
  <c r="BV225" i="1"/>
  <c r="BY225" i="1"/>
  <c r="BW225" i="1"/>
  <c r="BX225" i="1"/>
  <c r="BU225" i="1"/>
  <c r="BV131" i="1"/>
  <c r="EC131" i="1"/>
  <c r="AS226" i="1"/>
  <c r="AS123" i="1"/>
  <c r="DZ129" i="1"/>
  <c r="U75" i="1"/>
  <c r="DZ224" i="1"/>
  <c r="AV83" i="1"/>
  <c r="Q223" i="1"/>
  <c r="S176" i="1"/>
  <c r="CZ179" i="1"/>
  <c r="DA179" i="1"/>
  <c r="CX179" i="1"/>
  <c r="CY179" i="1"/>
  <c r="DY73" i="1"/>
  <c r="DZ73" i="1"/>
  <c r="EB73" i="1"/>
  <c r="BX130" i="1"/>
  <c r="BU130" i="1"/>
  <c r="R127" i="1"/>
  <c r="U127" i="1"/>
  <c r="T127" i="1"/>
  <c r="EB75" i="1"/>
  <c r="DY75" i="1"/>
  <c r="DZ75" i="1"/>
  <c r="CZ75" i="1"/>
  <c r="CW75" i="1"/>
  <c r="EA75" i="1"/>
  <c r="BY130" i="1"/>
  <c r="EC73" i="1"/>
  <c r="R74" i="1"/>
  <c r="U74" i="1"/>
  <c r="CW170" i="1"/>
  <c r="CX170" i="1"/>
  <c r="CY170" i="1"/>
  <c r="CY221" i="1"/>
  <c r="CZ221" i="1"/>
  <c r="DA221" i="1"/>
  <c r="CW221" i="1"/>
  <c r="CX79" i="1"/>
  <c r="CZ79" i="1"/>
  <c r="CW79" i="1"/>
  <c r="CY79" i="1"/>
  <c r="AS125" i="1"/>
  <c r="AV125" i="1"/>
  <c r="AT125" i="1"/>
  <c r="DA25" i="1"/>
  <c r="CY25" i="1"/>
  <c r="CW25" i="1"/>
  <c r="BW219" i="1"/>
  <c r="BY219" i="1"/>
  <c r="CZ25" i="1"/>
  <c r="AV80" i="1"/>
  <c r="BU219" i="1"/>
  <c r="DZ83" i="1"/>
  <c r="DY83" i="1"/>
  <c r="EB83" i="1"/>
  <c r="EC83" i="1"/>
  <c r="BW173" i="1"/>
  <c r="BV174" i="1"/>
  <c r="BX174" i="1"/>
  <c r="BV219" i="1"/>
  <c r="BX126" i="1"/>
  <c r="BU126" i="1"/>
  <c r="BW126" i="1"/>
  <c r="BW122" i="1"/>
  <c r="BX122" i="1"/>
  <c r="BU122" i="1"/>
  <c r="BY122" i="1"/>
  <c r="Q78" i="1"/>
  <c r="R78" i="1"/>
  <c r="S78" i="1"/>
  <c r="EC121" i="1"/>
  <c r="DZ121" i="1"/>
  <c r="T128" i="1"/>
  <c r="BW123" i="1"/>
  <c r="U129" i="1"/>
  <c r="R129" i="1"/>
  <c r="S129" i="1"/>
  <c r="Q129" i="1"/>
  <c r="BY171" i="1"/>
  <c r="BX171" i="1"/>
  <c r="BU171" i="1"/>
  <c r="R125" i="1"/>
  <c r="Q125" i="1"/>
  <c r="U125" i="1"/>
  <c r="CZ33" i="1"/>
  <c r="DA83" i="1"/>
  <c r="DA77" i="1"/>
  <c r="CW77" i="1"/>
  <c r="Q25" i="1"/>
  <c r="S125" i="1"/>
  <c r="S126" i="1"/>
  <c r="Q126" i="1"/>
  <c r="BV130" i="1"/>
  <c r="CX82" i="1"/>
  <c r="CW82" i="1"/>
  <c r="DA82" i="1"/>
  <c r="CZ82" i="1"/>
  <c r="S121" i="1"/>
  <c r="U121" i="1"/>
  <c r="Q121" i="1"/>
  <c r="R121" i="1"/>
  <c r="CW33" i="1"/>
  <c r="BV129" i="1"/>
  <c r="BY129" i="1"/>
  <c r="BX129" i="1"/>
  <c r="BW129" i="1"/>
  <c r="BU129" i="1"/>
  <c r="DZ81" i="1"/>
  <c r="EC81" i="1"/>
  <c r="EB81" i="1"/>
  <c r="EA81" i="1"/>
  <c r="DY81" i="1"/>
  <c r="Q127" i="1"/>
  <c r="CY75" i="1"/>
  <c r="BX173" i="1"/>
  <c r="BY173" i="1"/>
  <c r="BV173" i="1"/>
  <c r="S27" i="1"/>
  <c r="R27" i="1"/>
  <c r="Q27" i="1"/>
  <c r="T27" i="1"/>
  <c r="BW172" i="1"/>
  <c r="BX172" i="1"/>
  <c r="BV172" i="1"/>
  <c r="AT174" i="1"/>
  <c r="AS174" i="1"/>
  <c r="AW174" i="1"/>
  <c r="BY222" i="1"/>
  <c r="BW222" i="1"/>
  <c r="U128" i="1"/>
  <c r="Q128" i="1"/>
  <c r="S128" i="1"/>
  <c r="BU123" i="1"/>
  <c r="BX123" i="1"/>
  <c r="BV123" i="1"/>
  <c r="BU218" i="1"/>
  <c r="BY218" i="1"/>
  <c r="BX218" i="1"/>
  <c r="BW218" i="1"/>
  <c r="DY82" i="1"/>
  <c r="EA82" i="1"/>
  <c r="EB82" i="1"/>
  <c r="CZ170" i="1"/>
  <c r="BV178" i="1"/>
  <c r="BY178" i="1"/>
  <c r="BW178" i="1"/>
  <c r="BU178" i="1"/>
  <c r="CY83" i="1"/>
  <c r="CX83" i="1"/>
  <c r="BY126" i="1"/>
  <c r="BX179" i="1"/>
  <c r="BW179" i="1"/>
  <c r="BY179" i="1"/>
  <c r="T25" i="1"/>
  <c r="EB177" i="1"/>
  <c r="DY177" i="1"/>
  <c r="DZ177" i="1"/>
  <c r="EA177" i="1"/>
  <c r="EB76" i="1"/>
  <c r="DZ76" i="1"/>
  <c r="EA76" i="1"/>
  <c r="DY76" i="1"/>
  <c r="EC76" i="1"/>
  <c r="CW78" i="1"/>
  <c r="CX78" i="1"/>
  <c r="CZ78" i="1"/>
  <c r="CY78" i="1"/>
  <c r="DA78" i="1"/>
  <c r="BY172" i="1"/>
  <c r="EA121" i="1"/>
  <c r="BV171" i="1"/>
  <c r="T78" i="1"/>
  <c r="BX222" i="1"/>
  <c r="CX75" i="1"/>
  <c r="BV177" i="1"/>
  <c r="BY177" i="1"/>
  <c r="BW177" i="1"/>
  <c r="BU177" i="1"/>
  <c r="AS80" i="1"/>
  <c r="U25" i="1"/>
  <c r="DZ74" i="1"/>
  <c r="EC74" i="1"/>
  <c r="EA74" i="1"/>
  <c r="BU222" i="1"/>
  <c r="AT177" i="1"/>
  <c r="AV177" i="1"/>
  <c r="AU177" i="1"/>
  <c r="AW177" i="1"/>
  <c r="AS177" i="1"/>
  <c r="AU80" i="1"/>
  <c r="BV175" i="1"/>
  <c r="CW80" i="1"/>
  <c r="DA80" i="1"/>
  <c r="CZ80" i="1"/>
  <c r="CX80" i="1"/>
  <c r="EA80" i="1"/>
  <c r="DZ80" i="1"/>
  <c r="DY80" i="1"/>
  <c r="EA173" i="1"/>
  <c r="DZ173" i="1"/>
  <c r="EB173" i="1"/>
  <c r="AS81" i="1"/>
  <c r="AW81" i="1"/>
  <c r="EA170" i="1"/>
  <c r="DZ170" i="1"/>
  <c r="AS82" i="1"/>
  <c r="BY226" i="1"/>
  <c r="BV226" i="1"/>
  <c r="BU226" i="1"/>
  <c r="BX226" i="1"/>
  <c r="AW127" i="1"/>
  <c r="AT127" i="1"/>
  <c r="AU127" i="1"/>
  <c r="AV127" i="1"/>
  <c r="BX227" i="1"/>
  <c r="BW227" i="1"/>
  <c r="BU227" i="1"/>
  <c r="BY227" i="1"/>
  <c r="EC170" i="1"/>
  <c r="U124" i="1"/>
  <c r="Q124" i="1"/>
  <c r="S124" i="1"/>
  <c r="R124" i="1"/>
  <c r="T124" i="1"/>
  <c r="CZ76" i="1"/>
  <c r="DA76" i="1"/>
  <c r="CY76" i="1"/>
  <c r="BW175" i="1"/>
  <c r="BY175" i="1"/>
  <c r="BU175" i="1"/>
  <c r="DZ78" i="1"/>
  <c r="EC78" i="1"/>
  <c r="DZ79" i="1"/>
  <c r="EC79" i="1"/>
  <c r="EA79" i="1"/>
  <c r="BV224" i="1"/>
  <c r="BY224" i="1"/>
  <c r="BU224" i="1"/>
  <c r="AV82" i="1"/>
  <c r="AT82" i="1"/>
  <c r="AU82" i="1"/>
  <c r="AU130" i="1"/>
  <c r="AS130" i="1"/>
  <c r="AT130" i="1"/>
  <c r="AW130" i="1"/>
  <c r="EA220" i="1"/>
  <c r="DY220" i="1"/>
  <c r="DZ220" i="1"/>
  <c r="EB220" i="1"/>
  <c r="EB170" i="1"/>
  <c r="DY173" i="1"/>
  <c r="CZ81" i="1"/>
  <c r="DA81" i="1"/>
  <c r="CX81" i="1"/>
  <c r="CY81" i="1"/>
  <c r="CW81" i="1"/>
  <c r="EA78" i="1"/>
  <c r="S179" i="1"/>
  <c r="R179" i="1"/>
  <c r="U179" i="1"/>
  <c r="T179" i="1"/>
  <c r="Q179" i="1"/>
  <c r="DZ227" i="1"/>
  <c r="EB227" i="1"/>
  <c r="DY227" i="1"/>
  <c r="EA227" i="1"/>
  <c r="EC227" i="1"/>
  <c r="AV81" i="1"/>
  <c r="CX30" i="1"/>
  <c r="CW30" i="1"/>
  <c r="DA30" i="1"/>
  <c r="DY171" i="1"/>
  <c r="DZ171" i="1"/>
  <c r="AU74" i="1"/>
  <c r="AT74" i="1"/>
  <c r="AS74" i="1"/>
  <c r="EB176" i="1"/>
  <c r="DZ176" i="1"/>
  <c r="EB171" i="1"/>
  <c r="EC171" i="1"/>
  <c r="R131" i="1"/>
  <c r="S131" i="1"/>
  <c r="Q131" i="1"/>
  <c r="BY128" i="1"/>
  <c r="BV128" i="1"/>
  <c r="BU128" i="1"/>
  <c r="BY121" i="1"/>
  <c r="BV121" i="1"/>
  <c r="BW121" i="1"/>
  <c r="BU121" i="1"/>
  <c r="Q132" i="1" l="1"/>
  <c r="R132" i="1"/>
  <c r="S132" i="1"/>
  <c r="ED136" i="1"/>
  <c r="EF136" i="1" s="1"/>
  <c r="AD154" i="8" s="1"/>
  <c r="BZ93" i="1"/>
  <c r="AX41" i="1"/>
  <c r="BD41" i="1" s="1"/>
  <c r="BZ236" i="1"/>
  <c r="CC236" i="1" s="1"/>
  <c r="BZ87" i="1"/>
  <c r="CC87" i="1" s="1"/>
  <c r="ED97" i="1"/>
  <c r="EI97" i="1" s="1"/>
  <c r="AC211" i="8" s="1"/>
  <c r="DB191" i="1"/>
  <c r="DF191" i="1" s="1"/>
  <c r="DB136" i="1"/>
  <c r="DF136" i="1" s="1"/>
  <c r="AX189" i="1"/>
  <c r="BD189" i="1" s="1"/>
  <c r="BZ193" i="1"/>
  <c r="AX188" i="1"/>
  <c r="BD188" i="1" s="1"/>
  <c r="BZ39" i="1"/>
  <c r="CB39" i="1" s="1"/>
  <c r="DB190" i="1"/>
  <c r="DE190" i="1" s="1"/>
  <c r="ED242" i="1"/>
  <c r="EH242" i="1" s="1"/>
  <c r="AF236" i="8" s="1"/>
  <c r="AX141" i="1"/>
  <c r="AZ141" i="1" s="1"/>
  <c r="V186" i="1"/>
  <c r="Y186" i="1" s="1"/>
  <c r="AX242" i="1"/>
  <c r="BB242" i="1" s="1"/>
  <c r="BZ233" i="1"/>
  <c r="V88" i="1"/>
  <c r="Z88" i="1" s="1"/>
  <c r="V146" i="1"/>
  <c r="AA146" i="1" s="1"/>
  <c r="ED47" i="1"/>
  <c r="V234" i="1"/>
  <c r="O159" i="8"/>
  <c r="V97" i="1"/>
  <c r="AA97" i="1" s="1"/>
  <c r="V188" i="1"/>
  <c r="Y188" i="1" s="1"/>
  <c r="ED240" i="1"/>
  <c r="EF240" i="1" s="1"/>
  <c r="AF162" i="8" s="1"/>
  <c r="V241" i="1"/>
  <c r="X241" i="1" s="1"/>
  <c r="ED145" i="1"/>
  <c r="EF145" i="1" s="1"/>
  <c r="AD163" i="8" s="1"/>
  <c r="AX146" i="1"/>
  <c r="BD146" i="1" s="1"/>
  <c r="AX241" i="1"/>
  <c r="ED143" i="1"/>
  <c r="EI143" i="1" s="1"/>
  <c r="AD209" i="8" s="1"/>
  <c r="BZ48" i="1"/>
  <c r="CC48" i="1" s="1"/>
  <c r="BU132" i="1"/>
  <c r="BX228" i="1"/>
  <c r="DA228" i="1"/>
  <c r="AV180" i="1"/>
  <c r="T180" i="1"/>
  <c r="V145" i="1"/>
  <c r="AB145" i="1" s="1"/>
  <c r="ED190" i="1"/>
  <c r="EJ190" i="1" s="1"/>
  <c r="AE184" i="8" s="1"/>
  <c r="R35" i="1"/>
  <c r="Y30" i="1" s="1"/>
  <c r="BY180" i="1"/>
  <c r="Q84" i="1"/>
  <c r="X82" i="1" s="1"/>
  <c r="AW84" i="1"/>
  <c r="DA35" i="1"/>
  <c r="AT84" i="1"/>
  <c r="BA80" i="1" s="1"/>
  <c r="AT228" i="1"/>
  <c r="BA227" i="1" s="1"/>
  <c r="BW132" i="1"/>
  <c r="BV132" i="1"/>
  <c r="CC121" i="1" s="1"/>
  <c r="AS84" i="1"/>
  <c r="EA84" i="1"/>
  <c r="EH74" i="1" s="1"/>
  <c r="CZ35" i="1"/>
  <c r="DG32" i="1" s="1"/>
  <c r="DZ84" i="1"/>
  <c r="EG82" i="1" s="1"/>
  <c r="EB180" i="1"/>
  <c r="EI178" i="1" s="1"/>
  <c r="AU132" i="1"/>
  <c r="AX185" i="1"/>
  <c r="BB185" i="1" s="1"/>
  <c r="DB241" i="1"/>
  <c r="ED137" i="1"/>
  <c r="ED241" i="1"/>
  <c r="EJ241" i="1" s="1"/>
  <c r="AF187" i="8" s="1"/>
  <c r="ED138" i="1"/>
  <c r="CY180" i="1"/>
  <c r="DA180" i="1"/>
  <c r="V40" i="1"/>
  <c r="X40" i="1" s="1"/>
  <c r="V47" i="1"/>
  <c r="X47" i="1" s="1"/>
  <c r="T132" i="1"/>
  <c r="EA180" i="1"/>
  <c r="EH169" i="1" s="1"/>
  <c r="EA132" i="1"/>
  <c r="EH120" i="1" s="1"/>
  <c r="BX132" i="1"/>
  <c r="CE129" i="1" s="1"/>
  <c r="DY84" i="1"/>
  <c r="EF79" i="1" s="1"/>
  <c r="T84" i="1"/>
  <c r="AA75" i="1" s="1"/>
  <c r="AT180" i="1"/>
  <c r="BA175" i="1" s="1"/>
  <c r="AW132" i="1"/>
  <c r="AS132" i="1"/>
  <c r="DY228" i="1"/>
  <c r="EF216" i="1" s="1"/>
  <c r="BU228" i="1"/>
  <c r="CB227" i="1" s="1"/>
  <c r="AV35" i="1"/>
  <c r="DB144" i="1"/>
  <c r="DD144" i="1" s="1"/>
  <c r="DB234" i="1"/>
  <c r="ED193" i="1"/>
  <c r="EJ193" i="1" s="1"/>
  <c r="AE187" i="8" s="1"/>
  <c r="DB146" i="1"/>
  <c r="ED239" i="1"/>
  <c r="AX233" i="1"/>
  <c r="BC233" i="1" s="1"/>
  <c r="ED188" i="1"/>
  <c r="EG188" i="1" s="1"/>
  <c r="AE254" i="8" s="1"/>
  <c r="V96" i="1"/>
  <c r="DB183" i="1"/>
  <c r="DZ228" i="1"/>
  <c r="EG219" i="1" s="1"/>
  <c r="BZ192" i="1"/>
  <c r="CD192" i="1" s="1"/>
  <c r="AX194" i="1"/>
  <c r="BA194" i="1" s="1"/>
  <c r="BZ139" i="1"/>
  <c r="BZ234" i="1"/>
  <c r="CF234" i="1" s="1"/>
  <c r="V193" i="1"/>
  <c r="AB193" i="1" s="1"/>
  <c r="CW84" i="1"/>
  <c r="DY132" i="1"/>
  <c r="EF124" i="1" s="1"/>
  <c r="AX45" i="1"/>
  <c r="BA45" i="1" s="1"/>
  <c r="V44" i="1"/>
  <c r="X44" i="1" s="1"/>
  <c r="BX180" i="1"/>
  <c r="S180" i="1"/>
  <c r="AX46" i="1"/>
  <c r="BD46" i="1" s="1"/>
  <c r="V42" i="1"/>
  <c r="CX84" i="1"/>
  <c r="AX231" i="1"/>
  <c r="BB231" i="1" s="1"/>
  <c r="BY35" i="1"/>
  <c r="ED192" i="1"/>
  <c r="U35" i="1"/>
  <c r="AB24" i="1" s="1"/>
  <c r="BV35" i="1"/>
  <c r="CC32" i="1" s="1"/>
  <c r="V237" i="1"/>
  <c r="Z237" i="1" s="1"/>
  <c r="EB84" i="1"/>
  <c r="AU84" i="1"/>
  <c r="DY35" i="1"/>
  <c r="DB232" i="1"/>
  <c r="DG232" i="1" s="1"/>
  <c r="BZ184" i="1"/>
  <c r="CC184" i="1" s="1"/>
  <c r="BU84" i="1"/>
  <c r="BZ240" i="1"/>
  <c r="AX239" i="1"/>
  <c r="DB98" i="1"/>
  <c r="DG98" i="1" s="1"/>
  <c r="DB141" i="1"/>
  <c r="DE141" i="1" s="1"/>
  <c r="ED91" i="1"/>
  <c r="EH91" i="1" s="1"/>
  <c r="AC229" i="8" s="1"/>
  <c r="DB142" i="1"/>
  <c r="DE142" i="1" s="1"/>
  <c r="DB240" i="1"/>
  <c r="DE240" i="1" s="1"/>
  <c r="ED238" i="1"/>
  <c r="EF238" i="1" s="1"/>
  <c r="AF160" i="8" s="1"/>
  <c r="V41" i="1"/>
  <c r="X41" i="1" s="1"/>
  <c r="AX139" i="1"/>
  <c r="BB139" i="1" s="1"/>
  <c r="ED45" i="1"/>
  <c r="EI45" i="1" s="1"/>
  <c r="AB208" i="8" s="1"/>
  <c r="AX144" i="1"/>
  <c r="EC180" i="1"/>
  <c r="AW228" i="1"/>
  <c r="BD216" i="1" s="1"/>
  <c r="DB186" i="1"/>
  <c r="DF186" i="1" s="1"/>
  <c r="V192" i="1"/>
  <c r="EC35" i="1"/>
  <c r="DB38" i="1"/>
  <c r="DG38" i="1" s="1"/>
  <c r="ED90" i="1"/>
  <c r="EI90" i="1" s="1"/>
  <c r="AC204" i="8" s="1"/>
  <c r="BZ238" i="1"/>
  <c r="V138" i="1"/>
  <c r="ED184" i="1"/>
  <c r="EG184" i="1" s="1"/>
  <c r="AE250" i="8" s="1"/>
  <c r="ED183" i="1"/>
  <c r="EG183" i="1" s="1"/>
  <c r="AE249" i="8" s="1"/>
  <c r="V185" i="1"/>
  <c r="V191" i="1"/>
  <c r="ED194" i="1"/>
  <c r="EI194" i="1" s="1"/>
  <c r="AE212" i="8" s="1"/>
  <c r="AX143" i="1"/>
  <c r="AZ143" i="1" s="1"/>
  <c r="AX237" i="1"/>
  <c r="ED94" i="1"/>
  <c r="EJ94" i="1" s="1"/>
  <c r="AC184" i="8" s="1"/>
  <c r="AX97" i="1"/>
  <c r="BD97" i="1" s="1"/>
  <c r="AU35" i="1"/>
  <c r="DB90" i="1"/>
  <c r="DB189" i="1"/>
  <c r="V38" i="1"/>
  <c r="X38" i="1" s="1"/>
  <c r="V45" i="1"/>
  <c r="X45" i="1" s="1"/>
  <c r="EB132" i="1"/>
  <c r="ED40" i="1"/>
  <c r="EJ40" i="1" s="1"/>
  <c r="AB179" i="8" s="1"/>
  <c r="ED135" i="1"/>
  <c r="EH135" i="1" s="1"/>
  <c r="AD225" i="8" s="1"/>
  <c r="U84" i="1"/>
  <c r="AB78" i="1" s="1"/>
  <c r="V87" i="1"/>
  <c r="Z87" i="1" s="1"/>
  <c r="BW180" i="1"/>
  <c r="DB193" i="1"/>
  <c r="DH193" i="1" s="1"/>
  <c r="DB135" i="1"/>
  <c r="DG135" i="1" s="1"/>
  <c r="U228" i="1"/>
  <c r="AW35" i="1"/>
  <c r="DB48" i="1"/>
  <c r="DG48" i="1" s="1"/>
  <c r="ED141" i="1"/>
  <c r="EG141" i="1" s="1"/>
  <c r="AD255" i="8" s="1"/>
  <c r="BZ96" i="1"/>
  <c r="ED233" i="1"/>
  <c r="EG233" i="1" s="1"/>
  <c r="AF251" i="8" s="1"/>
  <c r="BZ188" i="1"/>
  <c r="CB188" i="1" s="1"/>
  <c r="ED232" i="1"/>
  <c r="EF232" i="1" s="1"/>
  <c r="AF154" i="8" s="1"/>
  <c r="V49" i="1"/>
  <c r="X49" i="1" s="1"/>
  <c r="DB45" i="1"/>
  <c r="DB97" i="1"/>
  <c r="CX132" i="1"/>
  <c r="DE120" i="1" s="1"/>
  <c r="BZ140" i="1"/>
  <c r="CD140" i="1" s="1"/>
  <c r="DB238" i="1"/>
  <c r="V140" i="1"/>
  <c r="AB140" i="1" s="1"/>
  <c r="ED87" i="1"/>
  <c r="EG87" i="1" s="1"/>
  <c r="AC249" i="8" s="1"/>
  <c r="DB88" i="1"/>
  <c r="BZ92" i="1"/>
  <c r="CB92" i="1" s="1"/>
  <c r="DB92" i="1"/>
  <c r="DF92" i="1" s="1"/>
  <c r="AX95" i="1"/>
  <c r="BA95" i="1" s="1"/>
  <c r="AX43" i="1"/>
  <c r="AZ43" i="1" s="1"/>
  <c r="V231" i="1"/>
  <c r="AV228" i="1"/>
  <c r="EC228" i="1"/>
  <c r="EJ219" i="1" s="1"/>
  <c r="BZ144" i="1"/>
  <c r="DB239" i="1"/>
  <c r="DH239" i="1" s="1"/>
  <c r="BZ191" i="1"/>
  <c r="CB191" i="1" s="1"/>
  <c r="DB43" i="1"/>
  <c r="AX232" i="1"/>
  <c r="BB232" i="1" s="1"/>
  <c r="DB233" i="1"/>
  <c r="V189" i="1"/>
  <c r="AA189" i="1" s="1"/>
  <c r="V98" i="1"/>
  <c r="Y98" i="1" s="1"/>
  <c r="BZ194" i="1"/>
  <c r="CD194" i="1" s="1"/>
  <c r="U236" i="8" s="1"/>
  <c r="ED237" i="1"/>
  <c r="R180" i="1"/>
  <c r="Y178" i="1" s="1"/>
  <c r="CX228" i="1"/>
  <c r="CY228" i="1"/>
  <c r="ED48" i="1"/>
  <c r="EI48" i="1" s="1"/>
  <c r="AB211" i="8" s="1"/>
  <c r="ED41" i="1"/>
  <c r="S84" i="1"/>
  <c r="AX38" i="1"/>
  <c r="AX238" i="1"/>
  <c r="DB91" i="1"/>
  <c r="DH91" i="1" s="1"/>
  <c r="AX47" i="1"/>
  <c r="AZ47" i="1" s="1"/>
  <c r="BZ94" i="1"/>
  <c r="AX145" i="1"/>
  <c r="BB145" i="1" s="1"/>
  <c r="S228" i="1"/>
  <c r="V95" i="1"/>
  <c r="BZ145" i="1"/>
  <c r="CF145" i="1" s="1"/>
  <c r="BZ41" i="1"/>
  <c r="ED139" i="1"/>
  <c r="BZ95" i="1"/>
  <c r="CD95" i="1" s="1"/>
  <c r="V91" i="1"/>
  <c r="AB91" i="1" s="1"/>
  <c r="AX48" i="1"/>
  <c r="R84" i="1"/>
  <c r="Y80" i="1" s="1"/>
  <c r="AW180" i="1"/>
  <c r="BD171" i="1" s="1"/>
  <c r="BY228" i="1"/>
  <c r="V143" i="1"/>
  <c r="AA143" i="1" s="1"/>
  <c r="V93" i="1"/>
  <c r="Z93" i="1" s="1"/>
  <c r="V136" i="1"/>
  <c r="AX137" i="1"/>
  <c r="DB44" i="1"/>
  <c r="DB89" i="1"/>
  <c r="DF89" i="1" s="1"/>
  <c r="V242" i="1"/>
  <c r="Z242" i="1" s="1"/>
  <c r="BY84" i="1"/>
  <c r="CX180" i="1"/>
  <c r="BX84" i="1"/>
  <c r="CE75" i="1" s="1"/>
  <c r="AS228" i="1"/>
  <c r="CW132" i="1"/>
  <c r="DB93" i="1"/>
  <c r="ED189" i="1"/>
  <c r="EJ189" i="1" s="1"/>
  <c r="AE183" i="8" s="1"/>
  <c r="V142" i="1"/>
  <c r="DB41" i="1"/>
  <c r="V39" i="1"/>
  <c r="X39" i="1" s="1"/>
  <c r="V48" i="1"/>
  <c r="X48" i="1" s="1"/>
  <c r="BZ40" i="1"/>
  <c r="DB140" i="1"/>
  <c r="DB40" i="1"/>
  <c r="ED185" i="1"/>
  <c r="BZ135" i="1"/>
  <c r="CE135" i="1" s="1"/>
  <c r="ED44" i="1"/>
  <c r="EB228" i="1"/>
  <c r="BZ91" i="1"/>
  <c r="AX186" i="1"/>
  <c r="AX184" i="1"/>
  <c r="BZ189" i="1"/>
  <c r="CD189" i="1" s="1"/>
  <c r="ED96" i="1"/>
  <c r="EI96" i="1" s="1"/>
  <c r="AC210" i="8" s="1"/>
  <c r="BZ232" i="1"/>
  <c r="CF232" i="1" s="1"/>
  <c r="DB39" i="1"/>
  <c r="AX240" i="1"/>
  <c r="DB96" i="1"/>
  <c r="DD96" i="1" s="1"/>
  <c r="AX191" i="1"/>
  <c r="BZ136" i="1"/>
  <c r="AX49" i="1"/>
  <c r="BD49" i="1" s="1"/>
  <c r="AV84" i="1"/>
  <c r="CW228" i="1"/>
  <c r="DD216" i="1" s="1"/>
  <c r="BZ90" i="1"/>
  <c r="ED38" i="1"/>
  <c r="EG38" i="1" s="1"/>
  <c r="AB249" i="8" s="1"/>
  <c r="BZ187" i="1"/>
  <c r="CE187" i="1" s="1"/>
  <c r="DB42" i="1"/>
  <c r="DD42" i="1" s="1"/>
  <c r="AX138" i="1"/>
  <c r="V46" i="1"/>
  <c r="X46" i="1" s="1"/>
  <c r="V194" i="1"/>
  <c r="X194" i="1" s="1"/>
  <c r="BZ142" i="1"/>
  <c r="BZ97" i="1"/>
  <c r="CF97" i="1" s="1"/>
  <c r="BZ45" i="1"/>
  <c r="BZ49" i="1"/>
  <c r="ED144" i="1"/>
  <c r="V235" i="1"/>
  <c r="AX87" i="1"/>
  <c r="DB187" i="1"/>
  <c r="BZ237" i="1"/>
  <c r="BZ47" i="1"/>
  <c r="S35" i="1"/>
  <c r="ED95" i="1"/>
  <c r="EJ95" i="1" s="1"/>
  <c r="AC185" i="8" s="1"/>
  <c r="V190" i="1"/>
  <c r="BX35" i="1"/>
  <c r="CE27" i="1" s="1"/>
  <c r="ED46" i="1"/>
  <c r="EA228" i="1"/>
  <c r="BV228" i="1"/>
  <c r="V184" i="1"/>
  <c r="DB185" i="1"/>
  <c r="DB94" i="1"/>
  <c r="BZ138" i="1"/>
  <c r="DB242" i="1"/>
  <c r="V43" i="1"/>
  <c r="X43" i="1" s="1"/>
  <c r="DB87" i="1"/>
  <c r="ED235" i="1"/>
  <c r="EG235" i="1" s="1"/>
  <c r="AF253" i="8" s="1"/>
  <c r="AX98" i="1"/>
  <c r="AX93" i="1"/>
  <c r="AZ93" i="1" s="1"/>
  <c r="ED234" i="1"/>
  <c r="EF234" i="1" s="1"/>
  <c r="AF156" i="8" s="1"/>
  <c r="V92" i="1"/>
  <c r="AX235" i="1"/>
  <c r="BY132" i="1"/>
  <c r="BZ242" i="1"/>
  <c r="AX88" i="1"/>
  <c r="BZ241" i="1"/>
  <c r="ED231" i="1"/>
  <c r="EG231" i="1" s="1"/>
  <c r="AF249" i="8" s="1"/>
  <c r="AS180" i="1"/>
  <c r="AZ172" i="1" s="1"/>
  <c r="CZ180" i="1"/>
  <c r="CW180" i="1"/>
  <c r="AU228" i="1"/>
  <c r="BZ231" i="1"/>
  <c r="CD231" i="1" s="1"/>
  <c r="DB47" i="1"/>
  <c r="DB143" i="1"/>
  <c r="DH143" i="1" s="1"/>
  <c r="AX192" i="1"/>
  <c r="BB192" i="1" s="1"/>
  <c r="BZ146" i="1"/>
  <c r="V236" i="1"/>
  <c r="BZ44" i="1"/>
  <c r="CD44" i="1" s="1"/>
  <c r="V183" i="1"/>
  <c r="Z183" i="1" s="1"/>
  <c r="DB137" i="1"/>
  <c r="DF137" i="1" s="1"/>
  <c r="BZ183" i="1"/>
  <c r="ED187" i="1"/>
  <c r="AX187" i="1"/>
  <c r="U132" i="1"/>
  <c r="AB120" i="1" s="1"/>
  <c r="AX40" i="1"/>
  <c r="BD40" i="1" s="1"/>
  <c r="V232" i="1"/>
  <c r="DZ180" i="1"/>
  <c r="EG178" i="1" s="1"/>
  <c r="BZ141" i="1"/>
  <c r="CE141" i="1" s="1"/>
  <c r="DB231" i="1"/>
  <c r="AX234" i="1"/>
  <c r="BZ239" i="1"/>
  <c r="CC239" i="1" s="1"/>
  <c r="DB139" i="1"/>
  <c r="DZ132" i="1"/>
  <c r="U180" i="1"/>
  <c r="CZ228" i="1"/>
  <c r="BW84" i="1"/>
  <c r="CD76" i="1" s="1"/>
  <c r="EB35" i="1"/>
  <c r="AX39" i="1"/>
  <c r="BZ43" i="1"/>
  <c r="AV132" i="1"/>
  <c r="BC124" i="1" s="1"/>
  <c r="V135" i="1"/>
  <c r="ED140" i="1"/>
  <c r="AT35" i="1"/>
  <c r="BU180" i="1"/>
  <c r="CB179" i="1" s="1"/>
  <c r="BZ88" i="1"/>
  <c r="AS35" i="1"/>
  <c r="T228" i="1"/>
  <c r="BW35" i="1"/>
  <c r="CY132" i="1"/>
  <c r="BZ46" i="1"/>
  <c r="BZ38" i="1"/>
  <c r="CF38" i="1" s="1"/>
  <c r="CX35" i="1"/>
  <c r="AX94" i="1"/>
  <c r="AX190" i="1"/>
  <c r="EA35" i="1"/>
  <c r="Q35" i="1"/>
  <c r="X23" i="1" s="1"/>
  <c r="AX193" i="1"/>
  <c r="BZ185" i="1"/>
  <c r="AX96" i="1"/>
  <c r="ED92" i="1"/>
  <c r="EI92" i="1" s="1"/>
  <c r="AC206" i="8" s="1"/>
  <c r="BZ143" i="1"/>
  <c r="BW228" i="1"/>
  <c r="AX90" i="1"/>
  <c r="BV84" i="1"/>
  <c r="CC79" i="1" s="1"/>
  <c r="DB194" i="1"/>
  <c r="ED236" i="1"/>
  <c r="EG236" i="1" s="1"/>
  <c r="AF254" i="8" s="1"/>
  <c r="DB95" i="1"/>
  <c r="DD95" i="1" s="1"/>
  <c r="DB184" i="1"/>
  <c r="V139" i="1"/>
  <c r="X139" i="1" s="1"/>
  <c r="ED93" i="1"/>
  <c r="AX236" i="1"/>
  <c r="BC236" i="1" s="1"/>
  <c r="EC84" i="1"/>
  <c r="CZ132" i="1"/>
  <c r="DY180" i="1"/>
  <c r="DB192" i="1"/>
  <c r="V233" i="1"/>
  <c r="AX140" i="1"/>
  <c r="V137" i="1"/>
  <c r="Y137" i="1" s="1"/>
  <c r="ED191" i="1"/>
  <c r="EJ191" i="1" s="1"/>
  <c r="AE185" i="8" s="1"/>
  <c r="DB46" i="1"/>
  <c r="BZ137" i="1"/>
  <c r="AU180" i="1"/>
  <c r="DB145" i="1"/>
  <c r="BZ42" i="1"/>
  <c r="CE42" i="1" s="1"/>
  <c r="ED142" i="1"/>
  <c r="EJ142" i="1" s="1"/>
  <c r="AD184" i="8" s="1"/>
  <c r="BZ89" i="1"/>
  <c r="V144" i="1"/>
  <c r="Z144" i="1" s="1"/>
  <c r="DB188" i="1"/>
  <c r="ED89" i="1"/>
  <c r="EF89" i="1" s="1"/>
  <c r="AC155" i="8" s="1"/>
  <c r="V141" i="1"/>
  <c r="AA141" i="1" s="1"/>
  <c r="V187" i="1"/>
  <c r="DA132" i="1"/>
  <c r="DH127" i="1" s="1"/>
  <c r="V239" i="1"/>
  <c r="AX89" i="1"/>
  <c r="ED88" i="1"/>
  <c r="CY84" i="1"/>
  <c r="AX91" i="1"/>
  <c r="V90" i="1"/>
  <c r="DB138" i="1"/>
  <c r="DA84" i="1"/>
  <c r="EC132" i="1"/>
  <c r="DB236" i="1"/>
  <c r="DE236" i="1" s="1"/>
  <c r="ED39" i="1"/>
  <c r="V238" i="1"/>
  <c r="ED146" i="1"/>
  <c r="EF146" i="1" s="1"/>
  <c r="AD164" i="8" s="1"/>
  <c r="ED43" i="1"/>
  <c r="EF43" i="1" s="1"/>
  <c r="AB158" i="8" s="1"/>
  <c r="BU35" i="1"/>
  <c r="CW35" i="1"/>
  <c r="DZ35" i="1"/>
  <c r="ED42" i="1"/>
  <c r="AT132" i="1"/>
  <c r="V89" i="1"/>
  <c r="BZ190" i="1"/>
  <c r="DB235" i="1"/>
  <c r="DE235" i="1" s="1"/>
  <c r="ED98" i="1"/>
  <c r="EF98" i="1" s="1"/>
  <c r="AC164" i="8" s="1"/>
  <c r="DB49" i="1"/>
  <c r="V240" i="1"/>
  <c r="BV180" i="1"/>
  <c r="CC179" i="1" s="1"/>
  <c r="Q180" i="1"/>
  <c r="AX92" i="1"/>
  <c r="BD92" i="1" s="1"/>
  <c r="AX42" i="1"/>
  <c r="BC42" i="1" s="1"/>
  <c r="BZ98" i="1"/>
  <c r="BZ186" i="1"/>
  <c r="CC186" i="1" s="1"/>
  <c r="AX135" i="1"/>
  <c r="ED186" i="1"/>
  <c r="AX183" i="1"/>
  <c r="R228" i="1"/>
  <c r="Y221" i="1" s="1"/>
  <c r="Q228" i="1"/>
  <c r="DB237" i="1"/>
  <c r="DD237" i="1" s="1"/>
  <c r="AX44" i="1"/>
  <c r="CY35" i="1"/>
  <c r="V94" i="1"/>
  <c r="Z94" i="1" s="1"/>
  <c r="ED49" i="1"/>
  <c r="EF49" i="1" s="1"/>
  <c r="AB164" i="8" s="1"/>
  <c r="T35" i="1"/>
  <c r="AA30" i="1" s="1"/>
  <c r="BZ235" i="1"/>
  <c r="CD235" i="1" s="1"/>
  <c r="AX142" i="1"/>
  <c r="CZ84" i="1"/>
  <c r="DG78" i="1" s="1"/>
  <c r="AX136" i="1"/>
  <c r="BD136" i="1" s="1"/>
  <c r="AZ173" i="1" l="1"/>
  <c r="CE74" i="1"/>
  <c r="DH48" i="1"/>
  <c r="EG136" i="1"/>
  <c r="AD250" i="8" s="1"/>
  <c r="BB143" i="1"/>
  <c r="O233" i="8" s="1"/>
  <c r="AZ41" i="1"/>
  <c r="M156" i="8" s="1"/>
  <c r="BA41" i="1"/>
  <c r="M252" i="8" s="1"/>
  <c r="CE236" i="1"/>
  <c r="V206" i="8" s="1"/>
  <c r="DE193" i="1"/>
  <c r="Z259" i="8" s="1"/>
  <c r="AB79" i="1"/>
  <c r="AA137" i="1"/>
  <c r="J203" i="8" s="1"/>
  <c r="Y175" i="1"/>
  <c r="K244" i="8" s="1"/>
  <c r="CB224" i="1"/>
  <c r="DF240" i="1"/>
  <c r="AA234" i="8" s="1"/>
  <c r="X189" i="1"/>
  <c r="K159" i="8" s="1"/>
  <c r="EI179" i="1"/>
  <c r="EI163" i="1" s="1"/>
  <c r="DG191" i="1"/>
  <c r="Z209" i="8" s="1"/>
  <c r="CF39" i="1"/>
  <c r="AA82" i="1"/>
  <c r="AZ183" i="1"/>
  <c r="P153" i="8" s="1"/>
  <c r="BA183" i="1"/>
  <c r="P249" i="8" s="1"/>
  <c r="AA90" i="1"/>
  <c r="I204" i="8" s="1"/>
  <c r="X90" i="1"/>
  <c r="I156" i="8" s="1"/>
  <c r="AZ89" i="1"/>
  <c r="N155" i="8" s="1"/>
  <c r="BD89" i="1"/>
  <c r="N179" i="8" s="1"/>
  <c r="BA89" i="1"/>
  <c r="N251" i="8" s="1"/>
  <c r="DF46" i="1"/>
  <c r="W233" i="8" s="1"/>
  <c r="DE46" i="1"/>
  <c r="W257" i="8" s="1"/>
  <c r="CB46" i="1"/>
  <c r="R161" i="8" s="1"/>
  <c r="CE46" i="1"/>
  <c r="R209" i="8" s="1"/>
  <c r="CF46" i="1"/>
  <c r="R185" i="8" s="1"/>
  <c r="BB234" i="1"/>
  <c r="Q228" i="8" s="1"/>
  <c r="BA234" i="1"/>
  <c r="Q252" i="8" s="1"/>
  <c r="AZ234" i="1"/>
  <c r="Q156" i="8" s="1"/>
  <c r="DD179" i="1"/>
  <c r="DD175" i="1"/>
  <c r="Z148" i="8" s="1"/>
  <c r="DD173" i="1"/>
  <c r="Z146" i="8" s="1"/>
  <c r="BC98" i="1"/>
  <c r="N212" i="8" s="1"/>
  <c r="BB98" i="1"/>
  <c r="N236" i="8" s="1"/>
  <c r="AB184" i="1"/>
  <c r="K178" i="8" s="1"/>
  <c r="AA184" i="1"/>
  <c r="K202" i="8" s="1"/>
  <c r="DD126" i="1"/>
  <c r="DD131" i="1"/>
  <c r="DD130" i="1"/>
  <c r="DD123" i="1"/>
  <c r="CF223" i="1"/>
  <c r="CF218" i="1"/>
  <c r="CF222" i="1"/>
  <c r="CF217" i="1"/>
  <c r="CD94" i="1"/>
  <c r="S232" i="8" s="1"/>
  <c r="CF94" i="1"/>
  <c r="S184" i="8" s="1"/>
  <c r="AZ38" i="1"/>
  <c r="M153" i="8" s="1"/>
  <c r="BB38" i="1"/>
  <c r="BC38" i="1"/>
  <c r="M201" i="8" s="1"/>
  <c r="CE96" i="1"/>
  <c r="CD96" i="1"/>
  <c r="S234" i="8" s="1"/>
  <c r="CC96" i="1"/>
  <c r="S258" i="8" s="1"/>
  <c r="EI124" i="1"/>
  <c r="EI125" i="1"/>
  <c r="AD194" i="8" s="1"/>
  <c r="Z185" i="1"/>
  <c r="K227" i="8" s="1"/>
  <c r="AB185" i="1"/>
  <c r="K179" i="8" s="1"/>
  <c r="BB76" i="1"/>
  <c r="BB80" i="1"/>
  <c r="CE171" i="1"/>
  <c r="CE169" i="1"/>
  <c r="U190" i="8" s="1"/>
  <c r="CE176" i="1"/>
  <c r="Z96" i="1"/>
  <c r="I234" i="8" s="1"/>
  <c r="AB96" i="1"/>
  <c r="I186" i="8" s="1"/>
  <c r="X96" i="1"/>
  <c r="I162" i="8" s="1"/>
  <c r="BD121" i="1"/>
  <c r="BD131" i="1"/>
  <c r="BD115" i="1" s="1"/>
  <c r="BD120" i="1"/>
  <c r="EG138" i="1"/>
  <c r="AD252" i="8" s="1"/>
  <c r="EJ138" i="1"/>
  <c r="AD180" i="8" s="1"/>
  <c r="DH27" i="1"/>
  <c r="W169" i="8" s="1"/>
  <c r="DH24" i="1"/>
  <c r="DH23" i="1"/>
  <c r="BC170" i="1"/>
  <c r="P191" i="8" s="1"/>
  <c r="BC173" i="1"/>
  <c r="P194" i="8" s="1"/>
  <c r="BD142" i="1"/>
  <c r="O184" i="8" s="1"/>
  <c r="AZ142" i="1"/>
  <c r="O160" i="8" s="1"/>
  <c r="BA142" i="1"/>
  <c r="O256" i="8" s="1"/>
  <c r="Z240" i="1"/>
  <c r="Y240" i="1"/>
  <c r="CC190" i="1"/>
  <c r="U256" i="8" s="1"/>
  <c r="CE190" i="1"/>
  <c r="U208" i="8" s="1"/>
  <c r="CF190" i="1"/>
  <c r="U184" i="8" s="1"/>
  <c r="CB190" i="1"/>
  <c r="U160" i="8" s="1"/>
  <c r="EG30" i="1"/>
  <c r="EG31" i="1"/>
  <c r="EG29" i="1"/>
  <c r="EG27" i="1"/>
  <c r="EJ125" i="1"/>
  <c r="EJ131" i="1"/>
  <c r="EJ122" i="1"/>
  <c r="BB91" i="1"/>
  <c r="N229" i="8" s="1"/>
  <c r="BD91" i="1"/>
  <c r="N181" i="8" s="1"/>
  <c r="BC91" i="1"/>
  <c r="AA239" i="1"/>
  <c r="L209" i="8" s="1"/>
  <c r="Z239" i="1"/>
  <c r="EJ238" i="1"/>
  <c r="AF184" i="8" s="1"/>
  <c r="X190" i="1"/>
  <c r="K160" i="8" s="1"/>
  <c r="AB190" i="1"/>
  <c r="K184" i="8" s="1"/>
  <c r="AA190" i="1"/>
  <c r="K208" i="8" s="1"/>
  <c r="CD237" i="1"/>
  <c r="V231" i="8" s="1"/>
  <c r="CE237" i="1"/>
  <c r="V207" i="8" s="1"/>
  <c r="CC142" i="1"/>
  <c r="T256" i="8" s="1"/>
  <c r="CF142" i="1"/>
  <c r="T184" i="8" s="1"/>
  <c r="BD191" i="1"/>
  <c r="BC191" i="1"/>
  <c r="P209" i="8" s="1"/>
  <c r="BB191" i="1"/>
  <c r="P233" i="8" s="1"/>
  <c r="BA186" i="1"/>
  <c r="P252" i="8" s="1"/>
  <c r="BD186" i="1"/>
  <c r="P180" i="8" s="1"/>
  <c r="BC186" i="1"/>
  <c r="P204" i="8" s="1"/>
  <c r="CB40" i="1"/>
  <c r="R155" i="8" s="1"/>
  <c r="CD40" i="1"/>
  <c r="R227" i="8" s="1"/>
  <c r="AB142" i="1"/>
  <c r="J184" i="8" s="1"/>
  <c r="Y142" i="1"/>
  <c r="J256" i="8" s="1"/>
  <c r="EG169" i="1"/>
  <c r="BA42" i="1"/>
  <c r="M253" i="8" s="1"/>
  <c r="CB142" i="1"/>
  <c r="T160" i="8" s="1"/>
  <c r="CB94" i="1"/>
  <c r="S160" i="8" s="1"/>
  <c r="BC192" i="1"/>
  <c r="CE130" i="1"/>
  <c r="T199" i="8" s="1"/>
  <c r="AA187" i="1"/>
  <c r="K205" i="8" s="1"/>
  <c r="Z187" i="1"/>
  <c r="K229" i="8" s="1"/>
  <c r="X187" i="1"/>
  <c r="K157" i="8" s="1"/>
  <c r="DF145" i="1"/>
  <c r="Y235" i="8" s="1"/>
  <c r="DG145" i="1"/>
  <c r="Y211" i="8" s="1"/>
  <c r="AB233" i="1"/>
  <c r="L179" i="8" s="1"/>
  <c r="Y233" i="1"/>
  <c r="Z233" i="1"/>
  <c r="L251" i="8" s="1"/>
  <c r="CB185" i="1"/>
  <c r="U155" i="8" s="1"/>
  <c r="CC185" i="1"/>
  <c r="U251" i="8" s="1"/>
  <c r="CE185" i="1"/>
  <c r="U203" i="8" s="1"/>
  <c r="AB170" i="1"/>
  <c r="K167" i="8" s="1"/>
  <c r="AB175" i="1"/>
  <c r="K172" i="8" s="1"/>
  <c r="AB168" i="1"/>
  <c r="K165" i="8" s="1"/>
  <c r="CC241" i="1"/>
  <c r="V259" i="8" s="1"/>
  <c r="CF241" i="1"/>
  <c r="V187" i="8" s="1"/>
  <c r="DD242" i="1"/>
  <c r="AA164" i="8" s="1"/>
  <c r="DH242" i="1"/>
  <c r="AA188" i="8" s="1"/>
  <c r="CF83" i="1"/>
  <c r="CF81" i="1"/>
  <c r="CF76" i="1"/>
  <c r="CF78" i="1"/>
  <c r="S171" i="8" s="1"/>
  <c r="CF75" i="1"/>
  <c r="CB144" i="1"/>
  <c r="T162" i="8" s="1"/>
  <c r="CF144" i="1"/>
  <c r="T186" i="8" s="1"/>
  <c r="DD88" i="1"/>
  <c r="X154" i="8" s="1"/>
  <c r="DH88" i="1"/>
  <c r="X178" i="8" s="1"/>
  <c r="DF88" i="1"/>
  <c r="X226" i="8" s="1"/>
  <c r="DH90" i="1"/>
  <c r="X180" i="8" s="1"/>
  <c r="DD90" i="1"/>
  <c r="X156" i="8" s="1"/>
  <c r="AZ237" i="1"/>
  <c r="Q159" i="8" s="1"/>
  <c r="BA237" i="1"/>
  <c r="Q255" i="8" s="1"/>
  <c r="CF238" i="1"/>
  <c r="V184" i="8" s="1"/>
  <c r="CE238" i="1"/>
  <c r="CC238" i="1"/>
  <c r="V256" i="8" s="1"/>
  <c r="AZ144" i="1"/>
  <c r="O162" i="8" s="1"/>
  <c r="BD144" i="1"/>
  <c r="O186" i="8" s="1"/>
  <c r="CB80" i="1"/>
  <c r="S149" i="8" s="1"/>
  <c r="CB81" i="1"/>
  <c r="S150" i="8" s="1"/>
  <c r="CB83" i="1"/>
  <c r="DE78" i="1"/>
  <c r="DE75" i="1"/>
  <c r="DE72" i="1"/>
  <c r="X237" i="8" s="1"/>
  <c r="DE80" i="1"/>
  <c r="DE81" i="1"/>
  <c r="DE77" i="1"/>
  <c r="DD76" i="1"/>
  <c r="DD75" i="1"/>
  <c r="X144" i="8" s="1"/>
  <c r="DD81" i="1"/>
  <c r="DD80" i="1"/>
  <c r="BC34" i="1"/>
  <c r="M200" i="8" s="1"/>
  <c r="BC29" i="1"/>
  <c r="M195" i="8" s="1"/>
  <c r="BC23" i="1"/>
  <c r="Y23" i="1"/>
  <c r="H237" i="8" s="1"/>
  <c r="Y24" i="1"/>
  <c r="Y31" i="1"/>
  <c r="H245" i="8" s="1"/>
  <c r="Y25" i="1"/>
  <c r="EH136" i="1"/>
  <c r="EF170" i="1"/>
  <c r="EF172" i="1"/>
  <c r="EF171" i="1"/>
  <c r="EF176" i="1"/>
  <c r="AZ90" i="1"/>
  <c r="N156" i="8" s="1"/>
  <c r="BD90" i="1"/>
  <c r="N180" i="8" s="1"/>
  <c r="BC90" i="1"/>
  <c r="N204" i="8" s="1"/>
  <c r="X30" i="1"/>
  <c r="X25" i="1"/>
  <c r="X29" i="1"/>
  <c r="H147" i="8" s="1"/>
  <c r="X26" i="1"/>
  <c r="DE28" i="1"/>
  <c r="DE33" i="1"/>
  <c r="DE30" i="1"/>
  <c r="W244" i="8" s="1"/>
  <c r="CD25" i="1"/>
  <c r="CD33" i="1"/>
  <c r="R223" i="8" s="1"/>
  <c r="CD30" i="1"/>
  <c r="CD28" i="1"/>
  <c r="DF139" i="1"/>
  <c r="Y229" i="8" s="1"/>
  <c r="DD139" i="1"/>
  <c r="Y157" i="8" s="1"/>
  <c r="AB131" i="1"/>
  <c r="AB122" i="1"/>
  <c r="AB127" i="1"/>
  <c r="CE146" i="1"/>
  <c r="T212" i="8" s="1"/>
  <c r="CC146" i="1"/>
  <c r="T260" i="8" s="1"/>
  <c r="AZ176" i="1"/>
  <c r="P149" i="8" s="1"/>
  <c r="AZ174" i="1"/>
  <c r="AZ178" i="1"/>
  <c r="CB242" i="1"/>
  <c r="V164" i="8" s="1"/>
  <c r="CC242" i="1"/>
  <c r="V260" i="8" s="1"/>
  <c r="DD87" i="1"/>
  <c r="X153" i="8" s="1"/>
  <c r="DF87" i="1"/>
  <c r="EH227" i="1"/>
  <c r="EH223" i="1"/>
  <c r="EH216" i="1"/>
  <c r="AF213" i="8" s="1"/>
  <c r="DG187" i="1"/>
  <c r="Z205" i="8" s="1"/>
  <c r="DH187" i="1"/>
  <c r="Z181" i="8" s="1"/>
  <c r="CB49" i="1"/>
  <c r="R164" i="8" s="1"/>
  <c r="CD49" i="1"/>
  <c r="R236" i="8" s="1"/>
  <c r="CE49" i="1"/>
  <c r="R212" i="8" s="1"/>
  <c r="BC77" i="1"/>
  <c r="BC80" i="1"/>
  <c r="BC72" i="1"/>
  <c r="DE96" i="1"/>
  <c r="X258" i="8" s="1"/>
  <c r="DF96" i="1"/>
  <c r="X234" i="8" s="1"/>
  <c r="DH96" i="1"/>
  <c r="X186" i="8" s="1"/>
  <c r="CC91" i="1"/>
  <c r="S253" i="8" s="1"/>
  <c r="CB91" i="1"/>
  <c r="S157" i="8" s="1"/>
  <c r="BB81" i="1"/>
  <c r="CB168" i="1"/>
  <c r="U141" i="8" s="1"/>
  <c r="X142" i="1"/>
  <c r="J160" i="8" s="1"/>
  <c r="DD141" i="1"/>
  <c r="Y159" i="8" s="1"/>
  <c r="CF87" i="1"/>
  <c r="S177" i="8" s="1"/>
  <c r="EH226" i="1"/>
  <c r="DE82" i="1"/>
  <c r="BC44" i="1"/>
  <c r="M207" i="8" s="1"/>
  <c r="BA44" i="1"/>
  <c r="M255" i="8" s="1"/>
  <c r="CC98" i="1"/>
  <c r="S260" i="8" s="1"/>
  <c r="CE98" i="1"/>
  <c r="S212" i="8" s="1"/>
  <c r="CB98" i="1"/>
  <c r="EJ75" i="1"/>
  <c r="EJ76" i="1"/>
  <c r="DD194" i="1"/>
  <c r="Z164" i="8" s="1"/>
  <c r="DH194" i="1"/>
  <c r="Z188" i="8" s="1"/>
  <c r="BC190" i="1"/>
  <c r="P208" i="8" s="1"/>
  <c r="BA190" i="1"/>
  <c r="P256" i="8" s="1"/>
  <c r="AZ33" i="1"/>
  <c r="AZ27" i="1"/>
  <c r="AZ23" i="1"/>
  <c r="AZ28" i="1"/>
  <c r="AZ30" i="1"/>
  <c r="BC39" i="1"/>
  <c r="BD39" i="1"/>
  <c r="Z232" i="1"/>
  <c r="X232" i="1"/>
  <c r="L154" i="8" s="1"/>
  <c r="BA235" i="1"/>
  <c r="Q253" i="8" s="1"/>
  <c r="AZ235" i="1"/>
  <c r="Q157" i="8" s="1"/>
  <c r="CE32" i="1"/>
  <c r="CE31" i="1"/>
  <c r="CE25" i="1"/>
  <c r="DD41" i="1"/>
  <c r="W156" i="8" s="1"/>
  <c r="DH41" i="1"/>
  <c r="W180" i="8" s="1"/>
  <c r="DF41" i="1"/>
  <c r="W228" i="8" s="1"/>
  <c r="AZ137" i="1"/>
  <c r="O155" i="8" s="1"/>
  <c r="BB137" i="1"/>
  <c r="O227" i="8" s="1"/>
  <c r="CB145" i="1"/>
  <c r="T163" i="8" s="1"/>
  <c r="CE145" i="1"/>
  <c r="T211" i="8" s="1"/>
  <c r="DF225" i="1"/>
  <c r="AA222" i="8" s="1"/>
  <c r="DF222" i="1"/>
  <c r="DF223" i="1"/>
  <c r="AA220" i="8" s="1"/>
  <c r="DF227" i="1"/>
  <c r="AA224" i="8" s="1"/>
  <c r="AB220" i="1"/>
  <c r="AB222" i="1"/>
  <c r="AB223" i="1"/>
  <c r="L172" i="8" s="1"/>
  <c r="DH146" i="1"/>
  <c r="Y188" i="8" s="1"/>
  <c r="DD146" i="1"/>
  <c r="Y164" i="8" s="1"/>
  <c r="DE146" i="1"/>
  <c r="Y260" i="8" s="1"/>
  <c r="DG23" i="1"/>
  <c r="DG34" i="1"/>
  <c r="DG26" i="1"/>
  <c r="W192" i="8" s="1"/>
  <c r="CC127" i="1"/>
  <c r="T244" i="8" s="1"/>
  <c r="CC120" i="1"/>
  <c r="CC128" i="1"/>
  <c r="CB123" i="1"/>
  <c r="T144" i="8" s="1"/>
  <c r="CB129" i="1"/>
  <c r="T150" i="8" s="1"/>
  <c r="CB128" i="1"/>
  <c r="CB126" i="1"/>
  <c r="T147" i="8" s="1"/>
  <c r="CB127" i="1"/>
  <c r="T148" i="8" s="1"/>
  <c r="Z188" i="1"/>
  <c r="K230" i="8" s="1"/>
  <c r="X188" i="1"/>
  <c r="K158" i="8" s="1"/>
  <c r="DH190" i="1"/>
  <c r="Z184" i="8" s="1"/>
  <c r="DF28" i="1"/>
  <c r="DF27" i="1"/>
  <c r="DF33" i="1"/>
  <c r="DF25" i="1"/>
  <c r="Y227" i="1"/>
  <c r="Y226" i="1"/>
  <c r="Y224" i="1"/>
  <c r="X170" i="1"/>
  <c r="X169" i="1"/>
  <c r="X178" i="1"/>
  <c r="X174" i="1"/>
  <c r="X176" i="1"/>
  <c r="X168" i="1"/>
  <c r="K141" i="8" s="1"/>
  <c r="BA125" i="1"/>
  <c r="BA121" i="1"/>
  <c r="CB26" i="1"/>
  <c r="CB27" i="1"/>
  <c r="CB23" i="1"/>
  <c r="DD138" i="1"/>
  <c r="Y156" i="8" s="1"/>
  <c r="DH138" i="1"/>
  <c r="Y180" i="8" s="1"/>
  <c r="DE138" i="1"/>
  <c r="Y252" i="8" s="1"/>
  <c r="Y128" i="1"/>
  <c r="Y120" i="1"/>
  <c r="J237" i="8" s="1"/>
  <c r="DH188" i="1"/>
  <c r="Z182" i="8" s="1"/>
  <c r="DD188" i="1"/>
  <c r="Z158" i="8" s="1"/>
  <c r="CF137" i="1"/>
  <c r="T179" i="8" s="1"/>
  <c r="CD137" i="1"/>
  <c r="T227" i="8" s="1"/>
  <c r="BA140" i="1"/>
  <c r="AZ140" i="1"/>
  <c r="O158" i="8" s="1"/>
  <c r="DG126" i="1"/>
  <c r="DG125" i="1"/>
  <c r="DG120" i="1"/>
  <c r="Y189" i="8" s="1"/>
  <c r="DG124" i="1"/>
  <c r="CD218" i="1"/>
  <c r="CD221" i="1"/>
  <c r="CD219" i="1"/>
  <c r="AZ96" i="1"/>
  <c r="N162" i="8" s="1"/>
  <c r="BC96" i="1"/>
  <c r="N210" i="8" s="1"/>
  <c r="EH30" i="1"/>
  <c r="AB220" i="8" s="1"/>
  <c r="EH24" i="1"/>
  <c r="EH23" i="1"/>
  <c r="AA227" i="1"/>
  <c r="AA225" i="1"/>
  <c r="BA23" i="1"/>
  <c r="BA24" i="1"/>
  <c r="BA26" i="1"/>
  <c r="CC43" i="1"/>
  <c r="R254" i="8" s="1"/>
  <c r="CB43" i="1"/>
  <c r="R158" i="8" s="1"/>
  <c r="CF43" i="1"/>
  <c r="R182" i="8" s="1"/>
  <c r="DG224" i="1"/>
  <c r="DG221" i="1"/>
  <c r="CF239" i="1"/>
  <c r="V185" i="8" s="1"/>
  <c r="CB239" i="1"/>
  <c r="V161" i="8" s="1"/>
  <c r="BC187" i="1"/>
  <c r="BB187" i="1"/>
  <c r="P229" i="8" s="1"/>
  <c r="BB227" i="1"/>
  <c r="Q224" i="8" s="1"/>
  <c r="BB220" i="1"/>
  <c r="BB216" i="1"/>
  <c r="CF123" i="1"/>
  <c r="T168" i="8" s="1"/>
  <c r="CF131" i="1"/>
  <c r="CF124" i="1"/>
  <c r="CF127" i="1"/>
  <c r="T172" i="8" s="1"/>
  <c r="CF122" i="1"/>
  <c r="DE185" i="1"/>
  <c r="Z251" i="8" s="1"/>
  <c r="DF185" i="1"/>
  <c r="Z227" i="8" s="1"/>
  <c r="DG185" i="1"/>
  <c r="Z203" i="8" s="1"/>
  <c r="Z27" i="1"/>
  <c r="Z32" i="1"/>
  <c r="Z23" i="1"/>
  <c r="H213" i="8" s="1"/>
  <c r="AZ87" i="1"/>
  <c r="BC87" i="1"/>
  <c r="N201" i="8" s="1"/>
  <c r="BA87" i="1"/>
  <c r="N249" i="8" s="1"/>
  <c r="BB87" i="1"/>
  <c r="N225" i="8" s="1"/>
  <c r="CF45" i="1"/>
  <c r="R184" i="8" s="1"/>
  <c r="CB45" i="1"/>
  <c r="R160" i="8" s="1"/>
  <c r="CE45" i="1"/>
  <c r="R208" i="8" s="1"/>
  <c r="AZ240" i="1"/>
  <c r="Q162" i="8" s="1"/>
  <c r="BD240" i="1"/>
  <c r="BA240" i="1"/>
  <c r="Q258" i="8" s="1"/>
  <c r="CF189" i="1"/>
  <c r="U183" i="8" s="1"/>
  <c r="CB189" i="1"/>
  <c r="U159" i="8" s="1"/>
  <c r="EI225" i="1"/>
  <c r="AF198" i="8" s="1"/>
  <c r="EI224" i="1"/>
  <c r="AF197" i="8" s="1"/>
  <c r="EI221" i="1"/>
  <c r="DH40" i="1"/>
  <c r="W179" i="8" s="1"/>
  <c r="DG40" i="1"/>
  <c r="W203" i="8" s="1"/>
  <c r="DD40" i="1"/>
  <c r="W155" i="8" s="1"/>
  <c r="DF40" i="1"/>
  <c r="W227" i="8" s="1"/>
  <c r="CF40" i="1"/>
  <c r="R179" i="8" s="1"/>
  <c r="X233" i="1"/>
  <c r="L155" i="8" s="1"/>
  <c r="CB87" i="1"/>
  <c r="S153" i="8" s="1"/>
  <c r="CF237" i="1"/>
  <c r="V183" i="8" s="1"/>
  <c r="BA32" i="1"/>
  <c r="CE241" i="1"/>
  <c r="V211" i="8" s="1"/>
  <c r="X141" i="1"/>
  <c r="J159" i="8" s="1"/>
  <c r="DE73" i="1"/>
  <c r="BD93" i="1"/>
  <c r="N183" i="8" s="1"/>
  <c r="DF143" i="1"/>
  <c r="Y233" i="8" s="1"/>
  <c r="X34" i="1"/>
  <c r="Y219" i="1"/>
  <c r="BD87" i="1"/>
  <c r="N177" i="8" s="1"/>
  <c r="AZ223" i="1"/>
  <c r="AZ227" i="1"/>
  <c r="AB136" i="1"/>
  <c r="J178" i="8" s="1"/>
  <c r="X136" i="1"/>
  <c r="J154" i="8" s="1"/>
  <c r="BD170" i="1"/>
  <c r="BD172" i="1"/>
  <c r="P169" i="8" s="1"/>
  <c r="BD168" i="1"/>
  <c r="BD178" i="1"/>
  <c r="BD174" i="1"/>
  <c r="Y95" i="1"/>
  <c r="I257" i="8" s="1"/>
  <c r="AB95" i="1"/>
  <c r="I185" i="8" s="1"/>
  <c r="Z79" i="1"/>
  <c r="Z73" i="1"/>
  <c r="I214" i="8" s="1"/>
  <c r="DE221" i="1"/>
  <c r="DE216" i="1"/>
  <c r="AA237" i="8" s="1"/>
  <c r="DE224" i="1"/>
  <c r="AA245" i="8" s="1"/>
  <c r="DH43" i="1"/>
  <c r="W182" i="8" s="1"/>
  <c r="DG43" i="1"/>
  <c r="W206" i="8" s="1"/>
  <c r="DE129" i="1"/>
  <c r="DE122" i="1"/>
  <c r="DE131" i="1"/>
  <c r="BB28" i="1"/>
  <c r="BB25" i="1"/>
  <c r="M215" i="8" s="1"/>
  <c r="EI77" i="1"/>
  <c r="EI82" i="1"/>
  <c r="EI66" i="1" s="1"/>
  <c r="EI76" i="1"/>
  <c r="EI80" i="1"/>
  <c r="AB42" i="1"/>
  <c r="H181" i="8" s="1"/>
  <c r="X42" i="1"/>
  <c r="X193" i="1"/>
  <c r="K163" i="8" s="1"/>
  <c r="AA193" i="1"/>
  <c r="CB219" i="1"/>
  <c r="CB220" i="1"/>
  <c r="V145" i="8" s="1"/>
  <c r="BA178" i="1"/>
  <c r="P247" i="8" s="1"/>
  <c r="BA177" i="1"/>
  <c r="BB121" i="1"/>
  <c r="BB126" i="1"/>
  <c r="X120" i="1"/>
  <c r="J141" i="8" s="1"/>
  <c r="X129" i="1"/>
  <c r="J150" i="8" s="1"/>
  <c r="CD124" i="1"/>
  <c r="T217" i="8" s="1"/>
  <c r="CD122" i="1"/>
  <c r="T215" i="8" s="1"/>
  <c r="BD78" i="1"/>
  <c r="N171" i="8" s="1"/>
  <c r="BD75" i="1"/>
  <c r="BD77" i="1"/>
  <c r="BD73" i="1"/>
  <c r="DH216" i="1"/>
  <c r="DH222" i="1"/>
  <c r="AA171" i="8" s="1"/>
  <c r="AA186" i="1"/>
  <c r="K204" i="8" s="1"/>
  <c r="Z186" i="1"/>
  <c r="K228" i="8" s="1"/>
  <c r="DE89" i="1"/>
  <c r="X251" i="8" s="1"/>
  <c r="DF239" i="1"/>
  <c r="AA233" i="8" s="1"/>
  <c r="CE48" i="1"/>
  <c r="BA141" i="1"/>
  <c r="O255" i="8" s="1"/>
  <c r="BD95" i="1"/>
  <c r="N185" i="8" s="1"/>
  <c r="BC139" i="1"/>
  <c r="O205" i="8" s="1"/>
  <c r="DH232" i="1"/>
  <c r="AA178" i="8" s="1"/>
  <c r="BB45" i="1"/>
  <c r="M232" i="8" s="1"/>
  <c r="BA171" i="1"/>
  <c r="P240" i="8" s="1"/>
  <c r="Z189" i="1"/>
  <c r="K231" i="8" s="1"/>
  <c r="BB95" i="1"/>
  <c r="N233" i="8" s="1"/>
  <c r="BA139" i="1"/>
  <c r="O253" i="8" s="1"/>
  <c r="DE232" i="1"/>
  <c r="AA250" i="8" s="1"/>
  <c r="BA179" i="1"/>
  <c r="BA163" i="1" s="1"/>
  <c r="EI81" i="1"/>
  <c r="CE81" i="1"/>
  <c r="CE83" i="1"/>
  <c r="CE72" i="1"/>
  <c r="AA93" i="1"/>
  <c r="I207" i="8" s="1"/>
  <c r="Y93" i="1"/>
  <c r="I255" i="8" s="1"/>
  <c r="Y76" i="1"/>
  <c r="I241" i="8" s="1"/>
  <c r="Y75" i="1"/>
  <c r="I240" i="8" s="1"/>
  <c r="Y83" i="1"/>
  <c r="Z219" i="1"/>
  <c r="Z217" i="1"/>
  <c r="CE191" i="1"/>
  <c r="U209" i="8" s="1"/>
  <c r="CF191" i="1"/>
  <c r="U185" i="8" s="1"/>
  <c r="BC216" i="1"/>
  <c r="BC225" i="1"/>
  <c r="Q198" i="8" s="1"/>
  <c r="BC217" i="1"/>
  <c r="Q190" i="8" s="1"/>
  <c r="DG92" i="1"/>
  <c r="X206" i="8" s="1"/>
  <c r="DE92" i="1"/>
  <c r="X254" i="8" s="1"/>
  <c r="Z140" i="1"/>
  <c r="J230" i="8" s="1"/>
  <c r="X140" i="1"/>
  <c r="J158" i="8" s="1"/>
  <c r="DG97" i="1"/>
  <c r="X211" i="8" s="1"/>
  <c r="DF97" i="1"/>
  <c r="X235" i="8" s="1"/>
  <c r="BD218" i="1"/>
  <c r="Q167" i="8" s="1"/>
  <c r="BD217" i="1"/>
  <c r="Q166" i="8" s="1"/>
  <c r="DD142" i="1"/>
  <c r="Y160" i="8" s="1"/>
  <c r="DG142" i="1"/>
  <c r="Y208" i="8" s="1"/>
  <c r="BA239" i="1"/>
  <c r="Q257" i="8" s="1"/>
  <c r="AZ239" i="1"/>
  <c r="Q161" i="8" s="1"/>
  <c r="CF34" i="1"/>
  <c r="R176" i="8" s="1"/>
  <c r="CF32" i="1"/>
  <c r="R174" i="8" s="1"/>
  <c r="BA46" i="1"/>
  <c r="M257" i="8" s="1"/>
  <c r="BC46" i="1"/>
  <c r="M209" i="8" s="1"/>
  <c r="CD234" i="1"/>
  <c r="V228" i="8" s="1"/>
  <c r="CC234" i="1"/>
  <c r="V252" i="8" s="1"/>
  <c r="EG224" i="1"/>
  <c r="AF245" i="8" s="1"/>
  <c r="EG227" i="1"/>
  <c r="AF248" i="8" s="1"/>
  <c r="EG225" i="1"/>
  <c r="AF246" i="8" s="1"/>
  <c r="BD233" i="1"/>
  <c r="BB233" i="1"/>
  <c r="Q227" i="8" s="1"/>
  <c r="DG234" i="1"/>
  <c r="AA204" i="8" s="1"/>
  <c r="DD234" i="1"/>
  <c r="EH174" i="1"/>
  <c r="AE219" i="8" s="1"/>
  <c r="EH179" i="1"/>
  <c r="AE224" i="8" s="1"/>
  <c r="EH173" i="1"/>
  <c r="DH169" i="1"/>
  <c r="DH176" i="1"/>
  <c r="Z173" i="8" s="1"/>
  <c r="EI171" i="1"/>
  <c r="EI173" i="1"/>
  <c r="BA216" i="1"/>
  <c r="BA218" i="1"/>
  <c r="Q239" i="8" s="1"/>
  <c r="BA224" i="1"/>
  <c r="Q245" i="8" s="1"/>
  <c r="BA220" i="1"/>
  <c r="Q241" i="8" s="1"/>
  <c r="BA222" i="1"/>
  <c r="Q243" i="8" s="1"/>
  <c r="X81" i="1"/>
  <c r="I150" i="8" s="1"/>
  <c r="X76" i="1"/>
  <c r="I145" i="8" s="1"/>
  <c r="Z127" i="1"/>
  <c r="Z124" i="1"/>
  <c r="EH77" i="1"/>
  <c r="X74" i="1"/>
  <c r="Y72" i="1"/>
  <c r="I237" i="8" s="1"/>
  <c r="DF135" i="1"/>
  <c r="Y225" i="8" s="1"/>
  <c r="Y168" i="1"/>
  <c r="K237" i="8" s="1"/>
  <c r="AB189" i="1"/>
  <c r="K183" i="8" s="1"/>
  <c r="DE128" i="1"/>
  <c r="BC97" i="1"/>
  <c r="DH38" i="1"/>
  <c r="W177" i="8" s="1"/>
  <c r="AA140" i="1"/>
  <c r="J206" i="8" s="1"/>
  <c r="BA219" i="1"/>
  <c r="Q240" i="8" s="1"/>
  <c r="X146" i="1"/>
  <c r="J164" i="8" s="1"/>
  <c r="AA237" i="1"/>
  <c r="L207" i="8" s="1"/>
  <c r="DD92" i="1"/>
  <c r="X158" i="8" s="1"/>
  <c r="BC239" i="1"/>
  <c r="Q209" i="8" s="1"/>
  <c r="X80" i="1"/>
  <c r="CB95" i="1"/>
  <c r="S161" i="8" s="1"/>
  <c r="DH98" i="1"/>
  <c r="X188" i="8" s="1"/>
  <c r="BB124" i="1"/>
  <c r="BD226" i="1"/>
  <c r="EG222" i="1"/>
  <c r="AF243" i="8" s="1"/>
  <c r="Z218" i="1"/>
  <c r="CB225" i="1"/>
  <c r="EH177" i="1"/>
  <c r="X128" i="1"/>
  <c r="J149" i="8" s="1"/>
  <c r="BD143" i="1"/>
  <c r="O185" i="8" s="1"/>
  <c r="DE227" i="1"/>
  <c r="AZ95" i="1"/>
  <c r="N161" i="8" s="1"/>
  <c r="CD39" i="1"/>
  <c r="R226" i="8" s="1"/>
  <c r="X145" i="1"/>
  <c r="J163" i="8" s="1"/>
  <c r="CC39" i="1"/>
  <c r="R250" i="8" s="1"/>
  <c r="Z146" i="1"/>
  <c r="J236" i="8" s="1"/>
  <c r="CF95" i="1"/>
  <c r="S185" i="8" s="1"/>
  <c r="DF38" i="1"/>
  <c r="W225" i="8" s="1"/>
  <c r="AZ222" i="1"/>
  <c r="DE121" i="1"/>
  <c r="Y238" i="8" s="1"/>
  <c r="BB26" i="1"/>
  <c r="BD223" i="1"/>
  <c r="X125" i="1"/>
  <c r="BD141" i="1"/>
  <c r="EJ218" i="1"/>
  <c r="Z82" i="1"/>
  <c r="CF29" i="1"/>
  <c r="R171" i="8" s="1"/>
  <c r="Z123" i="1"/>
  <c r="J216" i="8" s="1"/>
  <c r="DH217" i="1"/>
  <c r="BA169" i="1"/>
  <c r="Y179" i="1"/>
  <c r="BB123" i="1"/>
  <c r="O216" i="8" s="1"/>
  <c r="AB81" i="1"/>
  <c r="I174" i="8" s="1"/>
  <c r="CC24" i="1"/>
  <c r="CF89" i="1"/>
  <c r="S179" i="8" s="1"/>
  <c r="CE89" i="1"/>
  <c r="CB89" i="1"/>
  <c r="S155" i="8" s="1"/>
  <c r="CD89" i="1"/>
  <c r="CC89" i="1"/>
  <c r="S251" i="8" s="1"/>
  <c r="BB178" i="1"/>
  <c r="BB169" i="1"/>
  <c r="BB177" i="1"/>
  <c r="BB179" i="1"/>
  <c r="BB168" i="1"/>
  <c r="P213" i="8" s="1"/>
  <c r="BB170" i="1"/>
  <c r="BB175" i="1"/>
  <c r="BB172" i="1"/>
  <c r="BB174" i="1"/>
  <c r="BB176" i="1"/>
  <c r="BB171" i="1"/>
  <c r="BB173" i="1"/>
  <c r="DD192" i="1"/>
  <c r="Z162" i="8" s="1"/>
  <c r="DE192" i="1"/>
  <c r="Z258" i="8" s="1"/>
  <c r="DF192" i="1"/>
  <c r="Z234" i="8" s="1"/>
  <c r="DH192" i="1"/>
  <c r="Z186" i="8" s="1"/>
  <c r="DG192" i="1"/>
  <c r="Z210" i="8" s="1"/>
  <c r="CC77" i="1"/>
  <c r="CC82" i="1"/>
  <c r="CC80" i="1"/>
  <c r="S245" i="8" s="1"/>
  <c r="CC73" i="1"/>
  <c r="CC78" i="1"/>
  <c r="CC75" i="1"/>
  <c r="CC76" i="1"/>
  <c r="CC83" i="1"/>
  <c r="CC74" i="1"/>
  <c r="CC72" i="1"/>
  <c r="CC81" i="1"/>
  <c r="BB94" i="1"/>
  <c r="N232" i="8" s="1"/>
  <c r="BD94" i="1"/>
  <c r="BA94" i="1"/>
  <c r="N256" i="8" s="1"/>
  <c r="BC94" i="1"/>
  <c r="N208" i="8" s="1"/>
  <c r="AZ94" i="1"/>
  <c r="N160" i="8" s="1"/>
  <c r="Z135" i="1"/>
  <c r="J225" i="8" s="1"/>
  <c r="X135" i="1"/>
  <c r="J153" i="8" s="1"/>
  <c r="AA135" i="1"/>
  <c r="J201" i="8" s="1"/>
  <c r="AB135" i="1"/>
  <c r="J177" i="8" s="1"/>
  <c r="Y135" i="1"/>
  <c r="J249" i="8" s="1"/>
  <c r="CC183" i="1"/>
  <c r="U249" i="8" s="1"/>
  <c r="CB183" i="1"/>
  <c r="U153" i="8" s="1"/>
  <c r="CD183" i="1"/>
  <c r="U225" i="8" s="1"/>
  <c r="CE183" i="1"/>
  <c r="CF183" i="1"/>
  <c r="U177" i="8" s="1"/>
  <c r="CC218" i="1"/>
  <c r="CC222" i="1"/>
  <c r="CC227" i="1"/>
  <c r="CC225" i="1"/>
  <c r="CC224" i="1"/>
  <c r="CC219" i="1"/>
  <c r="CC217" i="1"/>
  <c r="CC223" i="1"/>
  <c r="CC221" i="1"/>
  <c r="CC226" i="1"/>
  <c r="CC220" i="1"/>
  <c r="AB235" i="1"/>
  <c r="L181" i="8" s="1"/>
  <c r="Z235" i="1"/>
  <c r="L253" i="8" s="1"/>
  <c r="Y235" i="1"/>
  <c r="AA235" i="1"/>
  <c r="L205" i="8" s="1"/>
  <c r="X235" i="1"/>
  <c r="L157" i="8" s="1"/>
  <c r="CD90" i="1"/>
  <c r="S228" i="8" s="1"/>
  <c r="CF90" i="1"/>
  <c r="S180" i="8" s="1"/>
  <c r="CE90" i="1"/>
  <c r="S204" i="8" s="1"/>
  <c r="CB90" i="1"/>
  <c r="S156" i="8" s="1"/>
  <c r="CC90" i="1"/>
  <c r="S252" i="8" s="1"/>
  <c r="DD39" i="1"/>
  <c r="W154" i="8" s="1"/>
  <c r="DE39" i="1"/>
  <c r="W250" i="8" s="1"/>
  <c r="DH39" i="1"/>
  <c r="W178" i="8" s="1"/>
  <c r="DG39" i="1"/>
  <c r="W202" i="8" s="1"/>
  <c r="DF39" i="1"/>
  <c r="W226" i="8" s="1"/>
  <c r="DD140" i="1"/>
  <c r="DH140" i="1"/>
  <c r="Y182" i="8" s="1"/>
  <c r="DF140" i="1"/>
  <c r="Y230" i="8" s="1"/>
  <c r="DE140" i="1"/>
  <c r="Y254" i="8" s="1"/>
  <c r="DG140" i="1"/>
  <c r="Y206" i="8" s="1"/>
  <c r="DE93" i="1"/>
  <c r="X255" i="8" s="1"/>
  <c r="DF93" i="1"/>
  <c r="X231" i="8" s="1"/>
  <c r="DD93" i="1"/>
  <c r="X159" i="8" s="1"/>
  <c r="DG93" i="1"/>
  <c r="X207" i="8" s="1"/>
  <c r="DD44" i="1"/>
  <c r="W159" i="8" s="1"/>
  <c r="DG44" i="1"/>
  <c r="W207" i="8" s="1"/>
  <c r="DE44" i="1"/>
  <c r="W255" i="8" s="1"/>
  <c r="DF44" i="1"/>
  <c r="W231" i="8" s="1"/>
  <c r="DH44" i="1"/>
  <c r="W183" i="8" s="1"/>
  <c r="AZ48" i="1"/>
  <c r="M163" i="8" s="1"/>
  <c r="BD48" i="1"/>
  <c r="BA48" i="1"/>
  <c r="M259" i="8" s="1"/>
  <c r="BB48" i="1"/>
  <c r="M235" i="8" s="1"/>
  <c r="BC48" i="1"/>
  <c r="M211" i="8" s="1"/>
  <c r="AZ145" i="1"/>
  <c r="O163" i="8" s="1"/>
  <c r="BD145" i="1"/>
  <c r="O187" i="8" s="1"/>
  <c r="BA145" i="1"/>
  <c r="O259" i="8" s="1"/>
  <c r="BC145" i="1"/>
  <c r="O211" i="8" s="1"/>
  <c r="AZ238" i="1"/>
  <c r="BD238" i="1"/>
  <c r="BC238" i="1"/>
  <c r="Q208" i="8" s="1"/>
  <c r="BA238" i="1"/>
  <c r="Q256" i="8" s="1"/>
  <c r="BB238" i="1"/>
  <c r="DG239" i="1"/>
  <c r="AA209" i="8" s="1"/>
  <c r="DE239" i="1"/>
  <c r="AA257" i="8" s="1"/>
  <c r="DD239" i="1"/>
  <c r="AA161" i="8" s="1"/>
  <c r="Z231" i="1"/>
  <c r="Y231" i="1"/>
  <c r="X231" i="1"/>
  <c r="L153" i="8" s="1"/>
  <c r="AB231" i="1"/>
  <c r="L177" i="8" s="1"/>
  <c r="AA231" i="1"/>
  <c r="DH238" i="1"/>
  <c r="AA184" i="8" s="1"/>
  <c r="DG238" i="1"/>
  <c r="AA208" i="8" s="1"/>
  <c r="DD238" i="1"/>
  <c r="AA160" i="8" s="1"/>
  <c r="DE238" i="1"/>
  <c r="DF238" i="1"/>
  <c r="DH45" i="1"/>
  <c r="W184" i="8" s="1"/>
  <c r="DF45" i="1"/>
  <c r="W232" i="8" s="1"/>
  <c r="DE45" i="1"/>
  <c r="DG45" i="1"/>
  <c r="W208" i="8" s="1"/>
  <c r="DD45" i="1"/>
  <c r="W160" i="8" s="1"/>
  <c r="CD171" i="1"/>
  <c r="CD174" i="1"/>
  <c r="CD172" i="1"/>
  <c r="CD170" i="1"/>
  <c r="CD177" i="1"/>
  <c r="CD179" i="1"/>
  <c r="CD169" i="1"/>
  <c r="CD168" i="1"/>
  <c r="U213" i="8" s="1"/>
  <c r="CD178" i="1"/>
  <c r="CD175" i="1"/>
  <c r="CD176" i="1"/>
  <c r="CD173" i="1"/>
  <c r="EJ25" i="1"/>
  <c r="EJ24" i="1"/>
  <c r="EJ23" i="1"/>
  <c r="EJ32" i="1"/>
  <c r="EJ33" i="1"/>
  <c r="AB175" i="8" s="1"/>
  <c r="EJ29" i="1"/>
  <c r="EJ31" i="1"/>
  <c r="EJ30" i="1"/>
  <c r="AB172" i="8" s="1"/>
  <c r="EJ34" i="1"/>
  <c r="AB176" i="8" s="1"/>
  <c r="EJ27" i="1"/>
  <c r="EJ26" i="1"/>
  <c r="EJ28" i="1"/>
  <c r="EF27" i="1"/>
  <c r="EF34" i="1"/>
  <c r="EF31" i="1"/>
  <c r="EF24" i="1"/>
  <c r="EF26" i="1"/>
  <c r="AB144" i="8" s="1"/>
  <c r="EF23" i="1"/>
  <c r="EF32" i="1"/>
  <c r="EF33" i="1"/>
  <c r="EF30" i="1"/>
  <c r="AB148" i="8" s="1"/>
  <c r="EF29" i="1"/>
  <c r="EF28" i="1"/>
  <c r="EF25" i="1"/>
  <c r="AB143" i="8" s="1"/>
  <c r="Z175" i="1"/>
  <c r="K220" i="8" s="1"/>
  <c r="Z168" i="1"/>
  <c r="Z176" i="1"/>
  <c r="K221" i="8" s="1"/>
  <c r="Z170" i="1"/>
  <c r="Z179" i="1"/>
  <c r="Z178" i="1"/>
  <c r="Z174" i="1"/>
  <c r="Z171" i="1"/>
  <c r="K216" i="8" s="1"/>
  <c r="Z172" i="1"/>
  <c r="Z177" i="1"/>
  <c r="Z169" i="1"/>
  <c r="Z173" i="1"/>
  <c r="DH183" i="1"/>
  <c r="Z177" i="8" s="1"/>
  <c r="DE183" i="1"/>
  <c r="DG183" i="1"/>
  <c r="Z201" i="8" s="1"/>
  <c r="DD183" i="1"/>
  <c r="Z153" i="8" s="1"/>
  <c r="DF183" i="1"/>
  <c r="Z225" i="8" s="1"/>
  <c r="AZ127" i="1"/>
  <c r="AZ121" i="1"/>
  <c r="AZ125" i="1"/>
  <c r="AZ126" i="1"/>
  <c r="AZ131" i="1"/>
  <c r="AZ130" i="1"/>
  <c r="O151" i="8" s="1"/>
  <c r="AZ129" i="1"/>
  <c r="AZ123" i="1"/>
  <c r="AZ124" i="1"/>
  <c r="AZ128" i="1"/>
  <c r="O149" i="8" s="1"/>
  <c r="AZ122" i="1"/>
  <c r="O143" i="8" s="1"/>
  <c r="AZ72" i="1"/>
  <c r="AZ79" i="1"/>
  <c r="AZ73" i="1"/>
  <c r="AZ78" i="1"/>
  <c r="AZ81" i="1"/>
  <c r="AZ75" i="1"/>
  <c r="AZ83" i="1"/>
  <c r="N152" i="8" s="1"/>
  <c r="AZ80" i="1"/>
  <c r="N149" i="8" s="1"/>
  <c r="AZ77" i="1"/>
  <c r="AZ74" i="1"/>
  <c r="AZ82" i="1"/>
  <c r="AZ76" i="1"/>
  <c r="AB234" i="1"/>
  <c r="L180" i="8" s="1"/>
  <c r="AA234" i="1"/>
  <c r="L204" i="8" s="1"/>
  <c r="X234" i="1"/>
  <c r="L156" i="8" s="1"/>
  <c r="Y234" i="1"/>
  <c r="Z234" i="1"/>
  <c r="CB193" i="1"/>
  <c r="U163" i="8" s="1"/>
  <c r="CE193" i="1"/>
  <c r="U211" i="8" s="1"/>
  <c r="CC193" i="1"/>
  <c r="U259" i="8" s="1"/>
  <c r="CF193" i="1"/>
  <c r="U187" i="8" s="1"/>
  <c r="CB93" i="1"/>
  <c r="S159" i="8" s="1"/>
  <c r="CD93" i="1"/>
  <c r="S231" i="8" s="1"/>
  <c r="CE93" i="1"/>
  <c r="S207" i="8" s="1"/>
  <c r="CC93" i="1"/>
  <c r="S255" i="8" s="1"/>
  <c r="CF93" i="1"/>
  <c r="CD193" i="1"/>
  <c r="U235" i="8" s="1"/>
  <c r="DH93" i="1"/>
  <c r="X183" i="8" s="1"/>
  <c r="DE184" i="1"/>
  <c r="Z250" i="8" s="1"/>
  <c r="DD184" i="1"/>
  <c r="Z154" i="8" s="1"/>
  <c r="DF184" i="1"/>
  <c r="DG184" i="1"/>
  <c r="Z202" i="8" s="1"/>
  <c r="DH184" i="1"/>
  <c r="Z178" i="8" s="1"/>
  <c r="CE143" i="1"/>
  <c r="T209" i="8" s="1"/>
  <c r="CD143" i="1"/>
  <c r="T233" i="8" s="1"/>
  <c r="CB143" i="1"/>
  <c r="T161" i="8" s="1"/>
  <c r="CF143" i="1"/>
  <c r="T185" i="8" s="1"/>
  <c r="CC143" i="1"/>
  <c r="T257" i="8" s="1"/>
  <c r="BD193" i="1"/>
  <c r="P187" i="8" s="1"/>
  <c r="AZ193" i="1"/>
  <c r="P163" i="8" s="1"/>
  <c r="BA193" i="1"/>
  <c r="BB193" i="1"/>
  <c r="P235" i="8" s="1"/>
  <c r="BC193" i="1"/>
  <c r="P211" i="8" s="1"/>
  <c r="DF120" i="1"/>
  <c r="DF130" i="1"/>
  <c r="DF129" i="1"/>
  <c r="DF124" i="1"/>
  <c r="Y217" i="8" s="1"/>
  <c r="DF131" i="1"/>
  <c r="Y224" i="8" s="1"/>
  <c r="DF125" i="1"/>
  <c r="DF121" i="1"/>
  <c r="DF123" i="1"/>
  <c r="DF122" i="1"/>
  <c r="DF127" i="1"/>
  <c r="DF126" i="1"/>
  <c r="Y219" i="8" s="1"/>
  <c r="DF128" i="1"/>
  <c r="Y221" i="8" s="1"/>
  <c r="CB88" i="1"/>
  <c r="S154" i="8" s="1"/>
  <c r="CD88" i="1"/>
  <c r="CE88" i="1"/>
  <c r="CF88" i="1"/>
  <c r="S178" i="8" s="1"/>
  <c r="CC88" i="1"/>
  <c r="S250" i="8" s="1"/>
  <c r="EI28" i="1"/>
  <c r="EI25" i="1"/>
  <c r="EI27" i="1"/>
  <c r="EI23" i="1"/>
  <c r="EI33" i="1"/>
  <c r="EI34" i="1"/>
  <c r="EI29" i="1"/>
  <c r="EI31" i="1"/>
  <c r="EI32" i="1"/>
  <c r="EI24" i="1"/>
  <c r="EI30" i="1"/>
  <c r="EI26" i="1"/>
  <c r="AB192" i="8" s="1"/>
  <c r="EG123" i="1"/>
  <c r="EG127" i="1"/>
  <c r="EG131" i="1"/>
  <c r="EG125" i="1"/>
  <c r="EG120" i="1"/>
  <c r="EG129" i="1"/>
  <c r="EG121" i="1"/>
  <c r="EG122" i="1"/>
  <c r="AD239" i="8" s="1"/>
  <c r="EG126" i="1"/>
  <c r="EG128" i="1"/>
  <c r="AD245" i="8" s="1"/>
  <c r="EG124" i="1"/>
  <c r="AD241" i="8" s="1"/>
  <c r="EG130" i="1"/>
  <c r="DD231" i="1"/>
  <c r="AA153" i="8" s="1"/>
  <c r="DH231" i="1"/>
  <c r="DG231" i="1"/>
  <c r="AA201" i="8" s="1"/>
  <c r="DE231" i="1"/>
  <c r="AA249" i="8" s="1"/>
  <c r="DF231" i="1"/>
  <c r="BC40" i="1"/>
  <c r="AZ40" i="1"/>
  <c r="M155" i="8" s="1"/>
  <c r="BA40" i="1"/>
  <c r="M251" i="8" s="1"/>
  <c r="BB40" i="1"/>
  <c r="AA236" i="1"/>
  <c r="L206" i="8" s="1"/>
  <c r="Y236" i="1"/>
  <c r="AB236" i="1"/>
  <c r="L182" i="8" s="1"/>
  <c r="X236" i="1"/>
  <c r="Z236" i="1"/>
  <c r="DE47" i="1"/>
  <c r="W258" i="8" s="1"/>
  <c r="DD47" i="1"/>
  <c r="W162" i="8" s="1"/>
  <c r="DG47" i="1"/>
  <c r="DF47" i="1"/>
  <c r="DH47" i="1"/>
  <c r="W186" i="8" s="1"/>
  <c r="DG173" i="1"/>
  <c r="DG177" i="1"/>
  <c r="DG178" i="1"/>
  <c r="DG168" i="1"/>
  <c r="DG170" i="1"/>
  <c r="DG172" i="1"/>
  <c r="DG171" i="1"/>
  <c r="DG174" i="1"/>
  <c r="Z195" i="8" s="1"/>
  <c r="DG179" i="1"/>
  <c r="DG175" i="1"/>
  <c r="DG176" i="1"/>
  <c r="DG169" i="1"/>
  <c r="AZ88" i="1"/>
  <c r="N154" i="8" s="1"/>
  <c r="BB88" i="1"/>
  <c r="BA88" i="1"/>
  <c r="BC88" i="1"/>
  <c r="N202" i="8" s="1"/>
  <c r="BD88" i="1"/>
  <c r="N178" i="8" s="1"/>
  <c r="X92" i="1"/>
  <c r="I158" i="8" s="1"/>
  <c r="Y92" i="1"/>
  <c r="I254" i="8" s="1"/>
  <c r="AB92" i="1"/>
  <c r="I182" i="8" s="1"/>
  <c r="AA92" i="1"/>
  <c r="I206" i="8" s="1"/>
  <c r="Z92" i="1"/>
  <c r="I230" i="8" s="1"/>
  <c r="CB138" i="1"/>
  <c r="T156" i="8" s="1"/>
  <c r="CE138" i="1"/>
  <c r="T204" i="8" s="1"/>
  <c r="CF138" i="1"/>
  <c r="T180" i="8" s="1"/>
  <c r="CD138" i="1"/>
  <c r="T228" i="8" s="1"/>
  <c r="CC138" i="1"/>
  <c r="CB47" i="1"/>
  <c r="R162" i="8" s="1"/>
  <c r="CE47" i="1"/>
  <c r="R210" i="8" s="1"/>
  <c r="CC47" i="1"/>
  <c r="R258" i="8" s="1"/>
  <c r="CF47" i="1"/>
  <c r="CD47" i="1"/>
  <c r="R234" i="8" s="1"/>
  <c r="CC97" i="1"/>
  <c r="S259" i="8" s="1"/>
  <c r="CE97" i="1"/>
  <c r="S211" i="8" s="1"/>
  <c r="CB97" i="1"/>
  <c r="CD97" i="1"/>
  <c r="S235" i="8" s="1"/>
  <c r="AZ138" i="1"/>
  <c r="O156" i="8" s="1"/>
  <c r="BD138" i="1"/>
  <c r="O180" i="8" s="1"/>
  <c r="BB138" i="1"/>
  <c r="BA138" i="1"/>
  <c r="O252" i="8" s="1"/>
  <c r="BC138" i="1"/>
  <c r="O204" i="8" s="1"/>
  <c r="CD136" i="1"/>
  <c r="CB136" i="1"/>
  <c r="T154" i="8" s="1"/>
  <c r="CC136" i="1"/>
  <c r="T250" i="8" s="1"/>
  <c r="CF136" i="1"/>
  <c r="T178" i="8" s="1"/>
  <c r="CE136" i="1"/>
  <c r="BB184" i="1"/>
  <c r="P226" i="8" s="1"/>
  <c r="BC184" i="1"/>
  <c r="P202" i="8" s="1"/>
  <c r="BD184" i="1"/>
  <c r="P178" i="8" s="1"/>
  <c r="BA184" i="1"/>
  <c r="AZ184" i="1"/>
  <c r="P154" i="8" s="1"/>
  <c r="DE168" i="1"/>
  <c r="Z237" i="8" s="1"/>
  <c r="DE174" i="1"/>
  <c r="Z243" i="8" s="1"/>
  <c r="DE172" i="1"/>
  <c r="DE177" i="1"/>
  <c r="DE178" i="1"/>
  <c r="DE179" i="1"/>
  <c r="DE173" i="1"/>
  <c r="DE171" i="1"/>
  <c r="Z240" i="8" s="1"/>
  <c r="DE169" i="1"/>
  <c r="Z238" i="8" s="1"/>
  <c r="DE175" i="1"/>
  <c r="DE170" i="1"/>
  <c r="DE176" i="1"/>
  <c r="X143" i="1"/>
  <c r="J161" i="8" s="1"/>
  <c r="Y143" i="1"/>
  <c r="J257" i="8" s="1"/>
  <c r="Z143" i="1"/>
  <c r="J233" i="8" s="1"/>
  <c r="AB143" i="1"/>
  <c r="J185" i="8" s="1"/>
  <c r="CD41" i="1"/>
  <c r="R228" i="8" s="1"/>
  <c r="CB41" i="1"/>
  <c r="R156" i="8" s="1"/>
  <c r="CC41" i="1"/>
  <c r="R252" i="8" s="1"/>
  <c r="CE41" i="1"/>
  <c r="CF41" i="1"/>
  <c r="R180" i="8" s="1"/>
  <c r="DD233" i="1"/>
  <c r="AA155" i="8" s="1"/>
  <c r="DE233" i="1"/>
  <c r="AA251" i="8" s="1"/>
  <c r="DH233" i="1"/>
  <c r="DF233" i="1"/>
  <c r="AA227" i="8" s="1"/>
  <c r="DG233" i="1"/>
  <c r="AA203" i="8" s="1"/>
  <c r="CD92" i="1"/>
  <c r="CE92" i="1"/>
  <c r="S206" i="8" s="1"/>
  <c r="CC92" i="1"/>
  <c r="S254" i="8" s="1"/>
  <c r="CF92" i="1"/>
  <c r="S182" i="8" s="1"/>
  <c r="BD32" i="1"/>
  <c r="BD34" i="1"/>
  <c r="BD29" i="1"/>
  <c r="BD30" i="1"/>
  <c r="BD31" i="1"/>
  <c r="BD26" i="1"/>
  <c r="BD10" i="1" s="1"/>
  <c r="BD25" i="1"/>
  <c r="M167" i="8" s="1"/>
  <c r="BD33" i="1"/>
  <c r="BD23" i="1"/>
  <c r="BD24" i="1"/>
  <c r="BD27" i="1"/>
  <c r="M169" i="8" s="1"/>
  <c r="DG189" i="1"/>
  <c r="Z207" i="8" s="1"/>
  <c r="DH189" i="1"/>
  <c r="DD189" i="1"/>
  <c r="Z159" i="8" s="1"/>
  <c r="DF189" i="1"/>
  <c r="Z231" i="8" s="1"/>
  <c r="DE189" i="1"/>
  <c r="Z255" i="8" s="1"/>
  <c r="X191" i="1"/>
  <c r="Z191" i="1"/>
  <c r="K233" i="8" s="1"/>
  <c r="AA191" i="1"/>
  <c r="K209" i="8" s="1"/>
  <c r="AB191" i="1"/>
  <c r="K185" i="8" s="1"/>
  <c r="Y191" i="1"/>
  <c r="AA138" i="1"/>
  <c r="J204" i="8" s="1"/>
  <c r="AB138" i="1"/>
  <c r="J180" i="8" s="1"/>
  <c r="Z138" i="1"/>
  <c r="J228" i="8" s="1"/>
  <c r="Y138" i="1"/>
  <c r="J252" i="8" s="1"/>
  <c r="X138" i="1"/>
  <c r="J156" i="8" s="1"/>
  <c r="EJ173" i="1"/>
  <c r="EJ176" i="1"/>
  <c r="EJ177" i="1"/>
  <c r="EJ169" i="1"/>
  <c r="AE166" i="8" s="1"/>
  <c r="EJ170" i="1"/>
  <c r="EJ171" i="1"/>
  <c r="EJ178" i="1"/>
  <c r="EJ174" i="1"/>
  <c r="AE171" i="8" s="1"/>
  <c r="EJ172" i="1"/>
  <c r="EJ168" i="1"/>
  <c r="EJ179" i="1"/>
  <c r="EJ175" i="1"/>
  <c r="CB240" i="1"/>
  <c r="V162" i="8" s="1"/>
  <c r="CF240" i="1"/>
  <c r="V186" i="8" s="1"/>
  <c r="CD240" i="1"/>
  <c r="CE240" i="1"/>
  <c r="V210" i="8" s="1"/>
  <c r="CC240" i="1"/>
  <c r="V258" i="8" s="1"/>
  <c r="CC33" i="1"/>
  <c r="CC27" i="1"/>
  <c r="CC30" i="1"/>
  <c r="CC31" i="1"/>
  <c r="CC29" i="1"/>
  <c r="CC34" i="1"/>
  <c r="R248" i="8" s="1"/>
  <c r="CC23" i="1"/>
  <c r="CC28" i="1"/>
  <c r="R242" i="8" s="1"/>
  <c r="CC25" i="1"/>
  <c r="R239" i="8" s="1"/>
  <c r="CC26" i="1"/>
  <c r="R240" i="8" s="1"/>
  <c r="BC231" i="1"/>
  <c r="Q201" i="8" s="1"/>
  <c r="AZ231" i="1"/>
  <c r="Q153" i="8" s="1"/>
  <c r="BA231" i="1"/>
  <c r="Q249" i="8" s="1"/>
  <c r="BD231" i="1"/>
  <c r="Q177" i="8" s="1"/>
  <c r="EF128" i="1"/>
  <c r="EF125" i="1"/>
  <c r="EF122" i="1"/>
  <c r="AD143" i="8" s="1"/>
  <c r="EF123" i="1"/>
  <c r="AD144" i="8" s="1"/>
  <c r="EF129" i="1"/>
  <c r="EF127" i="1"/>
  <c r="AD148" i="8" s="1"/>
  <c r="EF121" i="1"/>
  <c r="EF126" i="1"/>
  <c r="EF120" i="1"/>
  <c r="EF131" i="1"/>
  <c r="EF115" i="1" s="1"/>
  <c r="EF130" i="1"/>
  <c r="AD151" i="8" s="1"/>
  <c r="CE139" i="1"/>
  <c r="CB139" i="1"/>
  <c r="T157" i="8" s="1"/>
  <c r="CD139" i="1"/>
  <c r="T229" i="8" s="1"/>
  <c r="CC139" i="1"/>
  <c r="T253" i="8" s="1"/>
  <c r="CF139" i="1"/>
  <c r="T181" i="8" s="1"/>
  <c r="DG144" i="1"/>
  <c r="Y210" i="8" s="1"/>
  <c r="DF144" i="1"/>
  <c r="Y234" i="8" s="1"/>
  <c r="DH144" i="1"/>
  <c r="Y186" i="8" s="1"/>
  <c r="DE144" i="1"/>
  <c r="Y258" i="8" s="1"/>
  <c r="EF74" i="1"/>
  <c r="EF82" i="1"/>
  <c r="EF80" i="1"/>
  <c r="EF83" i="1"/>
  <c r="EF75" i="1"/>
  <c r="AC144" i="8" s="1"/>
  <c r="EF76" i="1"/>
  <c r="EF73" i="1"/>
  <c r="AC142" i="8" s="1"/>
  <c r="EF77" i="1"/>
  <c r="EF78" i="1"/>
  <c r="EF72" i="1"/>
  <c r="EF81" i="1"/>
  <c r="AA125" i="1"/>
  <c r="AA121" i="1"/>
  <c r="AA122" i="1"/>
  <c r="AA129" i="1"/>
  <c r="AA126" i="1"/>
  <c r="AA131" i="1"/>
  <c r="AA120" i="1"/>
  <c r="J189" i="8" s="1"/>
  <c r="AA127" i="1"/>
  <c r="AA130" i="1"/>
  <c r="J199" i="8" s="1"/>
  <c r="AA128" i="1"/>
  <c r="AA124" i="1"/>
  <c r="AA123" i="1"/>
  <c r="J192" i="8" s="1"/>
  <c r="DF176" i="1"/>
  <c r="Z221" i="8" s="1"/>
  <c r="DF172" i="1"/>
  <c r="DF179" i="1"/>
  <c r="DF175" i="1"/>
  <c r="Z220" i="8" s="1"/>
  <c r="DF170" i="1"/>
  <c r="DF173" i="1"/>
  <c r="DF171" i="1"/>
  <c r="Z216" i="8" s="1"/>
  <c r="DF169" i="1"/>
  <c r="Z214" i="8" s="1"/>
  <c r="DF177" i="1"/>
  <c r="DF178" i="1"/>
  <c r="DF168" i="1"/>
  <c r="DF174" i="1"/>
  <c r="Z219" i="8" s="1"/>
  <c r="DD241" i="1"/>
  <c r="AA163" i="8" s="1"/>
  <c r="DH241" i="1"/>
  <c r="AA187" i="8" s="1"/>
  <c r="DF241" i="1"/>
  <c r="AA235" i="8" s="1"/>
  <c r="DG241" i="1"/>
  <c r="AA211" i="8" s="1"/>
  <c r="DE241" i="1"/>
  <c r="EG80" i="1"/>
  <c r="EG74" i="1"/>
  <c r="AC239" i="8" s="1"/>
  <c r="EG83" i="1"/>
  <c r="AC248" i="8" s="1"/>
  <c r="EG81" i="1"/>
  <c r="EG72" i="1"/>
  <c r="EG77" i="1"/>
  <c r="EG75" i="1"/>
  <c r="EG78" i="1"/>
  <c r="EG73" i="1"/>
  <c r="EG79" i="1"/>
  <c r="AC244" i="8" s="1"/>
  <c r="EG76" i="1"/>
  <c r="BA83" i="1"/>
  <c r="BA73" i="1"/>
  <c r="N238" i="8" s="1"/>
  <c r="BA79" i="1"/>
  <c r="N244" i="8" s="1"/>
  <c r="BA74" i="1"/>
  <c r="BA75" i="1"/>
  <c r="N240" i="8" s="1"/>
  <c r="BA81" i="1"/>
  <c r="BA77" i="1"/>
  <c r="N242" i="8" s="1"/>
  <c r="BA78" i="1"/>
  <c r="N243" i="8" s="1"/>
  <c r="BA72" i="1"/>
  <c r="BA76" i="1"/>
  <c r="N241" i="8" s="1"/>
  <c r="BA82" i="1"/>
  <c r="CF168" i="1"/>
  <c r="CF175" i="1"/>
  <c r="CF176" i="1"/>
  <c r="CF171" i="1"/>
  <c r="CF178" i="1"/>
  <c r="CF169" i="1"/>
  <c r="CF173" i="1"/>
  <c r="CF174" i="1"/>
  <c r="CF172" i="1"/>
  <c r="U169" i="8" s="1"/>
  <c r="CF179" i="1"/>
  <c r="CF170" i="1"/>
  <c r="CF177" i="1"/>
  <c r="AA168" i="1"/>
  <c r="K189" i="8" s="1"/>
  <c r="AA178" i="1"/>
  <c r="AA172" i="1"/>
  <c r="K193" i="8" s="1"/>
  <c r="AA177" i="1"/>
  <c r="AA173" i="1"/>
  <c r="K194" i="8" s="1"/>
  <c r="AA175" i="1"/>
  <c r="AA176" i="1"/>
  <c r="K197" i="8" s="1"/>
  <c r="AA171" i="1"/>
  <c r="AA174" i="1"/>
  <c r="AA169" i="1"/>
  <c r="K190" i="8" s="1"/>
  <c r="AA170" i="1"/>
  <c r="K191" i="8" s="1"/>
  <c r="AA179" i="1"/>
  <c r="K200" i="8" s="1"/>
  <c r="CE220" i="1"/>
  <c r="CE219" i="1"/>
  <c r="CE217" i="1"/>
  <c r="CE218" i="1"/>
  <c r="V191" i="8" s="1"/>
  <c r="CE227" i="1"/>
  <c r="V200" i="8" s="1"/>
  <c r="CE224" i="1"/>
  <c r="CE216" i="1"/>
  <c r="CE226" i="1"/>
  <c r="V199" i="8" s="1"/>
  <c r="CE221" i="1"/>
  <c r="V194" i="8" s="1"/>
  <c r="CE222" i="1"/>
  <c r="CE225" i="1"/>
  <c r="CE223" i="1"/>
  <c r="V196" i="8" s="1"/>
  <c r="AZ241" i="1"/>
  <c r="Q163" i="8" s="1"/>
  <c r="BA241" i="1"/>
  <c r="Q259" i="8" s="1"/>
  <c r="BC241" i="1"/>
  <c r="Q211" i="8" s="1"/>
  <c r="BB241" i="1"/>
  <c r="Q235" i="8" s="1"/>
  <c r="BD241" i="1"/>
  <c r="Q187" i="8" s="1"/>
  <c r="CB233" i="1"/>
  <c r="V155" i="8" s="1"/>
  <c r="CC233" i="1"/>
  <c r="V251" i="8" s="1"/>
  <c r="CF233" i="1"/>
  <c r="V179" i="8" s="1"/>
  <c r="CE233" i="1"/>
  <c r="V203" i="8" s="1"/>
  <c r="CD233" i="1"/>
  <c r="V227" i="8" s="1"/>
  <c r="X94" i="1"/>
  <c r="I160" i="8" s="1"/>
  <c r="AA94" i="1"/>
  <c r="I208" i="8" s="1"/>
  <c r="AB94" i="1"/>
  <c r="I184" i="8" s="1"/>
  <c r="Y94" i="1"/>
  <c r="I256" i="8" s="1"/>
  <c r="X219" i="1"/>
  <c r="X227" i="1"/>
  <c r="X225" i="1"/>
  <c r="X217" i="1"/>
  <c r="X221" i="1"/>
  <c r="X218" i="1"/>
  <c r="X226" i="1"/>
  <c r="X223" i="1"/>
  <c r="X224" i="1"/>
  <c r="X220" i="1"/>
  <c r="X222" i="1"/>
  <c r="X216" i="1"/>
  <c r="L141" i="8" s="1"/>
  <c r="BC135" i="1"/>
  <c r="O201" i="8" s="1"/>
  <c r="BD135" i="1"/>
  <c r="O177" i="8" s="1"/>
  <c r="BA135" i="1"/>
  <c r="O249" i="8" s="1"/>
  <c r="BB135" i="1"/>
  <c r="AZ92" i="1"/>
  <c r="N158" i="8" s="1"/>
  <c r="BC92" i="1"/>
  <c r="N206" i="8" s="1"/>
  <c r="BB92" i="1"/>
  <c r="N230" i="8" s="1"/>
  <c r="BA92" i="1"/>
  <c r="N254" i="8" s="1"/>
  <c r="DD49" i="1"/>
  <c r="W164" i="8" s="1"/>
  <c r="DG49" i="1"/>
  <c r="W212" i="8" s="1"/>
  <c r="DH49" i="1"/>
  <c r="W188" i="8" s="1"/>
  <c r="DE49" i="1"/>
  <c r="DF49" i="1"/>
  <c r="W236" i="8" s="1"/>
  <c r="X89" i="1"/>
  <c r="I155" i="8" s="1"/>
  <c r="Y89" i="1"/>
  <c r="I251" i="8" s="1"/>
  <c r="Z89" i="1"/>
  <c r="I227" i="8" s="1"/>
  <c r="AB89" i="1"/>
  <c r="I179" i="8" s="1"/>
  <c r="AA89" i="1"/>
  <c r="I203" i="8" s="1"/>
  <c r="DD32" i="1"/>
  <c r="DD27" i="1"/>
  <c r="DD24" i="1"/>
  <c r="DD23" i="1"/>
  <c r="W141" i="8" s="1"/>
  <c r="DD25" i="1"/>
  <c r="DD31" i="1"/>
  <c r="DD33" i="1"/>
  <c r="DD34" i="1"/>
  <c r="DD29" i="1"/>
  <c r="DD28" i="1"/>
  <c r="DD26" i="1"/>
  <c r="DD30" i="1"/>
  <c r="AB238" i="1"/>
  <c r="L184" i="8" s="1"/>
  <c r="Z238" i="1"/>
  <c r="AA238" i="1"/>
  <c r="L208" i="8" s="1"/>
  <c r="Y238" i="1"/>
  <c r="X238" i="1"/>
  <c r="L160" i="8" s="1"/>
  <c r="DH79" i="1"/>
  <c r="DH75" i="1"/>
  <c r="DH81" i="1"/>
  <c r="DH73" i="1"/>
  <c r="DH72" i="1"/>
  <c r="DH83" i="1"/>
  <c r="DH80" i="1"/>
  <c r="DH78" i="1"/>
  <c r="DH76" i="1"/>
  <c r="DH77" i="1"/>
  <c r="DH74" i="1"/>
  <c r="DH82" i="1"/>
  <c r="DF80" i="1"/>
  <c r="DF82" i="1"/>
  <c r="DF77" i="1"/>
  <c r="DF81" i="1"/>
  <c r="DF73" i="1"/>
  <c r="DF72" i="1"/>
  <c r="DF78" i="1"/>
  <c r="DF75" i="1"/>
  <c r="DF83" i="1"/>
  <c r="DF79" i="1"/>
  <c r="DF74" i="1"/>
  <c r="DF76" i="1"/>
  <c r="DH122" i="1"/>
  <c r="DH131" i="1"/>
  <c r="DH129" i="1"/>
  <c r="DH128" i="1"/>
  <c r="DH120" i="1"/>
  <c r="DH126" i="1"/>
  <c r="DH124" i="1"/>
  <c r="DH130" i="1"/>
  <c r="DH123" i="1"/>
  <c r="DH121" i="1"/>
  <c r="DH125" i="1"/>
  <c r="CC216" i="1"/>
  <c r="AZ135" i="1"/>
  <c r="O153" i="8" s="1"/>
  <c r="AZ120" i="1"/>
  <c r="BD28" i="1"/>
  <c r="DG73" i="1"/>
  <c r="CC178" i="1"/>
  <c r="BB223" i="1"/>
  <c r="Q220" i="8" s="1"/>
  <c r="AA27" i="1"/>
  <c r="AA136" i="1"/>
  <c r="J202" i="8" s="1"/>
  <c r="DG220" i="1"/>
  <c r="AA193" i="8" s="1"/>
  <c r="CD223" i="1"/>
  <c r="DE217" i="1"/>
  <c r="AA238" i="8" s="1"/>
  <c r="DE223" i="1"/>
  <c r="AA244" i="8" s="1"/>
  <c r="AA28" i="1"/>
  <c r="CF125" i="1"/>
  <c r="BD176" i="1"/>
  <c r="AB74" i="1"/>
  <c r="AZ136" i="1"/>
  <c r="CE186" i="1"/>
  <c r="U204" i="8" s="1"/>
  <c r="CB28" i="1"/>
  <c r="CB32" i="1"/>
  <c r="X161" i="8"/>
  <c r="DF95" i="1"/>
  <c r="X233" i="8" s="1"/>
  <c r="DE32" i="1"/>
  <c r="DE27" i="1"/>
  <c r="DE31" i="1"/>
  <c r="DE25" i="1"/>
  <c r="CB170" i="1"/>
  <c r="CB169" i="1"/>
  <c r="CB173" i="1"/>
  <c r="CB172" i="1"/>
  <c r="BC130" i="1"/>
  <c r="BC131" i="1"/>
  <c r="BC129" i="1"/>
  <c r="CD72" i="1"/>
  <c r="CD75" i="1"/>
  <c r="CD81" i="1"/>
  <c r="DH137" i="1"/>
  <c r="Y179" i="8" s="1"/>
  <c r="CB146" i="1"/>
  <c r="T164" i="8" s="1"/>
  <c r="CE231" i="1"/>
  <c r="V201" i="8" s="1"/>
  <c r="DF94" i="1"/>
  <c r="X232" i="8" s="1"/>
  <c r="CB237" i="1"/>
  <c r="V159" i="8" s="1"/>
  <c r="W157" i="8"/>
  <c r="DD222" i="1"/>
  <c r="DD217" i="1"/>
  <c r="DD225" i="1"/>
  <c r="DD224" i="1"/>
  <c r="AZ186" i="1"/>
  <c r="P156" i="8" s="1"/>
  <c r="DF226" i="1"/>
  <c r="DF220" i="1"/>
  <c r="CB194" i="1"/>
  <c r="U164" i="8" s="1"/>
  <c r="AZ232" i="1"/>
  <c r="Q154" i="8" s="1"/>
  <c r="BC43" i="1"/>
  <c r="M206" i="8" s="1"/>
  <c r="CE140" i="1"/>
  <c r="T206" i="8" s="1"/>
  <c r="X87" i="1"/>
  <c r="I153" i="8" s="1"/>
  <c r="EI126" i="1"/>
  <c r="EI131" i="1"/>
  <c r="EI127" i="1"/>
  <c r="BD237" i="1"/>
  <c r="Q183" i="8" s="1"/>
  <c r="Y185" i="1"/>
  <c r="K251" i="8" s="1"/>
  <c r="CB238" i="1"/>
  <c r="V160" i="8" s="1"/>
  <c r="X192" i="1"/>
  <c r="DH141" i="1"/>
  <c r="Y183" i="8" s="1"/>
  <c r="AB31" i="1"/>
  <c r="AB27" i="1"/>
  <c r="CE175" i="1"/>
  <c r="CE177" i="1"/>
  <c r="CE178" i="1"/>
  <c r="P260" i="8"/>
  <c r="BC26" i="1"/>
  <c r="BC27" i="1"/>
  <c r="BC30" i="1"/>
  <c r="BC25" i="1"/>
  <c r="BD124" i="1"/>
  <c r="BD123" i="1"/>
  <c r="CE128" i="1"/>
  <c r="CE121" i="1"/>
  <c r="CE131" i="1"/>
  <c r="P227" i="8"/>
  <c r="CC122" i="1"/>
  <c r="CC126" i="1"/>
  <c r="DH34" i="1"/>
  <c r="DH33" i="1"/>
  <c r="BC179" i="1"/>
  <c r="BC176" i="1"/>
  <c r="BC175" i="1"/>
  <c r="BC174" i="1"/>
  <c r="O188" i="8"/>
  <c r="AZ146" i="1"/>
  <c r="O164" i="8" s="1"/>
  <c r="K254" i="8"/>
  <c r="AB188" i="1"/>
  <c r="K182" i="8" s="1"/>
  <c r="AZ242" i="1"/>
  <c r="Q164" i="8" s="1"/>
  <c r="DD190" i="1"/>
  <c r="AZ189" i="1"/>
  <c r="CD87" i="1"/>
  <c r="S225" i="8" s="1"/>
  <c r="CB44" i="1"/>
  <c r="R159" i="8" s="1"/>
  <c r="Z137" i="1"/>
  <c r="J227" i="8" s="1"/>
  <c r="EG24" i="1"/>
  <c r="CE144" i="1"/>
  <c r="T210" i="8" s="1"/>
  <c r="AA232" i="1"/>
  <c r="L202" i="8" s="1"/>
  <c r="CD191" i="1"/>
  <c r="U233" i="8" s="1"/>
  <c r="CD91" i="1"/>
  <c r="BC223" i="1"/>
  <c r="EI121" i="1"/>
  <c r="CB192" i="1"/>
  <c r="U162" i="8" s="1"/>
  <c r="AZ139" i="1"/>
  <c r="BB27" i="1"/>
  <c r="DE76" i="1"/>
  <c r="CB42" i="1"/>
  <c r="R157" i="8" s="1"/>
  <c r="DF232" i="1"/>
  <c r="CF73" i="1"/>
  <c r="CC191" i="1"/>
  <c r="U257" i="8" s="1"/>
  <c r="Z192" i="1"/>
  <c r="K234" i="8" s="1"/>
  <c r="EG32" i="1"/>
  <c r="DH136" i="1"/>
  <c r="Y178" i="8" s="1"/>
  <c r="AA72" i="1"/>
  <c r="I189" i="8" s="1"/>
  <c r="CB120" i="1"/>
  <c r="T141" i="8" s="1"/>
  <c r="DD46" i="1"/>
  <c r="EH168" i="1"/>
  <c r="DD38" i="1"/>
  <c r="W153" i="8" s="1"/>
  <c r="Y140" i="1"/>
  <c r="J254" i="8" s="1"/>
  <c r="X242" i="1"/>
  <c r="CB140" i="1"/>
  <c r="T158" i="8" s="1"/>
  <c r="CB186" i="1"/>
  <c r="U156" i="8" s="1"/>
  <c r="AA145" i="1"/>
  <c r="J211" i="8" s="1"/>
  <c r="DH94" i="1"/>
  <c r="Y32" i="1"/>
  <c r="DD136" i="1"/>
  <c r="Y154" i="8" s="1"/>
  <c r="BB72" i="1"/>
  <c r="CE120" i="1"/>
  <c r="CC125" i="1"/>
  <c r="BC171" i="1"/>
  <c r="EJ82" i="1"/>
  <c r="Z142" i="1"/>
  <c r="J232" i="8" s="1"/>
  <c r="EH176" i="1"/>
  <c r="Y237" i="1"/>
  <c r="BC142" i="1"/>
  <c r="O208" i="8" s="1"/>
  <c r="CB96" i="1"/>
  <c r="EG25" i="1"/>
  <c r="AB239" i="8" s="1"/>
  <c r="BA38" i="1"/>
  <c r="M249" i="8" s="1"/>
  <c r="Y87" i="1"/>
  <c r="I249" i="8" s="1"/>
  <c r="DD135" i="1"/>
  <c r="DG193" i="1"/>
  <c r="Z211" i="8" s="1"/>
  <c r="DF138" i="1"/>
  <c r="Y228" i="8" s="1"/>
  <c r="CD43" i="1"/>
  <c r="R230" i="8" s="1"/>
  <c r="AZ39" i="1"/>
  <c r="AB241" i="1"/>
  <c r="L187" i="8" s="1"/>
  <c r="EJ120" i="1"/>
  <c r="AD165" i="8" s="1"/>
  <c r="DD72" i="1"/>
  <c r="Z193" i="1"/>
  <c r="BA188" i="1"/>
  <c r="P254" i="8" s="1"/>
  <c r="BC194" i="1"/>
  <c r="P212" i="8" s="1"/>
  <c r="EF218" i="1"/>
  <c r="AF143" i="8" s="1"/>
  <c r="CE127" i="1"/>
  <c r="AZ187" i="1"/>
  <c r="BC93" i="1"/>
  <c r="N207" i="8" s="1"/>
  <c r="CC194" i="1"/>
  <c r="U260" i="8" s="1"/>
  <c r="AZ29" i="1"/>
  <c r="CC40" i="1"/>
  <c r="DE41" i="1"/>
  <c r="W252" i="8" s="1"/>
  <c r="CB137" i="1"/>
  <c r="T155" i="8" s="1"/>
  <c r="Y88" i="1"/>
  <c r="AA192" i="1"/>
  <c r="K210" i="8" s="1"/>
  <c r="BD222" i="1"/>
  <c r="EG28" i="1"/>
  <c r="BD219" i="1"/>
  <c r="BC146" i="1"/>
  <c r="Y183" i="1"/>
  <c r="K249" i="8" s="1"/>
  <c r="DE188" i="1"/>
  <c r="Z254" i="8" s="1"/>
  <c r="CB33" i="1"/>
  <c r="BD232" i="1"/>
  <c r="Q178" i="8" s="1"/>
  <c r="BC235" i="1"/>
  <c r="Q205" i="8" s="1"/>
  <c r="DD236" i="1"/>
  <c r="AA158" i="8" s="1"/>
  <c r="CB72" i="1"/>
  <c r="DH97" i="1"/>
  <c r="X187" i="8" s="1"/>
  <c r="BD83" i="1"/>
  <c r="BC188" i="1"/>
  <c r="P206" i="8" s="1"/>
  <c r="BC168" i="1"/>
  <c r="BC189" i="1"/>
  <c r="P207" i="8" s="1"/>
  <c r="Z74" i="1"/>
  <c r="DD43" i="1"/>
  <c r="W158" i="8" s="1"/>
  <c r="AZ49" i="1"/>
  <c r="BA43" i="1"/>
  <c r="CE184" i="1"/>
  <c r="U202" i="8" s="1"/>
  <c r="AB146" i="1"/>
  <c r="J188" i="8" s="1"/>
  <c r="CE33" i="1"/>
  <c r="BD235" i="1"/>
  <c r="Q181" i="8" s="1"/>
  <c r="CD29" i="1"/>
  <c r="AA91" i="1"/>
  <c r="I205" i="8" s="1"/>
  <c r="BB96" i="1"/>
  <c r="CC235" i="1"/>
  <c r="BB190" i="1"/>
  <c r="P232" i="8" s="1"/>
  <c r="CE38" i="1"/>
  <c r="R201" i="8" s="1"/>
  <c r="BD38" i="1"/>
  <c r="CC145" i="1"/>
  <c r="T259" i="8" s="1"/>
  <c r="X95" i="1"/>
  <c r="I161" i="8" s="1"/>
  <c r="CD142" i="1"/>
  <c r="T232" i="8" s="1"/>
  <c r="CE43" i="1"/>
  <c r="BB42" i="1"/>
  <c r="M229" i="8" s="1"/>
  <c r="AA240" i="1"/>
  <c r="L210" i="8" s="1"/>
  <c r="DG91" i="1"/>
  <c r="X205" i="8" s="1"/>
  <c r="BA120" i="1"/>
  <c r="AZ191" i="1"/>
  <c r="P161" i="8" s="1"/>
  <c r="DE139" i="1"/>
  <c r="Y253" i="8" s="1"/>
  <c r="CC232" i="1"/>
  <c r="V250" i="8" s="1"/>
  <c r="Y90" i="1"/>
  <c r="I252" i="8" s="1"/>
  <c r="BA91" i="1"/>
  <c r="N253" i="8" s="1"/>
  <c r="DE90" i="1"/>
  <c r="X252" i="8" s="1"/>
  <c r="CC144" i="1"/>
  <c r="T258" i="8" s="1"/>
  <c r="CE26" i="1"/>
  <c r="BA221" i="1"/>
  <c r="BC237" i="1"/>
  <c r="Q207" i="8" s="1"/>
  <c r="DE145" i="1"/>
  <c r="Y259" i="8" s="1"/>
  <c r="CF82" i="1"/>
  <c r="CF27" i="1"/>
  <c r="R169" i="8" s="1"/>
  <c r="BC242" i="1"/>
  <c r="Q212" i="8" s="1"/>
  <c r="DE95" i="1"/>
  <c r="X257" i="8" s="1"/>
  <c r="BB128" i="1"/>
  <c r="AB171" i="1"/>
  <c r="DF242" i="1"/>
  <c r="AA236" i="8" s="1"/>
  <c r="CF135" i="1"/>
  <c r="T177" i="8" s="1"/>
  <c r="EJ72" i="1"/>
  <c r="AA183" i="1"/>
  <c r="K201" i="8" s="1"/>
  <c r="Y144" i="1"/>
  <c r="J258" i="8" s="1"/>
  <c r="CF120" i="1"/>
  <c r="BC140" i="1"/>
  <c r="CC187" i="1"/>
  <c r="CF80" i="1"/>
  <c r="S173" i="8" s="1"/>
  <c r="BA93" i="1"/>
  <c r="N255" i="8" s="1"/>
  <c r="EH28" i="1"/>
  <c r="DD176" i="1"/>
  <c r="DF142" i="1"/>
  <c r="Y232" i="8" s="1"/>
  <c r="X93" i="1"/>
  <c r="I159" i="8" s="1"/>
  <c r="CB73" i="1"/>
  <c r="AA194" i="1"/>
  <c r="K212" i="8" s="1"/>
  <c r="BB33" i="1"/>
  <c r="BC28" i="1"/>
  <c r="M194" i="8" s="1"/>
  <c r="EH217" i="1"/>
  <c r="Y33" i="1"/>
  <c r="H247" i="8" s="1"/>
  <c r="Z76" i="1"/>
  <c r="I217" i="8" s="1"/>
  <c r="Z34" i="1"/>
  <c r="EG221" i="1"/>
  <c r="BA129" i="1"/>
  <c r="BB218" i="1"/>
  <c r="BA126" i="1"/>
  <c r="DE225" i="1"/>
  <c r="EH178" i="1"/>
  <c r="AE223" i="8" s="1"/>
  <c r="AB176" i="1"/>
  <c r="AB224" i="1"/>
  <c r="DD177" i="1"/>
  <c r="EH27" i="1"/>
  <c r="DH226" i="1"/>
  <c r="AA175" i="8" s="1"/>
  <c r="EI129" i="1"/>
  <c r="AD198" i="8" s="1"/>
  <c r="DF219" i="1"/>
  <c r="DG127" i="1"/>
  <c r="EI123" i="1"/>
  <c r="AB30" i="1"/>
  <c r="EH219" i="1"/>
  <c r="DG79" i="1"/>
  <c r="EI83" i="1"/>
  <c r="EJ121" i="1"/>
  <c r="Z120" i="1"/>
  <c r="J213" i="8" s="1"/>
  <c r="CD128" i="1"/>
  <c r="BA191" i="1"/>
  <c r="P257" i="8" s="1"/>
  <c r="BA96" i="1"/>
  <c r="N258" i="8" s="1"/>
  <c r="CB38" i="1"/>
  <c r="BB44" i="1"/>
  <c r="M231" i="8" s="1"/>
  <c r="Y216" i="1"/>
  <c r="L237" i="8" s="1"/>
  <c r="CE168" i="1"/>
  <c r="U189" i="8" s="1"/>
  <c r="DE91" i="1"/>
  <c r="BC120" i="1"/>
  <c r="EI120" i="1"/>
  <c r="CD232" i="1"/>
  <c r="V226" i="8" s="1"/>
  <c r="Y189" i="1"/>
  <c r="K255" i="8" s="1"/>
  <c r="Z190" i="1"/>
  <c r="K232" i="8" s="1"/>
  <c r="DG194" i="1"/>
  <c r="Z212" i="8" s="1"/>
  <c r="AZ24" i="1"/>
  <c r="EH122" i="1"/>
  <c r="EI216" i="1"/>
  <c r="DF236" i="1"/>
  <c r="AA230" i="8" s="1"/>
  <c r="BB49" i="1"/>
  <c r="M236" i="8" s="1"/>
  <c r="DG41" i="1"/>
  <c r="CB231" i="1"/>
  <c r="V153" i="8" s="1"/>
  <c r="DG136" i="1"/>
  <c r="Y202" i="8" s="1"/>
  <c r="X137" i="1"/>
  <c r="J155" i="8" s="1"/>
  <c r="AA26" i="1"/>
  <c r="X91" i="1"/>
  <c r="I157" i="8" s="1"/>
  <c r="BA47" i="1"/>
  <c r="M258" i="8" s="1"/>
  <c r="CF235" i="1"/>
  <c r="V181" i="8" s="1"/>
  <c r="CC237" i="1"/>
  <c r="DE23" i="1"/>
  <c r="CF49" i="1"/>
  <c r="R188" i="8" s="1"/>
  <c r="AA87" i="1"/>
  <c r="I201" i="8" s="1"/>
  <c r="DF193" i="1"/>
  <c r="CC168" i="1"/>
  <c r="Z72" i="1"/>
  <c r="I213" i="8" s="1"/>
  <c r="AA241" i="1"/>
  <c r="L211" i="8" s="1"/>
  <c r="BC240" i="1"/>
  <c r="Y193" i="1"/>
  <c r="K259" i="8" s="1"/>
  <c r="BB194" i="1"/>
  <c r="P236" i="8" s="1"/>
  <c r="AB93" i="1"/>
  <c r="I183" i="8" s="1"/>
  <c r="DH26" i="1"/>
  <c r="EI122" i="1"/>
  <c r="AD191" i="8" s="1"/>
  <c r="EJ216" i="1"/>
  <c r="Y187" i="1"/>
  <c r="K253" i="8" s="1"/>
  <c r="DD137" i="1"/>
  <c r="BB29" i="1"/>
  <c r="M219" i="8" s="1"/>
  <c r="AA144" i="1"/>
  <c r="J210" i="8" s="1"/>
  <c r="AZ192" i="1"/>
  <c r="P162" i="8" s="1"/>
  <c r="CF140" i="1"/>
  <c r="CB30" i="1"/>
  <c r="CD187" i="1"/>
  <c r="U229" i="8" s="1"/>
  <c r="CC140" i="1"/>
  <c r="T254" i="8" s="1"/>
  <c r="CE188" i="1"/>
  <c r="DH89" i="1"/>
  <c r="X179" i="8" s="1"/>
  <c r="AZ217" i="1"/>
  <c r="Q142" i="8" s="1"/>
  <c r="DG87" i="1"/>
  <c r="X201" i="8" s="1"/>
  <c r="AZ168" i="1"/>
  <c r="Y232" i="1"/>
  <c r="BC89" i="1"/>
  <c r="N203" i="8" s="1"/>
  <c r="BB34" i="1"/>
  <c r="M224" i="8" s="1"/>
  <c r="CD80" i="1"/>
  <c r="DH29" i="1"/>
  <c r="W171" i="8" s="1"/>
  <c r="BA236" i="1"/>
  <c r="Q254" i="8" s="1"/>
  <c r="BA90" i="1"/>
  <c r="N252" i="8" s="1"/>
  <c r="AZ225" i="1"/>
  <c r="DH220" i="1"/>
  <c r="EH125" i="1"/>
  <c r="AD218" i="8" s="1"/>
  <c r="EH172" i="1"/>
  <c r="AE217" i="8" s="1"/>
  <c r="BC178" i="1"/>
  <c r="DE191" i="1"/>
  <c r="Z257" i="8" s="1"/>
  <c r="CB78" i="1"/>
  <c r="CB62" i="1" s="1"/>
  <c r="BC222" i="1"/>
  <c r="Q195" i="8" s="1"/>
  <c r="Y82" i="1"/>
  <c r="Z145" i="1"/>
  <c r="J235" i="8" s="1"/>
  <c r="BA217" i="1"/>
  <c r="Q238" i="8" s="1"/>
  <c r="BB239" i="1"/>
  <c r="Q233" i="8" s="1"/>
  <c r="BA136" i="1"/>
  <c r="AA185" i="1"/>
  <c r="K203" i="8" s="1"/>
  <c r="DE143" i="1"/>
  <c r="Y257" i="8" s="1"/>
  <c r="CD236" i="1"/>
  <c r="V230" i="8" s="1"/>
  <c r="DF234" i="1"/>
  <c r="BB237" i="1"/>
  <c r="Q231" i="8" s="1"/>
  <c r="BD239" i="1"/>
  <c r="Q185" i="8" s="1"/>
  <c r="AA81" i="1"/>
  <c r="BC31" i="1"/>
  <c r="DD98" i="1"/>
  <c r="X164" i="8" s="1"/>
  <c r="BD137" i="1"/>
  <c r="O179" i="8" s="1"/>
  <c r="CE79" i="1"/>
  <c r="DG95" i="1"/>
  <c r="BD175" i="1"/>
  <c r="BB30" i="1"/>
  <c r="AA83" i="1"/>
  <c r="I200" i="8" s="1"/>
  <c r="DD125" i="1"/>
  <c r="DE24" i="1"/>
  <c r="W238" i="8" s="1"/>
  <c r="CB124" i="1"/>
  <c r="T145" i="8" s="1"/>
  <c r="DG227" i="1"/>
  <c r="BA27" i="1"/>
  <c r="DF32" i="1"/>
  <c r="EH131" i="1"/>
  <c r="AD224" i="8" s="1"/>
  <c r="EH221" i="1"/>
  <c r="AF218" i="8" s="1"/>
  <c r="Z31" i="1"/>
  <c r="DH218" i="1"/>
  <c r="AA167" i="8" s="1"/>
  <c r="X79" i="1"/>
  <c r="I148" i="8" s="1"/>
  <c r="AB225" i="1"/>
  <c r="BB131" i="1"/>
  <c r="DG122" i="1"/>
  <c r="BB73" i="1"/>
  <c r="AZ26" i="1"/>
  <c r="EJ226" i="1"/>
  <c r="X122" i="1"/>
  <c r="J143" i="8" s="1"/>
  <c r="DD172" i="1"/>
  <c r="DE34" i="1"/>
  <c r="W248" i="8" s="1"/>
  <c r="CC176" i="1"/>
  <c r="BC224" i="1"/>
  <c r="Q197" i="8" s="1"/>
  <c r="DE123" i="1"/>
  <c r="Y240" i="8" s="1"/>
  <c r="AB75" i="1"/>
  <c r="I168" i="8" s="1"/>
  <c r="DH221" i="1"/>
  <c r="X78" i="1"/>
  <c r="AB125" i="1"/>
  <c r="X121" i="1"/>
  <c r="Z128" i="1"/>
  <c r="DD78" i="1"/>
  <c r="AB25" i="1"/>
  <c r="EH80" i="1"/>
  <c r="AC221" i="8" s="1"/>
  <c r="BA127" i="1"/>
  <c r="BA130" i="1"/>
  <c r="AB179" i="1"/>
  <c r="BB82" i="1"/>
  <c r="N223" i="8" s="1"/>
  <c r="EF227" i="1"/>
  <c r="CD121" i="1"/>
  <c r="CC123" i="1"/>
  <c r="T240" i="8" s="1"/>
  <c r="CC171" i="1"/>
  <c r="BD81" i="1"/>
  <c r="EH79" i="1"/>
  <c r="EJ227" i="1"/>
  <c r="DD223" i="1"/>
  <c r="EJ128" i="1"/>
  <c r="Y77" i="1"/>
  <c r="Z130" i="1"/>
  <c r="J223" i="8" s="1"/>
  <c r="BC122" i="1"/>
  <c r="O191" i="8" s="1"/>
  <c r="CE77" i="1"/>
  <c r="EH127" i="1"/>
  <c r="AD220" i="8" s="1"/>
  <c r="Y28" i="1"/>
  <c r="H242" i="8" s="1"/>
  <c r="DG129" i="1"/>
  <c r="BB75" i="1"/>
  <c r="EI223" i="1"/>
  <c r="Y220" i="1"/>
  <c r="AB32" i="1"/>
  <c r="H174" i="8" s="1"/>
  <c r="CB125" i="1"/>
  <c r="X24" i="1"/>
  <c r="AB221" i="1"/>
  <c r="L170" i="8" s="1"/>
  <c r="BD179" i="1"/>
  <c r="BA176" i="1"/>
  <c r="Y74" i="1"/>
  <c r="DH25" i="1"/>
  <c r="W167" i="8" s="1"/>
  <c r="CE126" i="1"/>
  <c r="Z129" i="1"/>
  <c r="J222" i="8" s="1"/>
  <c r="CC130" i="1"/>
  <c r="EJ81" i="1"/>
  <c r="BA174" i="1"/>
  <c r="EH82" i="1"/>
  <c r="EG177" i="1"/>
  <c r="AZ177" i="1"/>
  <c r="EG170" i="1"/>
  <c r="X124" i="1"/>
  <c r="CF224" i="1"/>
  <c r="Y131" i="1"/>
  <c r="AA188" i="1"/>
  <c r="K206" i="8" s="1"/>
  <c r="Y190" i="1"/>
  <c r="Z81" i="1"/>
  <c r="I222" i="8" s="1"/>
  <c r="DG29" i="1"/>
  <c r="W195" i="8" s="1"/>
  <c r="CE34" i="1"/>
  <c r="R200" i="8" s="1"/>
  <c r="BB189" i="1"/>
  <c r="P231" i="8" s="1"/>
  <c r="BB225" i="1"/>
  <c r="DF24" i="1"/>
  <c r="CD217" i="1"/>
  <c r="V214" i="8" s="1"/>
  <c r="EH130" i="1"/>
  <c r="DH32" i="1"/>
  <c r="W174" i="8" s="1"/>
  <c r="AZ171" i="1"/>
  <c r="P144" i="8" s="1"/>
  <c r="DH224" i="1"/>
  <c r="AA173" i="8" s="1"/>
  <c r="AZ220" i="1"/>
  <c r="BB83" i="1"/>
  <c r="X31" i="1"/>
  <c r="DG131" i="1"/>
  <c r="AA79" i="1"/>
  <c r="I196" i="8" s="1"/>
  <c r="Y225" i="1"/>
  <c r="BA131" i="1"/>
  <c r="Y217" i="1"/>
  <c r="BC73" i="1"/>
  <c r="EG226" i="1"/>
  <c r="BC121" i="1"/>
  <c r="X173" i="1"/>
  <c r="BB79" i="1"/>
  <c r="DD226" i="1"/>
  <c r="DF34" i="1"/>
  <c r="DF224" i="1"/>
  <c r="AA221" i="8" s="1"/>
  <c r="AZ224" i="1"/>
  <c r="DD73" i="1"/>
  <c r="X142" i="8" s="1"/>
  <c r="Y127" i="1"/>
  <c r="DF221" i="1"/>
  <c r="DG25" i="1"/>
  <c r="CB122" i="1"/>
  <c r="T143" i="8" s="1"/>
  <c r="Y125" i="1"/>
  <c r="Z121" i="1"/>
  <c r="AB128" i="1"/>
  <c r="CB177" i="1"/>
  <c r="DG80" i="1"/>
  <c r="BB130" i="1"/>
  <c r="BB74" i="1"/>
  <c r="CB121" i="1"/>
  <c r="EH81" i="1"/>
  <c r="CF226" i="1"/>
  <c r="BC82" i="1"/>
  <c r="DH30" i="1"/>
  <c r="W172" i="8" s="1"/>
  <c r="CD226" i="1"/>
  <c r="CD224" i="1"/>
  <c r="EH26" i="1"/>
  <c r="EH33" i="1"/>
  <c r="AA217" i="1"/>
  <c r="AA218" i="1"/>
  <c r="DG218" i="1"/>
  <c r="DG219" i="1"/>
  <c r="DH185" i="1"/>
  <c r="Z179" i="8" s="1"/>
  <c r="BD47" i="1"/>
  <c r="M186" i="8" s="1"/>
  <c r="N257" i="8"/>
  <c r="DD186" i="1"/>
  <c r="Z156" i="8" s="1"/>
  <c r="DD240" i="1"/>
  <c r="AA162" i="8" s="1"/>
  <c r="CB221" i="1"/>
  <c r="CB216" i="1"/>
  <c r="CD130" i="1"/>
  <c r="CD120" i="1"/>
  <c r="R211" i="8"/>
  <c r="DF43" i="1"/>
  <c r="W230" i="8" s="1"/>
  <c r="Y146" i="1"/>
  <c r="J260" i="8" s="1"/>
  <c r="AZ216" i="1"/>
  <c r="CD184" i="1"/>
  <c r="U226" i="8" s="1"/>
  <c r="BA168" i="1"/>
  <c r="P237" i="8" s="1"/>
  <c r="DH186" i="1"/>
  <c r="Z180" i="8" s="1"/>
  <c r="CE39" i="1"/>
  <c r="R202" i="8" s="1"/>
  <c r="DF30" i="1"/>
  <c r="BD96" i="1"/>
  <c r="N186" i="8" s="1"/>
  <c r="AZ44" i="1"/>
  <c r="M159" i="8" s="1"/>
  <c r="AA95" i="1"/>
  <c r="I209" i="8" s="1"/>
  <c r="AZ42" i="1"/>
  <c r="M157" i="8" s="1"/>
  <c r="AB240" i="1"/>
  <c r="L186" i="8" s="1"/>
  <c r="X239" i="1"/>
  <c r="L161" i="8" s="1"/>
  <c r="DG46" i="1"/>
  <c r="DE43" i="1"/>
  <c r="W254" i="8" s="1"/>
  <c r="CB34" i="1"/>
  <c r="R152" i="8" s="1"/>
  <c r="BD173" i="1"/>
  <c r="BB217" i="1"/>
  <c r="DE87" i="1"/>
  <c r="X249" i="8" s="1"/>
  <c r="CB25" i="1"/>
  <c r="BD187" i="1"/>
  <c r="P181" i="8" s="1"/>
  <c r="DH240" i="1"/>
  <c r="AA186" i="8" s="1"/>
  <c r="AZ236" i="1"/>
  <c r="Q158" i="8" s="1"/>
  <c r="DD168" i="1"/>
  <c r="CD83" i="1"/>
  <c r="CE76" i="1"/>
  <c r="CB48" i="1"/>
  <c r="R163" i="8" s="1"/>
  <c r="CF77" i="1"/>
  <c r="CD239" i="1"/>
  <c r="V233" i="8" s="1"/>
  <c r="AB98" i="1"/>
  <c r="I188" i="8" s="1"/>
  <c r="AA23" i="1"/>
  <c r="H189" i="8" s="1"/>
  <c r="CD46" i="1"/>
  <c r="R233" i="8" s="1"/>
  <c r="CD23" i="1"/>
  <c r="AB216" i="1"/>
  <c r="L165" i="8" s="1"/>
  <c r="BC183" i="1"/>
  <c r="P201" i="8" s="1"/>
  <c r="CC94" i="1"/>
  <c r="S256" i="8" s="1"/>
  <c r="DG42" i="1"/>
  <c r="W205" i="8" s="1"/>
  <c r="DF235" i="1"/>
  <c r="AA229" i="8" s="1"/>
  <c r="DG216" i="1"/>
  <c r="DG96" i="1"/>
  <c r="X210" i="8" s="1"/>
  <c r="DH237" i="1"/>
  <c r="AA183" i="8" s="1"/>
  <c r="BC234" i="1"/>
  <c r="Q204" i="8" s="1"/>
  <c r="CC189" i="1"/>
  <c r="U255" i="8" s="1"/>
  <c r="AZ91" i="1"/>
  <c r="N157" i="8" s="1"/>
  <c r="DG90" i="1"/>
  <c r="X204" i="8" s="1"/>
  <c r="CD79" i="1"/>
  <c r="EH218" i="1"/>
  <c r="AF215" i="8" s="1"/>
  <c r="CB135" i="1"/>
  <c r="BD43" i="1"/>
  <c r="M182" i="8" s="1"/>
  <c r="BC49" i="1"/>
  <c r="M212" i="8" s="1"/>
  <c r="AA142" i="1"/>
  <c r="J208" i="8" s="1"/>
  <c r="CD238" i="1"/>
  <c r="V232" i="8" s="1"/>
  <c r="BB32" i="1"/>
  <c r="AZ25" i="1"/>
  <c r="M143" i="8" s="1"/>
  <c r="AB141" i="1"/>
  <c r="J183" i="8" s="1"/>
  <c r="BA172" i="1"/>
  <c r="BB219" i="1"/>
  <c r="CF141" i="1"/>
  <c r="T183" i="8" s="1"/>
  <c r="CF72" i="1"/>
  <c r="BC144" i="1"/>
  <c r="O210" i="8" s="1"/>
  <c r="CF33" i="1"/>
  <c r="R175" i="8" s="1"/>
  <c r="BC232" i="1"/>
  <c r="Q202" i="8" s="1"/>
  <c r="DH95" i="1"/>
  <c r="X185" i="8" s="1"/>
  <c r="AB137" i="1"/>
  <c r="J179" i="8" s="1"/>
  <c r="CD32" i="1"/>
  <c r="EG26" i="1"/>
  <c r="DH87" i="1"/>
  <c r="X177" i="8" s="1"/>
  <c r="CB74" i="1"/>
  <c r="S143" i="8" s="1"/>
  <c r="CF28" i="1"/>
  <c r="R170" i="8" s="1"/>
  <c r="DE220" i="1"/>
  <c r="AA241" i="8" s="1"/>
  <c r="DF31" i="1"/>
  <c r="BC126" i="1"/>
  <c r="X172" i="1"/>
  <c r="Y29" i="1"/>
  <c r="H243" i="8" s="1"/>
  <c r="Z77" i="1"/>
  <c r="I218" i="8" s="1"/>
  <c r="AB130" i="1"/>
  <c r="EH224" i="1"/>
  <c r="EH126" i="1"/>
  <c r="BD122" i="1"/>
  <c r="O167" i="8" s="1"/>
  <c r="EH222" i="1"/>
  <c r="BA123" i="1"/>
  <c r="EF169" i="1"/>
  <c r="X28" i="1"/>
  <c r="DD129" i="1"/>
  <c r="EJ225" i="1"/>
  <c r="EG223" i="1"/>
  <c r="AF244" i="8" s="1"/>
  <c r="CC170" i="1"/>
  <c r="BA223" i="1"/>
  <c r="Q244" i="8" s="1"/>
  <c r="Y223" i="1"/>
  <c r="AA73" i="1"/>
  <c r="AB219" i="1"/>
  <c r="Z30" i="1"/>
  <c r="CF225" i="1"/>
  <c r="CF130" i="1"/>
  <c r="BC125" i="1"/>
  <c r="CE174" i="1"/>
  <c r="AB129" i="1"/>
  <c r="Z126" i="1"/>
  <c r="J219" i="8" s="1"/>
  <c r="BB235" i="1"/>
  <c r="Q229" i="8" s="1"/>
  <c r="Y91" i="1"/>
  <c r="I253" i="8" s="1"/>
  <c r="CE235" i="1"/>
  <c r="V205" i="8" s="1"/>
  <c r="DE48" i="1"/>
  <c r="W259" i="8" s="1"/>
  <c r="CC95" i="1"/>
  <c r="DE135" i="1"/>
  <c r="Y249" i="8" s="1"/>
  <c r="CE94" i="1"/>
  <c r="S208" i="8" s="1"/>
  <c r="DF42" i="1"/>
  <c r="W229" i="8" s="1"/>
  <c r="DH235" i="1"/>
  <c r="AA181" i="8" s="1"/>
  <c r="EG23" i="1"/>
  <c r="AB237" i="8" s="1"/>
  <c r="Z241" i="1"/>
  <c r="L235" i="8" s="1"/>
  <c r="DH139" i="1"/>
  <c r="Y181" i="8" s="1"/>
  <c r="DF90" i="1"/>
  <c r="X228" i="8" s="1"/>
  <c r="Y194" i="1"/>
  <c r="K260" i="8" s="1"/>
  <c r="CF26" i="1"/>
  <c r="R168" i="8" s="1"/>
  <c r="DD128" i="1"/>
  <c r="Y149" i="8" s="1"/>
  <c r="BD221" i="1"/>
  <c r="Q170" i="8" s="1"/>
  <c r="BA29" i="1"/>
  <c r="X185" i="1"/>
  <c r="K155" i="8" s="1"/>
  <c r="CF44" i="1"/>
  <c r="R183" i="8" s="1"/>
  <c r="CF30" i="1"/>
  <c r="Y222" i="1"/>
  <c r="DD83" i="1"/>
  <c r="CD185" i="1"/>
  <c r="CB235" i="1"/>
  <c r="V157" i="8" s="1"/>
  <c r="Z98" i="1"/>
  <c r="I236" i="8" s="1"/>
  <c r="CD38" i="1"/>
  <c r="R225" i="8" s="1"/>
  <c r="BD44" i="1"/>
  <c r="M183" i="8" s="1"/>
  <c r="CF23" i="1"/>
  <c r="CD145" i="1"/>
  <c r="T235" i="8" s="1"/>
  <c r="Z95" i="1"/>
  <c r="I233" i="8" s="1"/>
  <c r="CE142" i="1"/>
  <c r="T208" i="8" s="1"/>
  <c r="DD193" i="1"/>
  <c r="Z163" i="8" s="1"/>
  <c r="BD42" i="1"/>
  <c r="DG138" i="1"/>
  <c r="Y204" i="8" s="1"/>
  <c r="DG139" i="1"/>
  <c r="Y205" i="8" s="1"/>
  <c r="BC47" i="1"/>
  <c r="M210" i="8" s="1"/>
  <c r="CD144" i="1"/>
  <c r="T234" i="8" s="1"/>
  <c r="CC188" i="1"/>
  <c r="U254" i="8" s="1"/>
  <c r="BB24" i="1"/>
  <c r="BC221" i="1"/>
  <c r="DG236" i="1"/>
  <c r="AA206" i="8" s="1"/>
  <c r="BC143" i="1"/>
  <c r="O209" i="8" s="1"/>
  <c r="DD143" i="1"/>
  <c r="Y161" i="8" s="1"/>
  <c r="CE91" i="1"/>
  <c r="S205" i="8" s="1"/>
  <c r="CE82" i="1"/>
  <c r="CD27" i="1"/>
  <c r="DE194" i="1"/>
  <c r="Z260" i="8" s="1"/>
  <c r="BC24" i="1"/>
  <c r="DF194" i="1"/>
  <c r="Z236" i="8" s="1"/>
  <c r="Y171" i="1"/>
  <c r="Y155" i="1" s="1"/>
  <c r="BA144" i="1"/>
  <c r="O258" i="8" s="1"/>
  <c r="CD242" i="1"/>
  <c r="V236" i="8" s="1"/>
  <c r="BA192" i="1"/>
  <c r="DG146" i="1"/>
  <c r="Y212" i="8" s="1"/>
  <c r="CD31" i="1"/>
  <c r="Y81" i="1"/>
  <c r="I246" i="8" s="1"/>
  <c r="Y139" i="1"/>
  <c r="J253" i="8" s="1"/>
  <c r="DE242" i="1"/>
  <c r="AA260" i="8" s="1"/>
  <c r="DG141" i="1"/>
  <c r="Y207" i="8" s="1"/>
  <c r="CD34" i="1"/>
  <c r="R224" i="8" s="1"/>
  <c r="BA225" i="1"/>
  <c r="Q246" i="8" s="1"/>
  <c r="DG24" i="1"/>
  <c r="W190" i="8" s="1"/>
  <c r="CC124" i="1"/>
  <c r="T241" i="8" s="1"/>
  <c r="CB217" i="1"/>
  <c r="V142" i="8" s="1"/>
  <c r="EI130" i="1"/>
  <c r="CD82" i="1"/>
  <c r="BA25" i="1"/>
  <c r="BA170" i="1"/>
  <c r="P239" i="8" s="1"/>
  <c r="BD128" i="1"/>
  <c r="O173" i="8" s="1"/>
  <c r="CD74" i="1"/>
  <c r="S215" i="8" s="1"/>
  <c r="EF174" i="1"/>
  <c r="BA187" i="1"/>
  <c r="P253" i="8" s="1"/>
  <c r="BA232" i="1"/>
  <c r="CB31" i="1"/>
  <c r="BD236" i="1"/>
  <c r="Q182" i="8" s="1"/>
  <c r="AZ31" i="1"/>
  <c r="DE29" i="1"/>
  <c r="CC135" i="1"/>
  <c r="T249" i="8" s="1"/>
  <c r="DE26" i="1"/>
  <c r="CD141" i="1"/>
  <c r="T231" i="8" s="1"/>
  <c r="DE126" i="1"/>
  <c r="Y243" i="8" s="1"/>
  <c r="EI217" i="1"/>
  <c r="DD174" i="1"/>
  <c r="AB76" i="1"/>
  <c r="I169" i="8" s="1"/>
  <c r="AA219" i="1"/>
  <c r="DD227" i="1"/>
  <c r="Z29" i="1"/>
  <c r="AZ218" i="1"/>
  <c r="BD126" i="1"/>
  <c r="DH225" i="1"/>
  <c r="AA174" i="8" s="1"/>
  <c r="Z75" i="1"/>
  <c r="EF225" i="1"/>
  <c r="DG74" i="1"/>
  <c r="CE170" i="1"/>
  <c r="DG226" i="1"/>
  <c r="DH219" i="1"/>
  <c r="AA168" i="8" s="1"/>
  <c r="AB73" i="1"/>
  <c r="I166" i="8" s="1"/>
  <c r="EH123" i="1"/>
  <c r="AD216" i="8" s="1"/>
  <c r="EG175" i="1"/>
  <c r="AE244" i="8" s="1"/>
  <c r="EI219" i="1"/>
  <c r="AF192" i="8" s="1"/>
  <c r="DG75" i="1"/>
  <c r="DD79" i="1"/>
  <c r="EJ83" i="1"/>
  <c r="DD77" i="1"/>
  <c r="CF129" i="1"/>
  <c r="X27" i="1"/>
  <c r="CB218" i="1"/>
  <c r="CB222" i="1"/>
  <c r="EG173" i="1"/>
  <c r="EG157" i="1" s="1"/>
  <c r="CD227" i="1"/>
  <c r="EJ78" i="1"/>
  <c r="EG220" i="1"/>
  <c r="EI227" i="1"/>
  <c r="EI220" i="1"/>
  <c r="EG171" i="1"/>
  <c r="CC129" i="1"/>
  <c r="T246" i="8" s="1"/>
  <c r="BD127" i="1"/>
  <c r="O172" i="8" s="1"/>
  <c r="EF175" i="1"/>
  <c r="DF217" i="1"/>
  <c r="DH223" i="1"/>
  <c r="AA172" i="8" s="1"/>
  <c r="BD220" i="1"/>
  <c r="AA76" i="1"/>
  <c r="I193" i="8" s="1"/>
  <c r="EG33" i="1"/>
  <c r="CF220" i="1"/>
  <c r="V169" i="8" s="1"/>
  <c r="EH31" i="1"/>
  <c r="AB221" i="8" s="1"/>
  <c r="CB75" i="1"/>
  <c r="S144" i="8" s="1"/>
  <c r="BD227" i="1"/>
  <c r="Q176" i="8" s="1"/>
  <c r="CC169" i="1"/>
  <c r="EI226" i="1"/>
  <c r="BC79" i="1"/>
  <c r="N196" i="8" s="1"/>
  <c r="DE222" i="1"/>
  <c r="AA243" i="8" s="1"/>
  <c r="BA226" i="1"/>
  <c r="Q247" i="8" s="1"/>
  <c r="AZ169" i="1"/>
  <c r="CB131" i="1"/>
  <c r="T152" i="8" s="1"/>
  <c r="BB224" i="1"/>
  <c r="AZ226" i="1"/>
  <c r="CB130" i="1"/>
  <c r="T151" i="8" s="1"/>
  <c r="CF219" i="1"/>
  <c r="CE122" i="1"/>
  <c r="CB171" i="1"/>
  <c r="DG82" i="1"/>
  <c r="X127" i="1"/>
  <c r="CD222" i="1"/>
  <c r="EH76" i="1"/>
  <c r="CB226" i="1"/>
  <c r="DG76" i="1"/>
  <c r="BD130" i="1"/>
  <c r="BA34" i="1"/>
  <c r="M248" i="8" s="1"/>
  <c r="CF31" i="1"/>
  <c r="R173" i="8" s="1"/>
  <c r="AB80" i="1"/>
  <c r="I173" i="8" s="1"/>
  <c r="BC128" i="1"/>
  <c r="EG179" i="1"/>
  <c r="BB136" i="1"/>
  <c r="O226" i="8" s="1"/>
  <c r="AB83" i="1"/>
  <c r="I176" i="8" s="1"/>
  <c r="DE125" i="1"/>
  <c r="CF79" i="1"/>
  <c r="S172" i="8" s="1"/>
  <c r="AB34" i="1"/>
  <c r="H176" i="8" s="1"/>
  <c r="EG217" i="1"/>
  <c r="AF238" i="8" s="1"/>
  <c r="AB33" i="1"/>
  <c r="H175" i="8" s="1"/>
  <c r="DD178" i="1"/>
  <c r="Z151" i="8" s="1"/>
  <c r="BC76" i="1"/>
  <c r="N193" i="8" s="1"/>
  <c r="EI128" i="1"/>
  <c r="AD197" i="8" s="1"/>
  <c r="EJ221" i="1"/>
  <c r="AF170" i="8" s="1"/>
  <c r="BD129" i="1"/>
  <c r="O174" i="8" s="1"/>
  <c r="DF218" i="1"/>
  <c r="AA215" i="8" s="1"/>
  <c r="X177" i="1"/>
  <c r="CB76" i="1"/>
  <c r="S145" i="8" s="1"/>
  <c r="BB78" i="1"/>
  <c r="N219" i="8" s="1"/>
  <c r="DG225" i="1"/>
  <c r="EF178" i="1"/>
  <c r="Y79" i="1"/>
  <c r="DE74" i="1"/>
  <c r="X239" i="8" s="1"/>
  <c r="Y122" i="1"/>
  <c r="DE226" i="1"/>
  <c r="EH129" i="1"/>
  <c r="DD219" i="1"/>
  <c r="DD127" i="1"/>
  <c r="CB176" i="1"/>
  <c r="AA220" i="1"/>
  <c r="BC83" i="1"/>
  <c r="DE79" i="1"/>
  <c r="X244" i="8" s="1"/>
  <c r="Z78" i="1"/>
  <c r="CE123" i="1"/>
  <c r="CF126" i="1"/>
  <c r="EJ74" i="1"/>
  <c r="BC127" i="1"/>
  <c r="O196" i="8" s="1"/>
  <c r="CB175" i="1"/>
  <c r="EH220" i="1"/>
  <c r="X179" i="1"/>
  <c r="EG176" i="1"/>
  <c r="DD82" i="1"/>
  <c r="CE173" i="1"/>
  <c r="CB178" i="1"/>
  <c r="U151" i="8" s="1"/>
  <c r="CC177" i="1"/>
  <c r="EF220" i="1"/>
  <c r="DG83" i="1"/>
  <c r="DG72" i="1"/>
  <c r="AA24" i="1"/>
  <c r="AA32" i="1"/>
  <c r="AA29" i="1"/>
  <c r="AA34" i="1"/>
  <c r="CF98" i="1"/>
  <c r="S188" i="8" s="1"/>
  <c r="AB187" i="1"/>
  <c r="K181" i="8" s="1"/>
  <c r="R205" i="8"/>
  <c r="CD42" i="1"/>
  <c r="R229" i="8" s="1"/>
  <c r="CE137" i="1"/>
  <c r="T203" i="8" s="1"/>
  <c r="O206" i="8"/>
  <c r="BD140" i="1"/>
  <c r="O182" i="8" s="1"/>
  <c r="DG123" i="1"/>
  <c r="DG130" i="1"/>
  <c r="AB183" i="1"/>
  <c r="K177" i="8" s="1"/>
  <c r="DD187" i="1"/>
  <c r="Z157" i="8" s="1"/>
  <c r="U205" i="8"/>
  <c r="CF187" i="1"/>
  <c r="U181" i="8" s="1"/>
  <c r="Z136" i="1"/>
  <c r="J226" i="8" s="1"/>
  <c r="EJ217" i="1"/>
  <c r="EJ220" i="1"/>
  <c r="EJ222" i="1"/>
  <c r="DF98" i="1"/>
  <c r="X236" i="8" s="1"/>
  <c r="EI79" i="1"/>
  <c r="EI78" i="1"/>
  <c r="CC192" i="1"/>
  <c r="U258" i="8" s="1"/>
  <c r="BB120" i="1"/>
  <c r="BB122" i="1"/>
  <c r="BD76" i="1"/>
  <c r="BD74" i="1"/>
  <c r="BD82" i="1"/>
  <c r="X97" i="1"/>
  <c r="I163" i="8" s="1"/>
  <c r="K252" i="8"/>
  <c r="X186" i="1"/>
  <c r="K156" i="8" s="1"/>
  <c r="Y226" i="8"/>
  <c r="CB236" i="1"/>
  <c r="V158" i="8" s="1"/>
  <c r="DD185" i="1"/>
  <c r="Z155" i="8" s="1"/>
  <c r="BB125" i="1"/>
  <c r="BB23" i="1"/>
  <c r="CF91" i="1"/>
  <c r="S181" i="8" s="1"/>
  <c r="DH227" i="1"/>
  <c r="EJ129" i="1"/>
  <c r="EJ130" i="1"/>
  <c r="EJ124" i="1"/>
  <c r="AB239" i="1"/>
  <c r="Y141" i="1"/>
  <c r="J255" i="8" s="1"/>
  <c r="AB144" i="1"/>
  <c r="J186" i="8" s="1"/>
  <c r="J157" i="8"/>
  <c r="AA139" i="1"/>
  <c r="J205" i="8" s="1"/>
  <c r="BB39" i="1"/>
  <c r="M226" i="8" s="1"/>
  <c r="AB173" i="1"/>
  <c r="AB169" i="1"/>
  <c r="AB178" i="1"/>
  <c r="AB172" i="1"/>
  <c r="CE44" i="1"/>
  <c r="R207" i="8" s="1"/>
  <c r="CB241" i="1"/>
  <c r="V163" i="8" s="1"/>
  <c r="BD98" i="1"/>
  <c r="N188" i="8" s="1"/>
  <c r="Y184" i="1"/>
  <c r="K250" i="8" s="1"/>
  <c r="CE24" i="1"/>
  <c r="CE29" i="1"/>
  <c r="Z26" i="1"/>
  <c r="Z33" i="1"/>
  <c r="Z25" i="1"/>
  <c r="CD45" i="1"/>
  <c r="R232" i="8" s="1"/>
  <c r="M188" i="8"/>
  <c r="BA49" i="1"/>
  <c r="M260" i="8" s="1"/>
  <c r="DE40" i="1"/>
  <c r="W251" i="8" s="1"/>
  <c r="CE80" i="1"/>
  <c r="CE78" i="1"/>
  <c r="CE73" i="1"/>
  <c r="X227" i="8"/>
  <c r="DG89" i="1"/>
  <c r="X203" i="8" s="1"/>
  <c r="Z223" i="1"/>
  <c r="Z221" i="1"/>
  <c r="Z225" i="1"/>
  <c r="DD91" i="1"/>
  <c r="X157" i="8" s="1"/>
  <c r="Y176" i="1"/>
  <c r="Y170" i="1"/>
  <c r="Y177" i="1"/>
  <c r="BC218" i="1"/>
  <c r="BC220" i="1"/>
  <c r="BC226" i="1"/>
  <c r="DE97" i="1"/>
  <c r="X259" i="8" s="1"/>
  <c r="N211" i="8"/>
  <c r="AZ97" i="1"/>
  <c r="N163" i="8" s="1"/>
  <c r="W201" i="8"/>
  <c r="DE38" i="1"/>
  <c r="W249" i="8" s="1"/>
  <c r="O229" i="8"/>
  <c r="BD139" i="1"/>
  <c r="O181" i="8" s="1"/>
  <c r="DH142" i="1"/>
  <c r="Y184" i="8" s="1"/>
  <c r="DD232" i="1"/>
  <c r="AA154" i="8" s="1"/>
  <c r="AZ46" i="1"/>
  <c r="M161" i="8" s="1"/>
  <c r="BD45" i="1"/>
  <c r="M184" i="8" s="1"/>
  <c r="Q203" i="8"/>
  <c r="AZ233" i="1"/>
  <c r="Q155" i="8" s="1"/>
  <c r="DE234" i="1"/>
  <c r="AA252" i="8" s="1"/>
  <c r="EH171" i="1"/>
  <c r="EH175" i="1"/>
  <c r="DH173" i="1"/>
  <c r="DH170" i="1"/>
  <c r="DH174" i="1"/>
  <c r="DH175" i="1"/>
  <c r="DH172" i="1"/>
  <c r="DH178" i="1"/>
  <c r="DH177" i="1"/>
  <c r="EI168" i="1"/>
  <c r="EI172" i="1"/>
  <c r="EH83" i="1"/>
  <c r="EH73" i="1"/>
  <c r="X77" i="1"/>
  <c r="X72" i="1"/>
  <c r="I141" i="8" s="1"/>
  <c r="X73" i="1"/>
  <c r="Y145" i="1"/>
  <c r="J259" i="8" s="1"/>
  <c r="X88" i="1"/>
  <c r="I154" i="8" s="1"/>
  <c r="AZ188" i="1"/>
  <c r="P158" i="8" s="1"/>
  <c r="DH191" i="1"/>
  <c r="Z185" i="8" s="1"/>
  <c r="M180" i="8"/>
  <c r="BB41" i="1"/>
  <c r="M228" i="8" s="1"/>
  <c r="EG172" i="1"/>
  <c r="CD78" i="1"/>
  <c r="CC44" i="1"/>
  <c r="BC141" i="1"/>
  <c r="O207" i="8" s="1"/>
  <c r="CD77" i="1"/>
  <c r="DE186" i="1"/>
  <c r="Z252" i="8" s="1"/>
  <c r="AA74" i="1"/>
  <c r="CD48" i="1"/>
  <c r="DG88" i="1"/>
  <c r="X202" i="8" s="1"/>
  <c r="DD145" i="1"/>
  <c r="Y163" i="8" s="1"/>
  <c r="DH92" i="1"/>
  <c r="CD24" i="1"/>
  <c r="CB29" i="1"/>
  <c r="BC169" i="1"/>
  <c r="DD94" i="1"/>
  <c r="X160" i="8" s="1"/>
  <c r="CC42" i="1"/>
  <c r="R253" i="8" s="1"/>
  <c r="BC74" i="1"/>
  <c r="BA189" i="1"/>
  <c r="P255" i="8" s="1"/>
  <c r="AB126" i="1"/>
  <c r="CE87" i="1"/>
  <c r="S201" i="8" s="1"/>
  <c r="CF42" i="1"/>
  <c r="R181" i="8" s="1"/>
  <c r="BA28" i="1"/>
  <c r="BD80" i="1"/>
  <c r="X184" i="1"/>
  <c r="K154" i="8" s="1"/>
  <c r="CB187" i="1"/>
  <c r="U157" i="8" s="1"/>
  <c r="BD72" i="1"/>
  <c r="AB232" i="1"/>
  <c r="L178" i="8" s="1"/>
  <c r="AB26" i="1"/>
  <c r="Y26" i="1"/>
  <c r="CD216" i="1"/>
  <c r="BC95" i="1"/>
  <c r="N209" i="8" s="1"/>
  <c r="Y192" i="1"/>
  <c r="K258" i="8" s="1"/>
  <c r="AZ185" i="1"/>
  <c r="P155" i="8" s="1"/>
  <c r="EI72" i="1"/>
  <c r="Y126" i="1"/>
  <c r="CF48" i="1"/>
  <c r="R187" i="8" s="1"/>
  <c r="CB141" i="1"/>
  <c r="T159" i="8" s="1"/>
  <c r="CB184" i="1"/>
  <c r="U154" i="8" s="1"/>
  <c r="EJ77" i="1"/>
  <c r="DD89" i="1"/>
  <c r="X155" i="8" s="1"/>
  <c r="DD191" i="1"/>
  <c r="Z161" i="8" s="1"/>
  <c r="Y242" i="1"/>
  <c r="BC78" i="1"/>
  <c r="Z91" i="1"/>
  <c r="I229" i="8" s="1"/>
  <c r="AA98" i="1"/>
  <c r="I212" i="8" s="1"/>
  <c r="DF48" i="1"/>
  <c r="W235" i="8" s="1"/>
  <c r="BD190" i="1"/>
  <c r="P184" i="8" s="1"/>
  <c r="CC38" i="1"/>
  <c r="R249" i="8" s="1"/>
  <c r="CE95" i="1"/>
  <c r="S209" i="8" s="1"/>
  <c r="DE187" i="1"/>
  <c r="Z253" i="8" s="1"/>
  <c r="Z216" i="1"/>
  <c r="BB183" i="1"/>
  <c r="P225" i="8" s="1"/>
  <c r="X240" i="1"/>
  <c r="L162" i="8" s="1"/>
  <c r="DF91" i="1"/>
  <c r="X229" i="8" s="1"/>
  <c r="AB72" i="1"/>
  <c r="I165" i="8" s="1"/>
  <c r="DE237" i="1"/>
  <c r="BD234" i="1"/>
  <c r="Q180" i="8" s="1"/>
  <c r="CB232" i="1"/>
  <c r="V154" i="8" s="1"/>
  <c r="Z90" i="1"/>
  <c r="I228" i="8" s="1"/>
  <c r="CB234" i="1"/>
  <c r="V156" i="8" s="1"/>
  <c r="AB194" i="1"/>
  <c r="K188" i="8" s="1"/>
  <c r="CD188" i="1"/>
  <c r="U230" i="8" s="1"/>
  <c r="DG128" i="1"/>
  <c r="AZ221" i="1"/>
  <c r="Q146" i="8" s="1"/>
  <c r="DH236" i="1"/>
  <c r="AA182" i="8" s="1"/>
  <c r="BA143" i="1"/>
  <c r="O257" i="8" s="1"/>
  <c r="CF146" i="1"/>
  <c r="T188" i="8" s="1"/>
  <c r="DH145" i="1"/>
  <c r="Y187" i="8" s="1"/>
  <c r="CE192" i="1"/>
  <c r="U210" i="8" s="1"/>
  <c r="CB82" i="1"/>
  <c r="S151" i="8" s="1"/>
  <c r="CF194" i="1"/>
  <c r="CF192" i="1"/>
  <c r="U186" i="8" s="1"/>
  <c r="CC141" i="1"/>
  <c r="T255" i="8" s="1"/>
  <c r="AA226" i="1"/>
  <c r="BA128" i="1"/>
  <c r="X171" i="1"/>
  <c r="DG242" i="1"/>
  <c r="AA212" i="8" s="1"/>
  <c r="DE124" i="1"/>
  <c r="EI174" i="1"/>
  <c r="AE195" i="8" s="1"/>
  <c r="DE137" i="1"/>
  <c r="Y251" i="8" s="1"/>
  <c r="CF242" i="1"/>
  <c r="V188" i="8" s="1"/>
  <c r="DF146" i="1"/>
  <c r="Y236" i="8" s="1"/>
  <c r="BB89" i="1"/>
  <c r="N227" i="8" s="1"/>
  <c r="DG77" i="1"/>
  <c r="BC41" i="1"/>
  <c r="M204" i="8" s="1"/>
  <c r="DD120" i="1"/>
  <c r="Y141" i="8" s="1"/>
  <c r="DH168" i="1"/>
  <c r="EI74" i="1"/>
  <c r="Z139" i="1"/>
  <c r="J229" i="8" s="1"/>
  <c r="BA185" i="1"/>
  <c r="P251" i="8" s="1"/>
  <c r="EH72" i="1"/>
  <c r="CE40" i="1"/>
  <c r="R203" i="8" s="1"/>
  <c r="CE125" i="1"/>
  <c r="DG190" i="1"/>
  <c r="Z208" i="8" s="1"/>
  <c r="BD125" i="1"/>
  <c r="CF216" i="1"/>
  <c r="BD242" i="1"/>
  <c r="Q188" i="8" s="1"/>
  <c r="Z224" i="1"/>
  <c r="CB174" i="1"/>
  <c r="BC33" i="1"/>
  <c r="AB237" i="1"/>
  <c r="L183" i="8" s="1"/>
  <c r="BB142" i="1"/>
  <c r="O232" i="8" s="1"/>
  <c r="CF185" i="1"/>
  <c r="U179" i="8" s="1"/>
  <c r="CF96" i="1"/>
  <c r="S186" i="8" s="1"/>
  <c r="EH25" i="1"/>
  <c r="CC45" i="1"/>
  <c r="R256" i="8" s="1"/>
  <c r="BB141" i="1"/>
  <c r="O231" i="8" s="1"/>
  <c r="DH135" i="1"/>
  <c r="Y177" i="8" s="1"/>
  <c r="BC45" i="1"/>
  <c r="M208" i="8" s="1"/>
  <c r="DH42" i="1"/>
  <c r="W181" i="8" s="1"/>
  <c r="DD235" i="1"/>
  <c r="AA157" i="8" s="1"/>
  <c r="DF216" i="1"/>
  <c r="AA213" i="8" s="1"/>
  <c r="Y241" i="1"/>
  <c r="BB240" i="1"/>
  <c r="Q234" i="8" s="1"/>
  <c r="X98" i="1"/>
  <c r="I164" i="8" s="1"/>
  <c r="BB188" i="1"/>
  <c r="P230" i="8" s="1"/>
  <c r="AZ194" i="1"/>
  <c r="P164" i="8" s="1"/>
  <c r="DF26" i="1"/>
  <c r="EI218" i="1"/>
  <c r="AF191" i="8" s="1"/>
  <c r="EG168" i="1"/>
  <c r="AB186" i="1"/>
  <c r="K180" i="8" s="1"/>
  <c r="BA97" i="1"/>
  <c r="N259" i="8" s="1"/>
  <c r="BA233" i="1"/>
  <c r="Q251" i="8" s="1"/>
  <c r="Y239" i="1"/>
  <c r="AA88" i="1"/>
  <c r="I202" i="8" s="1"/>
  <c r="BB186" i="1"/>
  <c r="P228" i="8" s="1"/>
  <c r="CE30" i="1"/>
  <c r="DG94" i="1"/>
  <c r="X208" i="8" s="1"/>
  <c r="AZ170" i="1"/>
  <c r="P143" i="8" s="1"/>
  <c r="AB82" i="1"/>
  <c r="BA173" i="1"/>
  <c r="P242" i="8" s="1"/>
  <c r="AB226" i="1"/>
  <c r="BA98" i="1"/>
  <c r="N260" i="8" s="1"/>
  <c r="EF179" i="1"/>
  <c r="EH29" i="1"/>
  <c r="AB219" i="8" s="1"/>
  <c r="AA242" i="1"/>
  <c r="L212" i="8" s="1"/>
  <c r="BC136" i="1"/>
  <c r="O202" i="8" s="1"/>
  <c r="DG137" i="1"/>
  <c r="Y203" i="8" s="1"/>
  <c r="CE242" i="1"/>
  <c r="V212" i="8" s="1"/>
  <c r="BD192" i="1"/>
  <c r="P186" i="8" s="1"/>
  <c r="CC231" i="1"/>
  <c r="V249" i="8" s="1"/>
  <c r="BB236" i="1"/>
  <c r="Q230" i="8" s="1"/>
  <c r="BD185" i="1"/>
  <c r="P179" i="8" s="1"/>
  <c r="EG34" i="1"/>
  <c r="CD186" i="1"/>
  <c r="U228" i="8" s="1"/>
  <c r="DF141" i="1"/>
  <c r="Y231" i="8" s="1"/>
  <c r="BA31" i="1"/>
  <c r="DF29" i="1"/>
  <c r="Z97" i="1"/>
  <c r="I235" i="8" s="1"/>
  <c r="CD26" i="1"/>
  <c r="CF184" i="1"/>
  <c r="U178" i="8" s="1"/>
  <c r="BD225" i="1"/>
  <c r="Q174" i="8" s="1"/>
  <c r="DH171" i="1"/>
  <c r="Z168" i="8" s="1"/>
  <c r="Z184" i="1"/>
  <c r="K226" i="8" s="1"/>
  <c r="EI175" i="1"/>
  <c r="AE196" i="8" s="1"/>
  <c r="DG217" i="1"/>
  <c r="DG223" i="1"/>
  <c r="EH128" i="1"/>
  <c r="AD221" i="8" s="1"/>
  <c r="AA224" i="1"/>
  <c r="X130" i="1"/>
  <c r="J151" i="8" s="1"/>
  <c r="CD220" i="1"/>
  <c r="DG27" i="1"/>
  <c r="W193" i="8" s="1"/>
  <c r="BA124" i="1"/>
  <c r="Y169" i="1"/>
  <c r="BC227" i="1"/>
  <c r="Q200" i="8" s="1"/>
  <c r="AB217" i="1"/>
  <c r="X175" i="1"/>
  <c r="BC75" i="1"/>
  <c r="Y218" i="1"/>
  <c r="EF223" i="1"/>
  <c r="AF148" i="8" s="1"/>
  <c r="Y173" i="1"/>
  <c r="Y157" i="1" s="1"/>
  <c r="BD79" i="1"/>
  <c r="N172" i="8" s="1"/>
  <c r="DG222" i="1"/>
  <c r="BB226" i="1"/>
  <c r="BD169" i="1"/>
  <c r="AZ179" i="1"/>
  <c r="P152" i="8" s="1"/>
  <c r="CD131" i="1"/>
  <c r="T224" i="8" s="1"/>
  <c r="DG28" i="1"/>
  <c r="W194" i="8" s="1"/>
  <c r="CC131" i="1"/>
  <c r="T248" i="8" s="1"/>
  <c r="EI73" i="1"/>
  <c r="DD170" i="1"/>
  <c r="CD126" i="1"/>
  <c r="AB174" i="1"/>
  <c r="AA222" i="1"/>
  <c r="X237" i="1"/>
  <c r="L159" i="8" s="1"/>
  <c r="CE239" i="1"/>
  <c r="V209" i="8" s="1"/>
  <c r="H141" i="8"/>
  <c r="DF23" i="1"/>
  <c r="W213" i="8" s="1"/>
  <c r="CC49" i="1"/>
  <c r="R260" i="8" s="1"/>
  <c r="AB87" i="1"/>
  <c r="I177" i="8" s="1"/>
  <c r="BB47" i="1"/>
  <c r="M234" i="8" s="1"/>
  <c r="BB46" i="1"/>
  <c r="M233" i="8" s="1"/>
  <c r="CD190" i="1"/>
  <c r="U232" i="8" s="1"/>
  <c r="DG237" i="1"/>
  <c r="AA207" i="8" s="1"/>
  <c r="CE189" i="1"/>
  <c r="U207" i="8" s="1"/>
  <c r="BD194" i="1"/>
  <c r="P188" i="8" s="1"/>
  <c r="CF188" i="1"/>
  <c r="U182" i="8" s="1"/>
  <c r="EG218" i="1"/>
  <c r="EG202" i="1" s="1"/>
  <c r="CD127" i="1"/>
  <c r="T220" i="8" s="1"/>
  <c r="BB43" i="1"/>
  <c r="M230" i="8" s="1"/>
  <c r="BB93" i="1"/>
  <c r="N231" i="8" s="1"/>
  <c r="Y96" i="1"/>
  <c r="X144" i="1"/>
  <c r="J162" i="8" s="1"/>
  <c r="DE88" i="1"/>
  <c r="X250" i="8" s="1"/>
  <c r="DH46" i="1"/>
  <c r="W185" i="8" s="1"/>
  <c r="AB242" i="1"/>
  <c r="L188" i="8" s="1"/>
  <c r="DG30" i="1"/>
  <c r="EJ80" i="1"/>
  <c r="CB77" i="1"/>
  <c r="CE23" i="1"/>
  <c r="AB23" i="1"/>
  <c r="H165" i="8" s="1"/>
  <c r="DD48" i="1"/>
  <c r="W163" i="8" s="1"/>
  <c r="AZ190" i="1"/>
  <c r="P160" i="8" s="1"/>
  <c r="CC46" i="1"/>
  <c r="R257" i="8" s="1"/>
  <c r="DF187" i="1"/>
  <c r="Z229" i="8" s="1"/>
  <c r="AA216" i="1"/>
  <c r="L189" i="8" s="1"/>
  <c r="BD183" i="1"/>
  <c r="P177" i="8" s="1"/>
  <c r="DE42" i="1"/>
  <c r="W253" i="8" s="1"/>
  <c r="CD98" i="1"/>
  <c r="S236" i="8" s="1"/>
  <c r="DG235" i="1"/>
  <c r="AA205" i="8" s="1"/>
  <c r="AZ45" i="1"/>
  <c r="M160" i="8" s="1"/>
  <c r="BA39" i="1"/>
  <c r="M250" i="8" s="1"/>
  <c r="DF237" i="1"/>
  <c r="AA231" i="8" s="1"/>
  <c r="CE232" i="1"/>
  <c r="V202" i="8" s="1"/>
  <c r="AB90" i="1"/>
  <c r="I180" i="8" s="1"/>
  <c r="CE234" i="1"/>
  <c r="V204" i="8" s="1"/>
  <c r="Z194" i="1"/>
  <c r="K236" i="8" s="1"/>
  <c r="CB79" i="1"/>
  <c r="S148" i="8" s="1"/>
  <c r="BB221" i="1"/>
  <c r="AA233" i="1"/>
  <c r="L203" i="8" s="1"/>
  <c r="EG216" i="1"/>
  <c r="EG200" i="1" s="1"/>
  <c r="BB97" i="1"/>
  <c r="N235" i="8" s="1"/>
  <c r="X183" i="1"/>
  <c r="K153" i="8" s="1"/>
  <c r="BB90" i="1"/>
  <c r="N228" i="8" s="1"/>
  <c r="AB88" i="1"/>
  <c r="I178" i="8" s="1"/>
  <c r="AZ32" i="1"/>
  <c r="CE28" i="1"/>
  <c r="DE98" i="1"/>
  <c r="X260" i="8" s="1"/>
  <c r="BB222" i="1"/>
  <c r="BC172" i="1"/>
  <c r="BC219" i="1"/>
  <c r="Q192" i="8" s="1"/>
  <c r="DD121" i="1"/>
  <c r="BB146" i="1"/>
  <c r="O236" i="8" s="1"/>
  <c r="CF74" i="1"/>
  <c r="S167" i="8" s="1"/>
  <c r="DD124" i="1"/>
  <c r="EG174" i="1"/>
  <c r="AE243" i="8" s="1"/>
  <c r="AA96" i="1"/>
  <c r="I210" i="8" s="1"/>
  <c r="DG188" i="1"/>
  <c r="Z206" i="8" s="1"/>
  <c r="DG143" i="1"/>
  <c r="Y209" i="8" s="1"/>
  <c r="CC137" i="1"/>
  <c r="T251" i="8" s="1"/>
  <c r="CF236" i="1"/>
  <c r="V182" i="8" s="1"/>
  <c r="DH234" i="1"/>
  <c r="CF231" i="1"/>
  <c r="V177" i="8" s="1"/>
  <c r="AB192" i="1"/>
  <c r="K186" i="8" s="1"/>
  <c r="CF24" i="1"/>
  <c r="R166" i="8" s="1"/>
  <c r="BB31" i="1"/>
  <c r="BB15" i="1" s="1"/>
  <c r="X123" i="1"/>
  <c r="J144" i="8" s="1"/>
  <c r="BA137" i="1"/>
  <c r="O251" i="8" s="1"/>
  <c r="Y97" i="1"/>
  <c r="I259" i="8" s="1"/>
  <c r="DE136" i="1"/>
  <c r="Y250" i="8" s="1"/>
  <c r="AZ175" i="1"/>
  <c r="P148" i="8" s="1"/>
  <c r="BA30" i="1"/>
  <c r="M244" i="8" s="1"/>
  <c r="X83" i="1"/>
  <c r="I152" i="8" s="1"/>
  <c r="EH34" i="1"/>
  <c r="CE124" i="1"/>
  <c r="T193" i="8" s="1"/>
  <c r="Y34" i="1"/>
  <c r="EF217" i="1"/>
  <c r="AF142" i="8" s="1"/>
  <c r="BC32" i="1"/>
  <c r="BA242" i="1"/>
  <c r="Q260" i="8" s="1"/>
  <c r="DG186" i="1"/>
  <c r="Z204" i="8" s="1"/>
  <c r="Z226" i="1"/>
  <c r="AZ219" i="1"/>
  <c r="DG121" i="1"/>
  <c r="BA146" i="1"/>
  <c r="O260" i="8" s="1"/>
  <c r="DF190" i="1"/>
  <c r="Z232" i="8" s="1"/>
  <c r="DD169" i="1"/>
  <c r="Z142" i="8" s="1"/>
  <c r="EF168" i="1"/>
  <c r="CD135" i="1"/>
  <c r="T225" i="8" s="1"/>
  <c r="BB144" i="1"/>
  <c r="O234" i="8" s="1"/>
  <c r="DG240" i="1"/>
  <c r="AA210" i="8" s="1"/>
  <c r="DD97" i="1"/>
  <c r="X163" i="8" s="1"/>
  <c r="BC185" i="1"/>
  <c r="P203" i="8" s="1"/>
  <c r="AZ34" i="1"/>
  <c r="CD146" i="1"/>
  <c r="T236" i="8" s="1"/>
  <c r="Z80" i="1"/>
  <c r="I221" i="8" s="1"/>
  <c r="CE194" i="1"/>
  <c r="U212" i="8" s="1"/>
  <c r="AB123" i="1"/>
  <c r="AZ98" i="1"/>
  <c r="N164" i="8" s="1"/>
  <c r="AB139" i="1"/>
  <c r="Y136" i="1"/>
  <c r="J250" i="8" s="1"/>
  <c r="CF25" i="1"/>
  <c r="DF188" i="1"/>
  <c r="Z230" i="8" s="1"/>
  <c r="CB24" i="1"/>
  <c r="DD171" i="1"/>
  <c r="Z144" i="8" s="1"/>
  <c r="DD220" i="1"/>
  <c r="DE130" i="1"/>
  <c r="Y247" i="8" s="1"/>
  <c r="DH31" i="1"/>
  <c r="W173" i="8" s="1"/>
  <c r="CB223" i="1"/>
  <c r="V148" i="8" s="1"/>
  <c r="AB29" i="1"/>
  <c r="H171" i="8" s="1"/>
  <c r="AB77" i="1"/>
  <c r="Y130" i="1"/>
  <c r="EF224" i="1"/>
  <c r="AF149" i="8" s="1"/>
  <c r="EJ126" i="1"/>
  <c r="BA122" i="1"/>
  <c r="EI222" i="1"/>
  <c r="AB177" i="1"/>
  <c r="EI169" i="1"/>
  <c r="EJ127" i="1"/>
  <c r="AB28" i="1"/>
  <c r="H170" i="8" s="1"/>
  <c r="AB218" i="1"/>
  <c r="EJ223" i="1"/>
  <c r="Z220" i="1"/>
  <c r="L217" i="8" s="1"/>
  <c r="X32" i="1"/>
  <c r="CD125" i="1"/>
  <c r="T218" i="8" s="1"/>
  <c r="Z24" i="1"/>
  <c r="AA221" i="1"/>
  <c r="DH28" i="1"/>
  <c r="W170" i="8" s="1"/>
  <c r="CD225" i="1"/>
  <c r="EJ73" i="1"/>
  <c r="Y129" i="1"/>
  <c r="X126" i="1"/>
  <c r="CC172" i="1"/>
  <c r="EF177" i="1"/>
  <c r="AA78" i="1"/>
  <c r="BD177" i="1"/>
  <c r="EH170" i="1"/>
  <c r="AB124" i="1"/>
  <c r="J169" i="8" s="1"/>
  <c r="DG81" i="1"/>
  <c r="BC81" i="1"/>
  <c r="BC65" i="1" s="1"/>
  <c r="CF128" i="1"/>
  <c r="EI176" i="1"/>
  <c r="Y27" i="1"/>
  <c r="CE179" i="1"/>
  <c r="CC175" i="1"/>
  <c r="EF173" i="1"/>
  <c r="X131" i="1"/>
  <c r="J152" i="8" s="1"/>
  <c r="X33" i="1"/>
  <c r="AA33" i="1"/>
  <c r="EH32" i="1"/>
  <c r="AB222" i="8" s="1"/>
  <c r="CF221" i="1"/>
  <c r="V170" i="8" s="1"/>
  <c r="EF221" i="1"/>
  <c r="AF146" i="8" s="1"/>
  <c r="BB129" i="1"/>
  <c r="O222" i="8" s="1"/>
  <c r="DE218" i="1"/>
  <c r="AA31" i="1"/>
  <c r="DD218" i="1"/>
  <c r="AA143" i="8" s="1"/>
  <c r="DD122" i="1"/>
  <c r="Y143" i="8" s="1"/>
  <c r="Y174" i="1"/>
  <c r="Y158" i="1" s="1"/>
  <c r="EF226" i="1"/>
  <c r="AF151" i="8" s="1"/>
  <c r="Z122" i="1"/>
  <c r="J215" i="8" s="1"/>
  <c r="BB77" i="1"/>
  <c r="N218" i="8" s="1"/>
  <c r="DE219" i="1"/>
  <c r="AA240" i="8" s="1"/>
  <c r="DE127" i="1"/>
  <c r="Y244" i="8" s="1"/>
  <c r="EJ123" i="1"/>
  <c r="BD224" i="1"/>
  <c r="EF219" i="1"/>
  <c r="EI75" i="1"/>
  <c r="DD221" i="1"/>
  <c r="Y78" i="1"/>
  <c r="DG33" i="1"/>
  <c r="W199" i="8" s="1"/>
  <c r="Y121" i="1"/>
  <c r="CC173" i="1"/>
  <c r="DE83" i="1"/>
  <c r="BB127" i="1"/>
  <c r="EH78" i="1"/>
  <c r="BB140" i="1"/>
  <c r="O230" i="8" s="1"/>
  <c r="Z141" i="1"/>
  <c r="J231" i="8" s="1"/>
  <c r="CF186" i="1"/>
  <c r="U180" i="8" s="1"/>
  <c r="AA80" i="1"/>
  <c r="I197" i="8" s="1"/>
  <c r="Y123" i="1"/>
  <c r="J240" i="8" s="1"/>
  <c r="BC137" i="1"/>
  <c r="O203" i="8" s="1"/>
  <c r="AB97" i="1"/>
  <c r="I187" i="8" s="1"/>
  <c r="CD73" i="1"/>
  <c r="DE94" i="1"/>
  <c r="X256" i="8" s="1"/>
  <c r="BA33" i="1"/>
  <c r="Z83" i="1"/>
  <c r="I224" i="8" s="1"/>
  <c r="CD241" i="1"/>
  <c r="V235" i="8" s="1"/>
  <c r="DG31" i="1"/>
  <c r="W197" i="8" s="1"/>
  <c r="Y172" i="1"/>
  <c r="AB227" i="1"/>
  <c r="L176" i="8" s="1"/>
  <c r="AA77" i="1"/>
  <c r="I194" i="8" s="1"/>
  <c r="Z227" i="1"/>
  <c r="L224" i="8" s="1"/>
  <c r="EJ224" i="1"/>
  <c r="AF173" i="8" s="1"/>
  <c r="EF222" i="1"/>
  <c r="AF147" i="8" s="1"/>
  <c r="BC123" i="1"/>
  <c r="Z28" i="1"/>
  <c r="H218" i="8" s="1"/>
  <c r="X75" i="1"/>
  <c r="I144" i="8" s="1"/>
  <c r="EH225" i="1"/>
  <c r="DD74" i="1"/>
  <c r="X143" i="8" s="1"/>
  <c r="AA223" i="1"/>
  <c r="L196" i="8" s="1"/>
  <c r="Y73" i="1"/>
  <c r="EH124" i="1"/>
  <c r="AD217" i="8" s="1"/>
  <c r="Z222" i="1"/>
  <c r="DH179" i="1"/>
  <c r="Z176" i="8" s="1"/>
  <c r="EH75" i="1"/>
  <c r="AC216" i="8" s="1"/>
  <c r="CC174" i="1"/>
  <c r="CD123" i="1"/>
  <c r="T216" i="8" s="1"/>
  <c r="Z125" i="1"/>
  <c r="J218" i="8" s="1"/>
  <c r="CD129" i="1"/>
  <c r="AA25" i="1"/>
  <c r="EH121" i="1"/>
  <c r="BC177" i="1"/>
  <c r="CF227" i="1"/>
  <c r="V176" i="8" s="1"/>
  <c r="EJ79" i="1"/>
  <c r="EI170" i="1"/>
  <c r="Z131" i="1"/>
  <c r="AB121" i="1"/>
  <c r="CE172" i="1"/>
  <c r="EI177" i="1"/>
  <c r="Y124" i="1"/>
  <c r="CF121" i="1"/>
  <c r="I226" i="8"/>
  <c r="Z38" i="1"/>
  <c r="AA47" i="1"/>
  <c r="H210" i="8" s="1"/>
  <c r="AB39" i="1"/>
  <c r="AA46" i="1"/>
  <c r="AA42" i="1"/>
  <c r="H205" i="8" s="1"/>
  <c r="Y49" i="1"/>
  <c r="H260" i="8" s="1"/>
  <c r="Y38" i="1"/>
  <c r="Y47" i="1"/>
  <c r="H258" i="8" s="1"/>
  <c r="AA38" i="1"/>
  <c r="Z46" i="1"/>
  <c r="AA39" i="1"/>
  <c r="H202" i="8" s="1"/>
  <c r="AB44" i="1"/>
  <c r="H183" i="8" s="1"/>
  <c r="Z45" i="1"/>
  <c r="H232" i="8" s="1"/>
  <c r="Z49" i="1"/>
  <c r="H236" i="8" s="1"/>
  <c r="Z47" i="1"/>
  <c r="Y46" i="1"/>
  <c r="AB46" i="1"/>
  <c r="H185" i="8" s="1"/>
  <c r="AB38" i="1"/>
  <c r="H177" i="8" s="1"/>
  <c r="Y45" i="1"/>
  <c r="Y41" i="1"/>
  <c r="H252" i="8" s="1"/>
  <c r="Y43" i="1"/>
  <c r="Y40" i="1"/>
  <c r="H251" i="8" s="1"/>
  <c r="Z40" i="1"/>
  <c r="H227" i="8" s="1"/>
  <c r="AA43" i="1"/>
  <c r="Z48" i="1"/>
  <c r="H235" i="8" s="1"/>
  <c r="AA44" i="1"/>
  <c r="H207" i="8" s="1"/>
  <c r="Y48" i="1"/>
  <c r="H259" i="8" s="1"/>
  <c r="AB41" i="1"/>
  <c r="Z44" i="1"/>
  <c r="H231" i="8" s="1"/>
  <c r="AB45" i="1"/>
  <c r="H184" i="8" s="1"/>
  <c r="AA48" i="1"/>
  <c r="H211" i="8" s="1"/>
  <c r="Y42" i="1"/>
  <c r="H253" i="8" s="1"/>
  <c r="Z43" i="1"/>
  <c r="H230" i="8" s="1"/>
  <c r="AA40" i="1"/>
  <c r="H203" i="8" s="1"/>
  <c r="AA49" i="1"/>
  <c r="H212" i="8" s="1"/>
  <c r="AB47" i="1"/>
  <c r="H186" i="8" s="1"/>
  <c r="Y44" i="1"/>
  <c r="H255" i="8" s="1"/>
  <c r="AB49" i="1"/>
  <c r="Q179" i="8"/>
  <c r="I250" i="8"/>
  <c r="AA180" i="8"/>
  <c r="Y39" i="1"/>
  <c r="AA45" i="1"/>
  <c r="AB43" i="1"/>
  <c r="H182" i="8" s="1"/>
  <c r="Z42" i="1"/>
  <c r="H229" i="8" s="1"/>
  <c r="Z39" i="1"/>
  <c r="H226" i="8" s="1"/>
  <c r="AB48" i="1"/>
  <c r="Z41" i="1"/>
  <c r="H228" i="8" s="1"/>
  <c r="AA41" i="1"/>
  <c r="H204" i="8" s="1"/>
  <c r="AB40" i="1"/>
  <c r="EG90" i="1"/>
  <c r="AC252" i="8" s="1"/>
  <c r="EH233" i="1"/>
  <c r="AF227" i="8" s="1"/>
  <c r="EJ136" i="1"/>
  <c r="AD178" i="8" s="1"/>
  <c r="EJ135" i="1"/>
  <c r="AD177" i="8" s="1"/>
  <c r="S210" i="8"/>
  <c r="H221" i="8"/>
  <c r="O214" i="8"/>
  <c r="T230" i="8"/>
  <c r="O212" i="8"/>
  <c r="EJ240" i="1"/>
  <c r="AF186" i="8" s="1"/>
  <c r="EJ141" i="1"/>
  <c r="AD183" i="8" s="1"/>
  <c r="EH141" i="1"/>
  <c r="AD231" i="8" s="1"/>
  <c r="I225" i="8"/>
  <c r="J187" i="8"/>
  <c r="K196" i="8"/>
  <c r="EI232" i="1"/>
  <c r="AF202" i="8" s="1"/>
  <c r="EI136" i="1"/>
  <c r="AD202" i="8" s="1"/>
  <c r="Z249" i="8"/>
  <c r="AD147" i="8"/>
  <c r="AB147" i="8"/>
  <c r="Y146" i="8"/>
  <c r="EF141" i="1"/>
  <c r="AD159" i="8" s="1"/>
  <c r="EH238" i="1"/>
  <c r="AF232" i="8" s="1"/>
  <c r="EJ194" i="1"/>
  <c r="AE188" i="8" s="1"/>
  <c r="EI238" i="1"/>
  <c r="AF208" i="8" s="1"/>
  <c r="T182" i="8"/>
  <c r="EJ143" i="1"/>
  <c r="AD185" i="8" s="1"/>
  <c r="EI38" i="1"/>
  <c r="AB201" i="8" s="1"/>
  <c r="EH234" i="1"/>
  <c r="AF228" i="8" s="1"/>
  <c r="EI87" i="1"/>
  <c r="AC201" i="8" s="1"/>
  <c r="EG193" i="1"/>
  <c r="AE259" i="8" s="1"/>
  <c r="EI184" i="1"/>
  <c r="AE202" i="8" s="1"/>
  <c r="S183" i="8"/>
  <c r="X181" i="8"/>
  <c r="EI95" i="1"/>
  <c r="AC209" i="8" s="1"/>
  <c r="S202" i="8"/>
  <c r="EJ235" i="1"/>
  <c r="AF181" i="8" s="1"/>
  <c r="Z198" i="8"/>
  <c r="EH143" i="1"/>
  <c r="AD233" i="8" s="1"/>
  <c r="V234" i="8"/>
  <c r="V255" i="8"/>
  <c r="P199" i="8"/>
  <c r="Q168" i="8"/>
  <c r="P183" i="8"/>
  <c r="Z233" i="8"/>
  <c r="V254" i="8"/>
  <c r="P205" i="8"/>
  <c r="Y158" i="8"/>
  <c r="EF139" i="1"/>
  <c r="AD157" i="8" s="1"/>
  <c r="EG139" i="1"/>
  <c r="AD253" i="8" s="1"/>
  <c r="O183" i="8"/>
  <c r="EF39" i="1"/>
  <c r="AB154" i="8" s="1"/>
  <c r="EG39" i="1"/>
  <c r="AB250" i="8" s="1"/>
  <c r="R177" i="8"/>
  <c r="K207" i="8"/>
  <c r="H164" i="8"/>
  <c r="EF233" i="1"/>
  <c r="AF155" i="8" s="1"/>
  <c r="EJ233" i="1"/>
  <c r="AF179" i="8" s="1"/>
  <c r="EI233" i="1"/>
  <c r="AF203" i="8" s="1"/>
  <c r="W187" i="8"/>
  <c r="EH235" i="1"/>
  <c r="AF229" i="8" s="1"/>
  <c r="P159" i="8"/>
  <c r="EH239" i="1"/>
  <c r="AF233" i="8" s="1"/>
  <c r="EI239" i="1"/>
  <c r="AF209" i="8" s="1"/>
  <c r="EJ239" i="1"/>
  <c r="AF185" i="8" s="1"/>
  <c r="EJ210" i="1"/>
  <c r="EJ90" i="1"/>
  <c r="AC180" i="8" s="1"/>
  <c r="EH232" i="1"/>
  <c r="AF226" i="8" s="1"/>
  <c r="AD240" i="8"/>
  <c r="N190" i="8"/>
  <c r="EH96" i="1"/>
  <c r="AC234" i="8" s="1"/>
  <c r="EG96" i="1"/>
  <c r="AC258" i="8" s="1"/>
  <c r="EF192" i="1"/>
  <c r="AE162" i="8" s="1"/>
  <c r="EJ192" i="1"/>
  <c r="AE186" i="8" s="1"/>
  <c r="EH97" i="1"/>
  <c r="AC235" i="8" s="1"/>
  <c r="Q242" i="8"/>
  <c r="EI242" i="1"/>
  <c r="AF212" i="8" s="1"/>
  <c r="EJ242" i="1"/>
  <c r="AF188" i="8" s="1"/>
  <c r="P182" i="8"/>
  <c r="R186" i="8"/>
  <c r="EG185" i="1"/>
  <c r="AE251" i="8" s="1"/>
  <c r="EH185" i="1"/>
  <c r="AE227" i="8" s="1"/>
  <c r="EF189" i="1"/>
  <c r="AE159" i="8" s="1"/>
  <c r="EG189" i="1"/>
  <c r="AE255" i="8" s="1"/>
  <c r="EH189" i="1"/>
  <c r="AE231" i="8" s="1"/>
  <c r="EI188" i="1"/>
  <c r="AE206" i="8" s="1"/>
  <c r="EH188" i="1"/>
  <c r="AE230" i="8" s="1"/>
  <c r="Y256" i="8"/>
  <c r="EH240" i="1"/>
  <c r="AF234" i="8" s="1"/>
  <c r="EG240" i="1"/>
  <c r="AF258" i="8" s="1"/>
  <c r="EI240" i="1"/>
  <c r="AF210" i="8" s="1"/>
  <c r="EF47" i="1"/>
  <c r="AB162" i="8" s="1"/>
  <c r="EH47" i="1"/>
  <c r="AB234" i="8" s="1"/>
  <c r="Q236" i="8"/>
  <c r="S249" i="8"/>
  <c r="EG192" i="1"/>
  <c r="AE258" i="8" s="1"/>
  <c r="EF42" i="1"/>
  <c r="AB157" i="8" s="1"/>
  <c r="EG42" i="1"/>
  <c r="AB253" i="8" s="1"/>
  <c r="Z256" i="8"/>
  <c r="EI141" i="1"/>
  <c r="AD207" i="8" s="1"/>
  <c r="AB200" i="8"/>
  <c r="EJ185" i="1"/>
  <c r="AE179" i="8" s="1"/>
  <c r="AA179" i="8"/>
  <c r="H156" i="8"/>
  <c r="M256" i="8"/>
  <c r="EI47" i="1"/>
  <c r="AB210" i="8" s="1"/>
  <c r="EF97" i="1"/>
  <c r="AC163" i="8" s="1"/>
  <c r="EJ97" i="1"/>
  <c r="AC187" i="8" s="1"/>
  <c r="EG97" i="1"/>
  <c r="AC259" i="8" s="1"/>
  <c r="P234" i="8"/>
  <c r="EI192" i="1"/>
  <c r="AE210" i="8" s="1"/>
  <c r="EG242" i="1"/>
  <c r="EJ96" i="1"/>
  <c r="AC186" i="8" s="1"/>
  <c r="EH192" i="1"/>
  <c r="AE234" i="8" s="1"/>
  <c r="EF242" i="1"/>
  <c r="AF164" i="8" s="1"/>
  <c r="Q160" i="8"/>
  <c r="Q232" i="8"/>
  <c r="AD213" i="8"/>
  <c r="H162" i="8"/>
  <c r="EJ145" i="1"/>
  <c r="AD187" i="8" s="1"/>
  <c r="EG145" i="1"/>
  <c r="AD259" i="8" s="1"/>
  <c r="EI145" i="1"/>
  <c r="AD211" i="8" s="1"/>
  <c r="EH145" i="1"/>
  <c r="AD235" i="8" s="1"/>
  <c r="R153" i="8"/>
  <c r="EG47" i="1"/>
  <c r="AB258" i="8" s="1"/>
  <c r="N234" i="8"/>
  <c r="M173" i="8"/>
  <c r="M202" i="8"/>
  <c r="U253" i="8"/>
  <c r="EH193" i="1"/>
  <c r="AE235" i="8" s="1"/>
  <c r="EI193" i="1"/>
  <c r="AE211" i="8" s="1"/>
  <c r="X253" i="8"/>
  <c r="Y223" i="8"/>
  <c r="EF92" i="1"/>
  <c r="AC158" i="8" s="1"/>
  <c r="EH183" i="1"/>
  <c r="AE225" i="8" s="1"/>
  <c r="AA216" i="8"/>
  <c r="M162" i="8"/>
  <c r="EI183" i="1"/>
  <c r="AE201" i="8" s="1"/>
  <c r="EF90" i="1"/>
  <c r="AC156" i="8" s="1"/>
  <c r="EJ139" i="1"/>
  <c r="AD181" i="8" s="1"/>
  <c r="EG48" i="1"/>
  <c r="AB259" i="8" s="1"/>
  <c r="M154" i="8"/>
  <c r="EF235" i="1"/>
  <c r="AF157" i="8" s="1"/>
  <c r="EJ48" i="1"/>
  <c r="AB187" i="8" s="1"/>
  <c r="EH48" i="1"/>
  <c r="AB235" i="8" s="1"/>
  <c r="EF48" i="1"/>
  <c r="AB163" i="8" s="1"/>
  <c r="W256" i="8"/>
  <c r="EH40" i="1"/>
  <c r="AB227" i="8" s="1"/>
  <c r="EI40" i="1"/>
  <c r="AB203" i="8" s="1"/>
  <c r="EG40" i="1"/>
  <c r="AB251" i="8" s="1"/>
  <c r="AA202" i="8"/>
  <c r="J212" i="8"/>
  <c r="R178" i="8"/>
  <c r="R154" i="8"/>
  <c r="EG93" i="1"/>
  <c r="AC255" i="8" s="1"/>
  <c r="EF93" i="1"/>
  <c r="AC159" i="8" s="1"/>
  <c r="M241" i="8"/>
  <c r="U231" i="8"/>
  <c r="H163" i="8"/>
  <c r="T187" i="8"/>
  <c r="M197" i="8"/>
  <c r="Q225" i="8"/>
  <c r="K223" i="8"/>
  <c r="U227" i="8"/>
  <c r="EH144" i="1"/>
  <c r="AD234" i="8" s="1"/>
  <c r="EG144" i="1"/>
  <c r="AD258" i="8" s="1"/>
  <c r="I245" i="8"/>
  <c r="N224" i="8"/>
  <c r="N216" i="8"/>
  <c r="EJ140" i="1"/>
  <c r="AD182" i="8" s="1"/>
  <c r="EH140" i="1"/>
  <c r="AD230" i="8" s="1"/>
  <c r="H158" i="8"/>
  <c r="T226" i="8"/>
  <c r="T202" i="8"/>
  <c r="I247" i="8"/>
  <c r="S175" i="8"/>
  <c r="I231" i="8"/>
  <c r="EJ237" i="1"/>
  <c r="AF183" i="8" s="1"/>
  <c r="EH237" i="1"/>
  <c r="AF231" i="8" s="1"/>
  <c r="EG237" i="1"/>
  <c r="AF255" i="8" s="1"/>
  <c r="T198" i="8"/>
  <c r="H155" i="8"/>
  <c r="O221" i="8"/>
  <c r="W191" i="8"/>
  <c r="W198" i="8"/>
  <c r="U176" i="8"/>
  <c r="S163" i="8"/>
  <c r="V178" i="8"/>
  <c r="R259" i="8"/>
  <c r="EJ47" i="1"/>
  <c r="AB186" i="8" s="1"/>
  <c r="Y201" i="8"/>
  <c r="Q210" i="8"/>
  <c r="Q186" i="8"/>
  <c r="O235" i="8"/>
  <c r="I171" i="8"/>
  <c r="T201" i="8"/>
  <c r="U206" i="8"/>
  <c r="Z235" i="8"/>
  <c r="Z187" i="8"/>
  <c r="AA258" i="8"/>
  <c r="L255" i="8"/>
  <c r="I211" i="8"/>
  <c r="R206" i="8"/>
  <c r="N159" i="8"/>
  <c r="R192" i="8"/>
  <c r="R191" i="8"/>
  <c r="EJ41" i="1"/>
  <c r="EI41" i="1"/>
  <c r="AB204" i="8" s="1"/>
  <c r="AE199" i="8"/>
  <c r="X225" i="8"/>
  <c r="N153" i="8"/>
  <c r="S233" i="8"/>
  <c r="X212" i="8"/>
  <c r="O145" i="8"/>
  <c r="L163" i="8"/>
  <c r="K164" i="8"/>
  <c r="AA141" i="8"/>
  <c r="M225" i="8"/>
  <c r="EG41" i="1"/>
  <c r="AB252" i="8" s="1"/>
  <c r="P145" i="8"/>
  <c r="Y185" i="8"/>
  <c r="K256" i="8"/>
  <c r="R204" i="8"/>
  <c r="H154" i="8"/>
  <c r="K247" i="8"/>
  <c r="I260" i="8"/>
  <c r="Z183" i="8"/>
  <c r="AE172" i="8"/>
  <c r="EJ91" i="1"/>
  <c r="AC181" i="8" s="1"/>
  <c r="EI91" i="1"/>
  <c r="AC205" i="8" s="1"/>
  <c r="K235" i="8"/>
  <c r="K187" i="8"/>
  <c r="P244" i="8"/>
  <c r="Z218" i="8"/>
  <c r="Z222" i="8"/>
  <c r="EH92" i="1"/>
  <c r="AC230" i="8" s="1"/>
  <c r="P250" i="8"/>
  <c r="EF95" i="1"/>
  <c r="AC161" i="8" s="1"/>
  <c r="EF193" i="1"/>
  <c r="AE163" i="8" s="1"/>
  <c r="AA259" i="8"/>
  <c r="AA225" i="8"/>
  <c r="V257" i="8"/>
  <c r="EH95" i="1"/>
  <c r="AC233" i="8" s="1"/>
  <c r="EF143" i="1"/>
  <c r="AD161" i="8" s="1"/>
  <c r="EG143" i="1"/>
  <c r="AD257" i="8" s="1"/>
  <c r="DH104" i="1"/>
  <c r="Y165" i="8"/>
  <c r="AC165" i="8"/>
  <c r="M205" i="8"/>
  <c r="M181" i="8"/>
  <c r="AA253" i="8"/>
  <c r="EJ43" i="1"/>
  <c r="AB182" i="8" s="1"/>
  <c r="EG43" i="1"/>
  <c r="AB254" i="8" s="1"/>
  <c r="EH43" i="1"/>
  <c r="AB230" i="8" s="1"/>
  <c r="EI43" i="1"/>
  <c r="AB206" i="8" s="1"/>
  <c r="EJ88" i="1"/>
  <c r="AC178" i="8" s="1"/>
  <c r="EH88" i="1"/>
  <c r="AC226" i="8" s="1"/>
  <c r="EF88" i="1"/>
  <c r="AC154" i="8" s="1"/>
  <c r="EI88" i="1"/>
  <c r="AC202" i="8" s="1"/>
  <c r="EG88" i="1"/>
  <c r="AC250" i="8" s="1"/>
  <c r="S244" i="8"/>
  <c r="T196" i="8"/>
  <c r="M243" i="8"/>
  <c r="W161" i="8"/>
  <c r="I232" i="8"/>
  <c r="EH98" i="1"/>
  <c r="AC236" i="8" s="1"/>
  <c r="EI98" i="1"/>
  <c r="AC212" i="8" s="1"/>
  <c r="EG98" i="1"/>
  <c r="AC260" i="8" s="1"/>
  <c r="EH42" i="1"/>
  <c r="AB229" i="8" s="1"/>
  <c r="EJ42" i="1"/>
  <c r="AB181" i="8" s="1"/>
  <c r="EI42" i="1"/>
  <c r="AB205" i="8" s="1"/>
  <c r="EI142" i="1"/>
  <c r="AD208" i="8" s="1"/>
  <c r="EF142" i="1"/>
  <c r="AD160" i="8" s="1"/>
  <c r="EG142" i="1"/>
  <c r="AD256" i="8" s="1"/>
  <c r="EG191" i="1"/>
  <c r="AE257" i="8" s="1"/>
  <c r="EI191" i="1"/>
  <c r="AE209" i="8" s="1"/>
  <c r="J251" i="8"/>
  <c r="EH93" i="1"/>
  <c r="AC231" i="8" s="1"/>
  <c r="EI93" i="1"/>
  <c r="AC207" i="8" s="1"/>
  <c r="Z226" i="8"/>
  <c r="X209" i="8"/>
  <c r="EF236" i="1"/>
  <c r="EJ236" i="1"/>
  <c r="AF182" i="8" s="1"/>
  <c r="EI236" i="1"/>
  <c r="AF206" i="8" s="1"/>
  <c r="EH236" i="1"/>
  <c r="AF230" i="8" s="1"/>
  <c r="V253" i="8"/>
  <c r="V229" i="8"/>
  <c r="EJ49" i="1"/>
  <c r="AB188" i="8" s="1"/>
  <c r="EG49" i="1"/>
  <c r="AB260" i="8" s="1"/>
  <c r="EH49" i="1"/>
  <c r="AB236" i="8" s="1"/>
  <c r="EI49" i="1"/>
  <c r="AB212" i="8" s="1"/>
  <c r="AA159" i="8"/>
  <c r="AA254" i="8"/>
  <c r="N205" i="8"/>
  <c r="L185" i="8"/>
  <c r="EH89" i="1"/>
  <c r="AC227" i="8" s="1"/>
  <c r="EI89" i="1"/>
  <c r="AC203" i="8" s="1"/>
  <c r="EJ89" i="1"/>
  <c r="AC179" i="8" s="1"/>
  <c r="EG89" i="1"/>
  <c r="AC251" i="8" s="1"/>
  <c r="EH142" i="1"/>
  <c r="AD232" i="8" s="1"/>
  <c r="EF191" i="1"/>
  <c r="AE161" i="8" s="1"/>
  <c r="Q206" i="8"/>
  <c r="EJ93" i="1"/>
  <c r="AC183" i="8" s="1"/>
  <c r="S221" i="8"/>
  <c r="O154" i="8"/>
  <c r="O178" i="8"/>
  <c r="O250" i="8"/>
  <c r="EF186" i="1"/>
  <c r="AE156" i="8" s="1"/>
  <c r="EJ186" i="1"/>
  <c r="AE180" i="8" s="1"/>
  <c r="EH186" i="1"/>
  <c r="AE228" i="8" s="1"/>
  <c r="EG186" i="1"/>
  <c r="AE252" i="8" s="1"/>
  <c r="U252" i="8"/>
  <c r="EJ98" i="1"/>
  <c r="AC188" i="8" s="1"/>
  <c r="EI146" i="1"/>
  <c r="AD212" i="8" s="1"/>
  <c r="EG146" i="1"/>
  <c r="AD260" i="8" s="1"/>
  <c r="EJ146" i="1"/>
  <c r="AD188" i="8" s="1"/>
  <c r="EH146" i="1"/>
  <c r="AD236" i="8" s="1"/>
  <c r="EI39" i="1"/>
  <c r="AB202" i="8" s="1"/>
  <c r="EJ39" i="1"/>
  <c r="AB178" i="8" s="1"/>
  <c r="EH39" i="1"/>
  <c r="AB226" i="8" s="1"/>
  <c r="W260" i="8"/>
  <c r="EI186" i="1"/>
  <c r="AE204" i="8" s="1"/>
  <c r="J207" i="8"/>
  <c r="J234" i="8"/>
  <c r="O225" i="8"/>
  <c r="O254" i="8"/>
  <c r="EH191" i="1"/>
  <c r="AE233" i="8" s="1"/>
  <c r="U224" i="8"/>
  <c r="CD163" i="1"/>
  <c r="T146" i="8"/>
  <c r="T207" i="8"/>
  <c r="J165" i="8"/>
  <c r="EG187" i="1"/>
  <c r="AE253" i="8" s="1"/>
  <c r="EF187" i="1"/>
  <c r="AE157" i="8" s="1"/>
  <c r="EI187" i="1"/>
  <c r="AE205" i="8" s="1"/>
  <c r="L158" i="8"/>
  <c r="EF231" i="1"/>
  <c r="AF153" i="8" s="1"/>
  <c r="EI231" i="1"/>
  <c r="AF201" i="8" s="1"/>
  <c r="K225" i="8"/>
  <c r="EI46" i="1"/>
  <c r="AB209" i="8" s="1"/>
  <c r="EH46" i="1"/>
  <c r="AB233" i="8" s="1"/>
  <c r="EG46" i="1"/>
  <c r="AB257" i="8" s="1"/>
  <c r="EF46" i="1"/>
  <c r="AB161" i="8" s="1"/>
  <c r="O228" i="8"/>
  <c r="EF38" i="1"/>
  <c r="AB153" i="8" s="1"/>
  <c r="S229" i="8"/>
  <c r="EG44" i="1"/>
  <c r="AB255" i="8" s="1"/>
  <c r="EF44" i="1"/>
  <c r="AB159" i="8" s="1"/>
  <c r="EJ44" i="1"/>
  <c r="AB183" i="8" s="1"/>
  <c r="L164" i="8"/>
  <c r="EI185" i="1"/>
  <c r="AE203" i="8" s="1"/>
  <c r="J209" i="8"/>
  <c r="AF168" i="8"/>
  <c r="EI139" i="1"/>
  <c r="AD205" i="8" s="1"/>
  <c r="EH139" i="1"/>
  <c r="AD229" i="8" s="1"/>
  <c r="EH38" i="1"/>
  <c r="AB225" i="8" s="1"/>
  <c r="L201" i="8"/>
  <c r="S162" i="8"/>
  <c r="M187" i="8"/>
  <c r="Y153" i="8"/>
  <c r="H160" i="8"/>
  <c r="EG94" i="1"/>
  <c r="AC256" i="8" s="1"/>
  <c r="Z228" i="8"/>
  <c r="EH45" i="1"/>
  <c r="AB232" i="8" s="1"/>
  <c r="EJ45" i="1"/>
  <c r="AB184" i="8" s="1"/>
  <c r="EF45" i="1"/>
  <c r="AB160" i="8" s="1"/>
  <c r="EG45" i="1"/>
  <c r="AB256" i="8" s="1"/>
  <c r="EF91" i="1"/>
  <c r="AC157" i="8" s="1"/>
  <c r="EG92" i="1"/>
  <c r="AC254" i="8" s="1"/>
  <c r="M185" i="8"/>
  <c r="EF239" i="1"/>
  <c r="AF161" i="8" s="1"/>
  <c r="EG239" i="1"/>
  <c r="AF257" i="8" s="1"/>
  <c r="U234" i="8"/>
  <c r="EH90" i="1"/>
  <c r="AC228" i="8" s="1"/>
  <c r="AF141" i="8"/>
  <c r="M227" i="8"/>
  <c r="M203" i="8"/>
  <c r="M179" i="8"/>
  <c r="EH187" i="1"/>
  <c r="AE229" i="8" s="1"/>
  <c r="R255" i="8"/>
  <c r="W234" i="8"/>
  <c r="H161" i="8"/>
  <c r="DD200" i="1"/>
  <c r="EF96" i="1"/>
  <c r="AC162" i="8" s="1"/>
  <c r="EH44" i="1"/>
  <c r="AB231" i="8" s="1"/>
  <c r="EF185" i="1"/>
  <c r="AE155" i="8" s="1"/>
  <c r="EI234" i="1"/>
  <c r="AF204" i="8" s="1"/>
  <c r="EI44" i="1"/>
  <c r="AB207" i="8" s="1"/>
  <c r="EI235" i="1"/>
  <c r="AF205" i="8" s="1"/>
  <c r="S191" i="8"/>
  <c r="N170" i="8"/>
  <c r="I181" i="8"/>
  <c r="EF41" i="1"/>
  <c r="AB156" i="8" s="1"/>
  <c r="U161" i="8"/>
  <c r="J182" i="8"/>
  <c r="AA256" i="8"/>
  <c r="Q184" i="8"/>
  <c r="Q250" i="8"/>
  <c r="U158" i="8"/>
  <c r="EJ92" i="1"/>
  <c r="AC182" i="8" s="1"/>
  <c r="W211" i="8"/>
  <c r="EJ38" i="1"/>
  <c r="AB177" i="8" s="1"/>
  <c r="H153" i="8"/>
  <c r="EF194" i="1"/>
  <c r="AE164" i="8" s="1"/>
  <c r="EG194" i="1"/>
  <c r="AE260" i="8" s="1"/>
  <c r="V208" i="8"/>
  <c r="AB168" i="8"/>
  <c r="K162" i="8"/>
  <c r="Y255" i="8"/>
  <c r="AA226" i="8"/>
  <c r="V180" i="8"/>
  <c r="N187" i="8"/>
  <c r="EI137" i="1"/>
  <c r="AD203" i="8" s="1"/>
  <c r="EF137" i="1"/>
  <c r="AD155" i="8" s="1"/>
  <c r="EG137" i="1"/>
  <c r="AD251" i="8" s="1"/>
  <c r="EH137" i="1"/>
  <c r="AD227" i="8" s="1"/>
  <c r="EG91" i="1"/>
  <c r="AC253" i="8" s="1"/>
  <c r="Y227" i="8"/>
  <c r="EG190" i="1"/>
  <c r="AE256" i="8" s="1"/>
  <c r="EH190" i="1"/>
  <c r="AE232" i="8" s="1"/>
  <c r="EF190" i="1"/>
  <c r="AE160" i="8" s="1"/>
  <c r="P157" i="8"/>
  <c r="R231" i="8"/>
  <c r="N250" i="8"/>
  <c r="P259" i="8"/>
  <c r="EF144" i="1"/>
  <c r="AD162" i="8" s="1"/>
  <c r="EJ144" i="1"/>
  <c r="AD186" i="8" s="1"/>
  <c r="EG140" i="1"/>
  <c r="AD254" i="8" s="1"/>
  <c r="N184" i="8"/>
  <c r="AA185" i="8"/>
  <c r="EJ46" i="1"/>
  <c r="AB185" i="8" s="1"/>
  <c r="EJ234" i="1"/>
  <c r="AF180" i="8" s="1"/>
  <c r="X182" i="8"/>
  <c r="X230" i="8"/>
  <c r="S158" i="8"/>
  <c r="S230" i="8"/>
  <c r="V225" i="8"/>
  <c r="EH41" i="1"/>
  <c r="AB228" i="8" s="1"/>
  <c r="EF40" i="1"/>
  <c r="AB155" i="8" s="1"/>
  <c r="EI237" i="1"/>
  <c r="AF207" i="8" s="1"/>
  <c r="EH194" i="1"/>
  <c r="AE236" i="8" s="1"/>
  <c r="EF184" i="1"/>
  <c r="AE154" i="8" s="1"/>
  <c r="U188" i="8"/>
  <c r="O157" i="8"/>
  <c r="EG238" i="1"/>
  <c r="AF256" i="8" s="1"/>
  <c r="P258" i="8"/>
  <c r="EH184" i="1"/>
  <c r="AE226" i="8" s="1"/>
  <c r="EH231" i="1"/>
  <c r="AF225" i="8" s="1"/>
  <c r="U250" i="8"/>
  <c r="K213" i="8"/>
  <c r="EJ187" i="1"/>
  <c r="AE181" i="8" s="1"/>
  <c r="EI189" i="1"/>
  <c r="AE207" i="8" s="1"/>
  <c r="AA156" i="8"/>
  <c r="EF241" i="1"/>
  <c r="AF163" i="8" s="1"/>
  <c r="EG241" i="1"/>
  <c r="AF259" i="8" s="1"/>
  <c r="EH241" i="1"/>
  <c r="AF235" i="8" s="1"/>
  <c r="AA177" i="8"/>
  <c r="EJ137" i="1"/>
  <c r="AD179" i="8" s="1"/>
  <c r="V198" i="8"/>
  <c r="EI190" i="1"/>
  <c r="AE208" i="8" s="1"/>
  <c r="AA228" i="8"/>
  <c r="U167" i="8"/>
  <c r="EF140" i="1"/>
  <c r="AD158" i="8" s="1"/>
  <c r="Y155" i="8"/>
  <c r="I151" i="8"/>
  <c r="P146" i="8"/>
  <c r="U201" i="8"/>
  <c r="N226" i="8"/>
  <c r="P210" i="8"/>
  <c r="EG234" i="1"/>
  <c r="AF252" i="8" s="1"/>
  <c r="T252" i="8"/>
  <c r="X184" i="8"/>
  <c r="AA145" i="8"/>
  <c r="Q248" i="8"/>
  <c r="EG95" i="1"/>
  <c r="AC257" i="8" s="1"/>
  <c r="EI144" i="1"/>
  <c r="AD210" i="8" s="1"/>
  <c r="S187" i="8"/>
  <c r="M164" i="8"/>
  <c r="X162" i="8"/>
  <c r="T153" i="8"/>
  <c r="AE169" i="8"/>
  <c r="S226" i="8"/>
  <c r="EF237" i="1"/>
  <c r="AF159" i="8" s="1"/>
  <c r="M158" i="8"/>
  <c r="M254" i="8"/>
  <c r="EH87" i="1"/>
  <c r="AC225" i="8" s="1"/>
  <c r="EF87" i="1"/>
  <c r="AC153" i="8" s="1"/>
  <c r="EJ87" i="1"/>
  <c r="AC177" i="8" s="1"/>
  <c r="EG232" i="1"/>
  <c r="AF250" i="8" s="1"/>
  <c r="EI135" i="1"/>
  <c r="AD201" i="8" s="1"/>
  <c r="EF135" i="1"/>
  <c r="AD153" i="8" s="1"/>
  <c r="EG135" i="1"/>
  <c r="AD249" i="8" s="1"/>
  <c r="EH94" i="1"/>
  <c r="AC232" i="8" s="1"/>
  <c r="EF94" i="1"/>
  <c r="AC160" i="8" s="1"/>
  <c r="O161" i="8"/>
  <c r="K257" i="8"/>
  <c r="K161" i="8"/>
  <c r="EJ183" i="1"/>
  <c r="AE177" i="8" s="1"/>
  <c r="EF183" i="1"/>
  <c r="AE153" i="8" s="1"/>
  <c r="EJ231" i="1"/>
  <c r="AF177" i="8" s="1"/>
  <c r="Q226" i="8"/>
  <c r="EJ232" i="1"/>
  <c r="AF178" i="8" s="1"/>
  <c r="M177" i="8"/>
  <c r="M178" i="8"/>
  <c r="EI140" i="1"/>
  <c r="AD206" i="8" s="1"/>
  <c r="EJ188" i="1"/>
  <c r="AE182" i="8" s="1"/>
  <c r="EF188" i="1"/>
  <c r="AE158" i="8" s="1"/>
  <c r="EJ184" i="1"/>
  <c r="AE178" i="8" s="1"/>
  <c r="Y162" i="8"/>
  <c r="K199" i="8"/>
  <c r="EF138" i="1"/>
  <c r="AD156" i="8" s="1"/>
  <c r="EH138" i="1"/>
  <c r="AD228" i="8" s="1"/>
  <c r="EI241" i="1"/>
  <c r="AF211" i="8" s="1"/>
  <c r="EI138" i="1"/>
  <c r="AD204" i="8" s="1"/>
  <c r="W210" i="8"/>
  <c r="EI94" i="1"/>
  <c r="AC208" i="8" s="1"/>
  <c r="O176" i="8" l="1"/>
  <c r="G154" i="8"/>
  <c r="G202" i="8"/>
  <c r="G163" i="8"/>
  <c r="Z200" i="1"/>
  <c r="G210" i="8"/>
  <c r="G253" i="8"/>
  <c r="G153" i="8"/>
  <c r="G155" i="8"/>
  <c r="G161" i="8"/>
  <c r="Z15" i="1"/>
  <c r="G162" i="8"/>
  <c r="G207" i="8"/>
  <c r="G212" i="8"/>
  <c r="G177" i="8"/>
  <c r="G156" i="8"/>
  <c r="G184" i="8"/>
  <c r="G186" i="8"/>
  <c r="G183" i="8"/>
  <c r="F35" i="5"/>
  <c r="L227" i="8"/>
  <c r="AB57" i="1"/>
  <c r="Z57" i="1"/>
  <c r="Y156" i="1"/>
  <c r="DE114" i="1"/>
  <c r="AE200" i="8"/>
  <c r="EH201" i="1"/>
  <c r="AA162" i="1"/>
  <c r="BD160" i="1"/>
  <c r="P248" i="8"/>
  <c r="CF154" i="1"/>
  <c r="Y56" i="1"/>
  <c r="P185" i="8"/>
  <c r="G185" i="8" s="1"/>
  <c r="DD159" i="1"/>
  <c r="S164" i="8"/>
  <c r="G164" i="8" s="1"/>
  <c r="CB67" i="1"/>
  <c r="AZ17" i="1"/>
  <c r="M151" i="8"/>
  <c r="AD226" i="8"/>
  <c r="EH105" i="1"/>
  <c r="CB209" i="1"/>
  <c r="L213" i="8"/>
  <c r="K242" i="8"/>
  <c r="Y7" i="1"/>
  <c r="Y65" i="1"/>
  <c r="I258" i="8"/>
  <c r="DF154" i="1"/>
  <c r="DD108" i="1"/>
  <c r="AA7" i="1"/>
  <c r="Y145" i="8"/>
  <c r="K211" i="8"/>
  <c r="G211" i="8" s="1"/>
  <c r="DH204" i="1"/>
  <c r="BA211" i="1"/>
  <c r="CE61" i="1"/>
  <c r="EJ104" i="1"/>
  <c r="BA200" i="1"/>
  <c r="Y18" i="1"/>
  <c r="Z105" i="1"/>
  <c r="AA169" i="8"/>
  <c r="X56" i="1"/>
  <c r="Z160" i="8"/>
  <c r="G160" i="8" s="1"/>
  <c r="AC199" i="8"/>
  <c r="EG209" i="1"/>
  <c r="CF115" i="1"/>
  <c r="Z12" i="1"/>
  <c r="X155" i="1"/>
  <c r="Z153" i="1"/>
  <c r="H201" i="8"/>
  <c r="G201" i="8" s="1"/>
  <c r="Y200" i="1"/>
  <c r="AB152" i="1"/>
  <c r="K144" i="8"/>
  <c r="CB203" i="1"/>
  <c r="AD152" i="8"/>
  <c r="X7" i="1"/>
  <c r="J214" i="8"/>
  <c r="CD106" i="1"/>
  <c r="DE202" i="1"/>
  <c r="BB113" i="1"/>
  <c r="BC16" i="1"/>
  <c r="Z109" i="1"/>
  <c r="CC108" i="1"/>
  <c r="AZ163" i="1"/>
  <c r="CE209" i="1"/>
  <c r="BA60" i="1"/>
  <c r="Z203" i="1"/>
  <c r="AF239" i="8"/>
  <c r="DE203" i="1"/>
  <c r="AB56" i="1"/>
  <c r="Z60" i="1"/>
  <c r="M198" i="8"/>
  <c r="Y57" i="1"/>
  <c r="EH110" i="1"/>
  <c r="CE211" i="1"/>
  <c r="P173" i="8"/>
  <c r="Z112" i="1"/>
  <c r="DH10" i="1"/>
  <c r="EF114" i="1"/>
  <c r="EF207" i="1"/>
  <c r="BD153" i="1"/>
  <c r="BD205" i="1"/>
  <c r="X13" i="1"/>
  <c r="X60" i="1"/>
  <c r="CD109" i="1"/>
  <c r="DD153" i="1"/>
  <c r="Z56" i="1"/>
  <c r="EJ159" i="1"/>
  <c r="Y104" i="1"/>
  <c r="AE242" i="8"/>
  <c r="CB204" i="1"/>
  <c r="AD214" i="8"/>
  <c r="T176" i="8"/>
  <c r="CF205" i="1"/>
  <c r="CD201" i="1"/>
  <c r="AZ115" i="1"/>
  <c r="EF8" i="1"/>
  <c r="DH160" i="1"/>
  <c r="DH14" i="1"/>
  <c r="EF202" i="1"/>
  <c r="AB18" i="1"/>
  <c r="BD203" i="1"/>
  <c r="AB7" i="1"/>
  <c r="EH115" i="1"/>
  <c r="AF175" i="8"/>
  <c r="W168" i="8"/>
  <c r="CF204" i="1"/>
  <c r="CF13" i="1"/>
  <c r="DH9" i="1"/>
  <c r="BB207" i="1"/>
  <c r="Z65" i="1"/>
  <c r="H188" i="8"/>
  <c r="G188" i="8" s="1"/>
  <c r="BC211" i="1"/>
  <c r="DF160" i="1"/>
  <c r="DH15" i="1"/>
  <c r="S152" i="8"/>
  <c r="DH163" i="1"/>
  <c r="EJ163" i="1"/>
  <c r="AZ153" i="1"/>
  <c r="AA61" i="1"/>
  <c r="S147" i="8"/>
  <c r="DE159" i="1"/>
  <c r="S194" i="8"/>
  <c r="CE153" i="1"/>
  <c r="BC15" i="1"/>
  <c r="DF159" i="1"/>
  <c r="EF110" i="1"/>
  <c r="DG12" i="1"/>
  <c r="EH59" i="1"/>
  <c r="EJ156" i="1"/>
  <c r="CC13" i="1"/>
  <c r="DD56" i="1"/>
  <c r="AZ204" i="1"/>
  <c r="Z66" i="1"/>
  <c r="CC7" i="1"/>
  <c r="Z13" i="1"/>
  <c r="H219" i="8"/>
  <c r="AZ200" i="1"/>
  <c r="Z111" i="1"/>
  <c r="AZ59" i="1"/>
  <c r="BB18" i="1"/>
  <c r="EI159" i="1"/>
  <c r="DG8" i="1"/>
  <c r="EF14" i="1"/>
  <c r="L229" i="8"/>
  <c r="G229" i="8" s="1"/>
  <c r="X113" i="1"/>
  <c r="DH155" i="1"/>
  <c r="CB58" i="1"/>
  <c r="EG158" i="1"/>
  <c r="DF156" i="1"/>
  <c r="Z161" i="1"/>
  <c r="CF62" i="1"/>
  <c r="EH112" i="1"/>
  <c r="X66" i="1"/>
  <c r="DD109" i="1"/>
  <c r="DH203" i="1"/>
  <c r="Z64" i="1"/>
  <c r="BC106" i="1"/>
  <c r="K222" i="8"/>
  <c r="Z244" i="8"/>
  <c r="EI209" i="1"/>
  <c r="DH209" i="1"/>
  <c r="V144" i="8"/>
  <c r="EG208" i="1"/>
  <c r="BD11" i="1"/>
  <c r="BD211" i="1"/>
  <c r="DE201" i="1"/>
  <c r="Z215" i="8"/>
  <c r="AZ205" i="1"/>
  <c r="DF161" i="1"/>
  <c r="DF200" i="1"/>
  <c r="BA201" i="1"/>
  <c r="Z106" i="1"/>
  <c r="EI162" i="1"/>
  <c r="BC162" i="1"/>
  <c r="L231" i="8"/>
  <c r="G231" i="8" s="1"/>
  <c r="L216" i="8"/>
  <c r="CE114" i="1"/>
  <c r="BA210" i="1"/>
  <c r="EH64" i="1"/>
  <c r="EF200" i="1"/>
  <c r="AD219" i="8"/>
  <c r="DE208" i="1"/>
  <c r="H159" i="8"/>
  <c r="G159" i="8" s="1"/>
  <c r="K241" i="8"/>
  <c r="AZ67" i="1"/>
  <c r="CF17" i="1"/>
  <c r="DF7" i="1"/>
  <c r="Q145" i="8"/>
  <c r="EJ17" i="1"/>
  <c r="DG104" i="1"/>
  <c r="CD152" i="1"/>
  <c r="AZ7" i="1"/>
  <c r="DE56" i="1"/>
  <c r="X106" i="1"/>
  <c r="AA154" i="1"/>
  <c r="CF8" i="1"/>
  <c r="H248" i="8"/>
  <c r="BB114" i="1"/>
  <c r="EH106" i="1"/>
  <c r="Z217" i="8"/>
  <c r="X141" i="8"/>
  <c r="J220" i="8"/>
  <c r="L259" i="8"/>
  <c r="G259" i="8" s="1"/>
  <c r="BD202" i="1"/>
  <c r="Y17" i="1"/>
  <c r="EG107" i="1"/>
  <c r="BC157" i="1"/>
  <c r="CC12" i="1"/>
  <c r="BA156" i="1"/>
  <c r="DH201" i="1"/>
  <c r="X8" i="1"/>
  <c r="EH114" i="1"/>
  <c r="EH16" i="1"/>
  <c r="R243" i="8"/>
  <c r="BA152" i="1"/>
  <c r="N144" i="8"/>
  <c r="AZ160" i="1"/>
  <c r="DH13" i="1"/>
  <c r="H233" i="8"/>
  <c r="BC156" i="1"/>
  <c r="AA65" i="1"/>
  <c r="BC67" i="1"/>
  <c r="Q237" i="8"/>
  <c r="K214" i="8"/>
  <c r="BB9" i="1"/>
  <c r="CF10" i="1"/>
  <c r="EJ208" i="1"/>
  <c r="EI208" i="1"/>
  <c r="BB107" i="1"/>
  <c r="AF237" i="8"/>
  <c r="I238" i="8"/>
  <c r="CF107" i="1"/>
  <c r="EI202" i="1"/>
  <c r="AA60" i="1"/>
  <c r="EH202" i="1"/>
  <c r="EG7" i="1"/>
  <c r="Z114" i="1"/>
  <c r="AB211" i="1"/>
  <c r="AB142" i="8"/>
  <c r="EH109" i="1"/>
  <c r="AA104" i="1"/>
  <c r="CB162" i="1"/>
  <c r="EG9" i="1"/>
  <c r="O223" i="8"/>
  <c r="BD201" i="1"/>
  <c r="I223" i="8"/>
  <c r="CE111" i="1"/>
  <c r="CC63" i="1"/>
  <c r="CD105" i="1"/>
  <c r="AZ201" i="1"/>
  <c r="X10" i="1"/>
  <c r="BA58" i="1"/>
  <c r="X62" i="1"/>
  <c r="EF59" i="1"/>
  <c r="BB66" i="1"/>
  <c r="Z204" i="1"/>
  <c r="CC18" i="1"/>
  <c r="AB16" i="1"/>
  <c r="EH156" i="1"/>
  <c r="EH162" i="1"/>
  <c r="BA62" i="1"/>
  <c r="DD58" i="1"/>
  <c r="EF13" i="1"/>
  <c r="DD112" i="1"/>
  <c r="Y59" i="1"/>
  <c r="DH202" i="1"/>
  <c r="V150" i="8"/>
  <c r="DD104" i="1"/>
  <c r="P166" i="8"/>
  <c r="BA209" i="1"/>
  <c r="AB65" i="1"/>
  <c r="BB211" i="1"/>
  <c r="EG108" i="1"/>
  <c r="K243" i="8"/>
  <c r="EF111" i="1"/>
  <c r="AA63" i="1"/>
  <c r="O152" i="8"/>
  <c r="EH158" i="1"/>
  <c r="DH16" i="1"/>
  <c r="CB18" i="1"/>
  <c r="CB113" i="1"/>
  <c r="Y159" i="1"/>
  <c r="CE202" i="1"/>
  <c r="CF163" i="1"/>
  <c r="BB13" i="1"/>
  <c r="DD157" i="1"/>
  <c r="BC209" i="1"/>
  <c r="DH11" i="1"/>
  <c r="AD215" i="8"/>
  <c r="EF201" i="1"/>
  <c r="R237" i="8"/>
  <c r="DG11" i="1"/>
  <c r="X65" i="1"/>
  <c r="EF17" i="1"/>
  <c r="Z155" i="1"/>
  <c r="W200" i="8"/>
  <c r="DG18" i="1"/>
  <c r="AB13" i="1"/>
  <c r="CB201" i="1"/>
  <c r="EI112" i="1"/>
  <c r="AF214" i="8"/>
  <c r="DE204" i="1"/>
  <c r="DE18" i="1"/>
  <c r="AB180" i="8"/>
  <c r="EJ10" i="1"/>
  <c r="R251" i="8"/>
  <c r="G251" i="8" s="1"/>
  <c r="CC9" i="1"/>
  <c r="CF157" i="1"/>
  <c r="Z108" i="1"/>
  <c r="T205" i="8"/>
  <c r="G205" i="8" s="1"/>
  <c r="K8" i="5" s="1"/>
  <c r="CE108" i="1"/>
  <c r="W204" i="8"/>
  <c r="G204" i="8" s="1"/>
  <c r="DG10" i="1"/>
  <c r="CE155" i="1"/>
  <c r="L219" i="8"/>
  <c r="Z206" i="1"/>
  <c r="G49" i="2"/>
  <c r="Q141" i="8"/>
  <c r="M168" i="8"/>
  <c r="S203" i="8"/>
  <c r="G203" i="8" s="1"/>
  <c r="CE58" i="1"/>
  <c r="AB151" i="8"/>
  <c r="R235" i="8"/>
  <c r="G235" i="8" s="1"/>
  <c r="CD17" i="1"/>
  <c r="BA207" i="1"/>
  <c r="AA153" i="1"/>
  <c r="DE111" i="1"/>
  <c r="BC201" i="1"/>
  <c r="AZ114" i="1"/>
  <c r="CD64" i="1"/>
  <c r="CD18" i="1"/>
  <c r="AA255" i="8"/>
  <c r="G255" i="8" s="1"/>
  <c r="DE206" i="1"/>
  <c r="J181" i="8"/>
  <c r="G181" i="8" s="1"/>
  <c r="AB108" i="1"/>
  <c r="S227" i="8"/>
  <c r="CD58" i="1"/>
  <c r="AD223" i="8"/>
  <c r="W209" i="8"/>
  <c r="DG15" i="1"/>
  <c r="Y107" i="1"/>
  <c r="Z223" i="8"/>
  <c r="DF162" i="1"/>
  <c r="Z156" i="1"/>
  <c r="K217" i="8"/>
  <c r="AZ106" i="1"/>
  <c r="CB111" i="1"/>
  <c r="N182" i="8"/>
  <c r="G182" i="8" s="1"/>
  <c r="BD61" i="1"/>
  <c r="N239" i="8"/>
  <c r="BA61" i="1"/>
  <c r="AA160" i="1"/>
  <c r="AZ157" i="1"/>
  <c r="X63" i="1"/>
  <c r="CB114" i="1"/>
  <c r="CB63" i="1"/>
  <c r="DH210" i="1"/>
  <c r="DG13" i="1"/>
  <c r="P241" i="8"/>
  <c r="N200" i="8"/>
  <c r="EG206" i="1"/>
  <c r="J217" i="8"/>
  <c r="T214" i="8"/>
  <c r="K240" i="8"/>
  <c r="CF64" i="1"/>
  <c r="AA157" i="1"/>
  <c r="DD202" i="1"/>
  <c r="Z110" i="1"/>
  <c r="EH104" i="1"/>
  <c r="BA208" i="1"/>
  <c r="M141" i="8"/>
  <c r="AZ159" i="1"/>
  <c r="DE105" i="1"/>
  <c r="S257" i="8"/>
  <c r="CC64" i="1"/>
  <c r="AA232" i="8"/>
  <c r="DF207" i="1"/>
  <c r="AF260" i="8"/>
  <c r="EG211" i="1"/>
  <c r="EG114" i="1"/>
  <c r="CB110" i="1"/>
  <c r="AA156" i="1"/>
  <c r="M221" i="8"/>
  <c r="CB108" i="1"/>
  <c r="F44" i="2"/>
  <c r="BC208" i="1"/>
  <c r="BB61" i="1"/>
  <c r="I147" i="8"/>
  <c r="H144" i="8"/>
  <c r="AD247" i="8"/>
  <c r="BC63" i="1"/>
  <c r="BB105" i="1"/>
  <c r="AA239" i="8"/>
  <c r="U170" i="8"/>
  <c r="U192" i="8"/>
  <c r="Y12" i="1"/>
  <c r="AA166" i="8"/>
  <c r="BA204" i="1"/>
  <c r="BB112" i="1"/>
  <c r="DF115" i="1"/>
  <c r="EG112" i="1"/>
  <c r="AF158" i="8"/>
  <c r="G158" i="8" s="1"/>
  <c r="EF205" i="1"/>
  <c r="N198" i="8"/>
  <c r="CF15" i="1"/>
  <c r="Z211" i="1"/>
  <c r="Y13" i="1"/>
  <c r="CE16" i="1"/>
  <c r="L252" i="8"/>
  <c r="G252" i="8" s="1"/>
  <c r="L228" i="8"/>
  <c r="G228" i="8" s="1"/>
  <c r="EF10" i="1"/>
  <c r="X112" i="1"/>
  <c r="AB62" i="1"/>
  <c r="DF163" i="1"/>
  <c r="BA63" i="1"/>
  <c r="DE110" i="1"/>
  <c r="CB115" i="1"/>
  <c r="DF158" i="1"/>
  <c r="CB207" i="1"/>
  <c r="AA67" i="1"/>
  <c r="BA206" i="1"/>
  <c r="EH111" i="1"/>
  <c r="EG67" i="1"/>
  <c r="Y15" i="1"/>
  <c r="AA200" i="1"/>
  <c r="X59" i="1"/>
  <c r="CC113" i="1"/>
  <c r="Z159" i="1"/>
  <c r="EJ158" i="1"/>
  <c r="BB62" i="1"/>
  <c r="BD113" i="1"/>
  <c r="Z67" i="1"/>
  <c r="DG158" i="1"/>
  <c r="J221" i="8"/>
  <c r="X104" i="1"/>
  <c r="BB67" i="1"/>
  <c r="DE152" i="1"/>
  <c r="AB67" i="1"/>
  <c r="BD209" i="1"/>
  <c r="CF111" i="1"/>
  <c r="I198" i="8"/>
  <c r="CF63" i="1"/>
  <c r="CD115" i="1"/>
  <c r="BA57" i="1"/>
  <c r="DD204" i="1"/>
  <c r="X115" i="1"/>
  <c r="AA159" i="1"/>
  <c r="Z107" i="1"/>
  <c r="CF12" i="1"/>
  <c r="CF16" i="1"/>
  <c r="P193" i="8"/>
  <c r="AB60" i="1"/>
  <c r="DE107" i="1"/>
  <c r="CB107" i="1"/>
  <c r="EF57" i="1"/>
  <c r="CC111" i="1"/>
  <c r="CB66" i="1"/>
  <c r="EH108" i="1"/>
  <c r="AB12" i="1"/>
  <c r="Y60" i="1"/>
  <c r="H142" i="8"/>
  <c r="EI10" i="1"/>
  <c r="G31" i="2"/>
  <c r="DF211" i="1"/>
  <c r="DE155" i="1"/>
  <c r="EG159" i="1"/>
  <c r="Z104" i="1"/>
  <c r="AA152" i="1"/>
  <c r="BA203" i="1"/>
  <c r="CB106" i="1"/>
  <c r="DF157" i="1"/>
  <c r="Y64" i="1"/>
  <c r="CB64" i="1"/>
  <c r="DH207" i="1"/>
  <c r="Z160" i="1"/>
  <c r="DH205" i="1"/>
  <c r="X64" i="1"/>
  <c r="X110" i="1"/>
  <c r="DE109" i="1"/>
  <c r="AB61" i="1"/>
  <c r="CE10" i="1"/>
  <c r="C25" i="2"/>
  <c r="BC154" i="1"/>
  <c r="EJ205" i="1"/>
  <c r="Y66" i="1"/>
  <c r="P142" i="8"/>
  <c r="I149" i="8"/>
  <c r="AB59" i="1"/>
  <c r="AA64" i="1"/>
  <c r="Z224" i="8"/>
  <c r="EH205" i="1"/>
  <c r="BA157" i="1"/>
  <c r="BB152" i="1"/>
  <c r="DE158" i="1"/>
  <c r="DG204" i="1"/>
  <c r="BA14" i="1"/>
  <c r="C26" i="2"/>
  <c r="BA205" i="1"/>
  <c r="EI203" i="1"/>
  <c r="J147" i="8"/>
  <c r="DE63" i="1"/>
  <c r="Z162" i="1"/>
  <c r="DE58" i="1"/>
  <c r="AE176" i="8"/>
  <c r="D35" i="2"/>
  <c r="AA170" i="8"/>
  <c r="C42" i="2"/>
  <c r="D33" i="2"/>
  <c r="DD57" i="1"/>
  <c r="DF208" i="1"/>
  <c r="I170" i="8"/>
  <c r="EG207" i="1"/>
  <c r="AZ108" i="1"/>
  <c r="CD107" i="1"/>
  <c r="E42" i="2"/>
  <c r="DH206" i="1"/>
  <c r="DF155" i="1"/>
  <c r="CB65" i="1"/>
  <c r="DG161" i="1"/>
  <c r="DG17" i="1"/>
  <c r="BA59" i="1"/>
  <c r="Z113" i="1"/>
  <c r="CE205" i="1"/>
  <c r="BB59" i="1"/>
  <c r="BA11" i="1"/>
  <c r="EJ18" i="1"/>
  <c r="Y242" i="8"/>
  <c r="R198" i="8"/>
  <c r="DE14" i="1"/>
  <c r="EI18" i="1"/>
  <c r="AA207" i="1"/>
  <c r="AA163" i="1"/>
  <c r="BA159" i="1"/>
  <c r="D36" i="2"/>
  <c r="BC13" i="1"/>
  <c r="AB207" i="1"/>
  <c r="Z152" i="1"/>
  <c r="EF106" i="1"/>
  <c r="EG63" i="1"/>
  <c r="CF58" i="1"/>
  <c r="BC111" i="1"/>
  <c r="CF11" i="1"/>
  <c r="BA13" i="1"/>
  <c r="CF210" i="1"/>
  <c r="V175" i="8"/>
  <c r="X146" i="8"/>
  <c r="DD61" i="1"/>
  <c r="P243" i="8"/>
  <c r="BA158" i="1"/>
  <c r="W189" i="8"/>
  <c r="DG7" i="1"/>
  <c r="Z154" i="1"/>
  <c r="K215" i="8"/>
  <c r="U218" i="8"/>
  <c r="CD157" i="1"/>
  <c r="T166" i="8"/>
  <c r="CF105" i="1"/>
  <c r="U222" i="8"/>
  <c r="CD161" i="1"/>
  <c r="EG59" i="1"/>
  <c r="AC240" i="8"/>
  <c r="K248" i="8"/>
  <c r="Y163" i="1"/>
  <c r="AC217" i="8"/>
  <c r="EH60" i="1"/>
  <c r="CE65" i="1"/>
  <c r="S198" i="8"/>
  <c r="AC241" i="8"/>
  <c r="EG60" i="1"/>
  <c r="U171" i="8"/>
  <c r="CF158" i="1"/>
  <c r="N237" i="8"/>
  <c r="BA56" i="1"/>
  <c r="X108" i="1"/>
  <c r="J145" i="8"/>
  <c r="AC198" i="8"/>
  <c r="EI65" i="1"/>
  <c r="AF220" i="8"/>
  <c r="EH207" i="1"/>
  <c r="AZ113" i="1"/>
  <c r="O150" i="8"/>
  <c r="J166" i="8"/>
  <c r="AB105" i="1"/>
  <c r="O144" i="8"/>
  <c r="AZ107" i="1"/>
  <c r="AB191" i="8"/>
  <c r="EI9" i="1"/>
  <c r="AC195" i="8"/>
  <c r="EI62" i="1"/>
  <c r="EH210" i="1"/>
  <c r="AF223" i="8"/>
  <c r="DE209" i="1"/>
  <c r="AA246" i="8"/>
  <c r="AB145" i="8"/>
  <c r="EF11" i="1"/>
  <c r="CB56" i="1"/>
  <c r="S141" i="8"/>
  <c r="Y241" i="8"/>
  <c r="DE108" i="1"/>
  <c r="AZ13" i="1"/>
  <c r="M147" i="8"/>
  <c r="EI111" i="1"/>
  <c r="AD196" i="8"/>
  <c r="Q222" i="8"/>
  <c r="BB209" i="1"/>
  <c r="R194" i="8"/>
  <c r="CE12" i="1"/>
  <c r="DE205" i="1"/>
  <c r="AA242" i="8"/>
  <c r="AZ208" i="1"/>
  <c r="Q149" i="8"/>
  <c r="Y142" i="8"/>
  <c r="DD105" i="1"/>
  <c r="L197" i="8"/>
  <c r="AA208" i="1"/>
  <c r="AA190" i="8"/>
  <c r="DG201" i="1"/>
  <c r="J176" i="8"/>
  <c r="AB115" i="1"/>
  <c r="AB153" i="1"/>
  <c r="K166" i="8"/>
  <c r="CB157" i="1"/>
  <c r="U146" i="8"/>
  <c r="DF111" i="1"/>
  <c r="Y220" i="8"/>
  <c r="EH107" i="1"/>
  <c r="EI204" i="1"/>
  <c r="AF193" i="8"/>
  <c r="C27" i="2"/>
  <c r="E146" i="7" s="1"/>
  <c r="F86" i="11" s="1"/>
  <c r="X9" i="1"/>
  <c r="H143" i="8"/>
  <c r="DE65" i="1"/>
  <c r="X246" i="8"/>
  <c r="AZ161" i="1"/>
  <c r="P150" i="8"/>
  <c r="EF65" i="1"/>
  <c r="AC150" i="8"/>
  <c r="DH211" i="1"/>
  <c r="AA176" i="8"/>
  <c r="CC112" i="1"/>
  <c r="T245" i="8"/>
  <c r="V167" i="8"/>
  <c r="CF202" i="1"/>
  <c r="AB113" i="1"/>
  <c r="J174" i="8"/>
  <c r="P245" i="8"/>
  <c r="BA160" i="1"/>
  <c r="BB63" i="1"/>
  <c r="N220" i="8"/>
  <c r="N175" i="8"/>
  <c r="BD66" i="1"/>
  <c r="N169" i="8"/>
  <c r="BD60" i="1"/>
  <c r="DH7" i="1"/>
  <c r="W165" i="8"/>
  <c r="BA64" i="1"/>
  <c r="N245" i="8"/>
  <c r="AC243" i="8"/>
  <c r="EG62" i="1"/>
  <c r="CB211" i="1"/>
  <c r="V152" i="8"/>
  <c r="EF66" i="1"/>
  <c r="AC151" i="8"/>
  <c r="BB108" i="1"/>
  <c r="O217" i="8"/>
  <c r="DH158" i="1"/>
  <c r="Z171" i="8"/>
  <c r="DH154" i="1"/>
  <c r="Z167" i="8"/>
  <c r="X240" i="8"/>
  <c r="DE59" i="1"/>
  <c r="T191" i="8"/>
  <c r="CE106" i="1"/>
  <c r="AA57" i="1"/>
  <c r="I190" i="8"/>
  <c r="AA219" i="8"/>
  <c r="DF206" i="1"/>
  <c r="BD105" i="1"/>
  <c r="O166" i="8"/>
  <c r="O147" i="8"/>
  <c r="AZ110" i="1"/>
  <c r="BC59" i="1"/>
  <c r="N192" i="8"/>
  <c r="AA209" i="1"/>
  <c r="L198" i="8"/>
  <c r="M246" i="8"/>
  <c r="BA16" i="1"/>
  <c r="CD155" i="1"/>
  <c r="U216" i="8"/>
  <c r="M170" i="8"/>
  <c r="BD12" i="1"/>
  <c r="BC202" i="1"/>
  <c r="Q191" i="8"/>
  <c r="L221" i="8"/>
  <c r="Z208" i="1"/>
  <c r="DE12" i="1"/>
  <c r="W242" i="8"/>
  <c r="EI113" i="1"/>
  <c r="AB217" i="8"/>
  <c r="EH11" i="1"/>
  <c r="EI201" i="1"/>
  <c r="AF190" i="8"/>
  <c r="CF207" i="1"/>
  <c r="V172" i="8"/>
  <c r="R221" i="8"/>
  <c r="CD15" i="1"/>
  <c r="CF59" i="1"/>
  <c r="S168" i="8"/>
  <c r="CF57" i="1"/>
  <c r="S166" i="8"/>
  <c r="C41" i="2"/>
  <c r="E143" i="7" s="1"/>
  <c r="F18" i="11" s="1"/>
  <c r="N189" i="8"/>
  <c r="BC56" i="1"/>
  <c r="R190" i="8"/>
  <c r="CE8" i="1"/>
  <c r="EJ153" i="1"/>
  <c r="V244" i="8"/>
  <c r="CC207" i="1"/>
  <c r="CF104" i="1"/>
  <c r="T165" i="8"/>
  <c r="G47" i="2"/>
  <c r="E180" i="7" s="1"/>
  <c r="F24" i="11" s="1"/>
  <c r="Z189" i="8"/>
  <c r="DG152" i="1"/>
  <c r="BB200" i="1"/>
  <c r="Q213" i="8"/>
  <c r="G45" i="2"/>
  <c r="E176" i="7" s="1"/>
  <c r="F39" i="11" s="1"/>
  <c r="CD59" i="1"/>
  <c r="S216" i="8"/>
  <c r="CD65" i="1"/>
  <c r="S222" i="8"/>
  <c r="M237" i="8"/>
  <c r="BA7" i="1"/>
  <c r="Z191" i="8"/>
  <c r="DG154" i="1"/>
  <c r="CB104" i="1"/>
  <c r="DD205" i="1"/>
  <c r="AA146" i="8"/>
  <c r="EG203" i="1"/>
  <c r="AF240" i="8"/>
  <c r="D28" i="2"/>
  <c r="E244" i="7" s="1"/>
  <c r="F102" i="11" s="1"/>
  <c r="H240" i="8"/>
  <c r="Y10" i="1"/>
  <c r="E34" i="2"/>
  <c r="E231" i="7" s="1"/>
  <c r="F10" i="11" s="1"/>
  <c r="H222" i="8"/>
  <c r="Z16" i="1"/>
  <c r="I199" i="8"/>
  <c r="AA66" i="1"/>
  <c r="P174" i="8"/>
  <c r="BD161" i="1"/>
  <c r="CC110" i="1"/>
  <c r="T243" i="8"/>
  <c r="N141" i="8"/>
  <c r="AZ56" i="1"/>
  <c r="AF217" i="8"/>
  <c r="EH204" i="1"/>
  <c r="AC214" i="8"/>
  <c r="EH57" i="1"/>
  <c r="CB202" i="1"/>
  <c r="V143" i="8"/>
  <c r="I219" i="8"/>
  <c r="Z62" i="1"/>
  <c r="EG56" i="1"/>
  <c r="AC237" i="8"/>
  <c r="EI156" i="1"/>
  <c r="AE193" i="8"/>
  <c r="O218" i="8"/>
  <c r="BB109" i="1"/>
  <c r="Z196" i="8"/>
  <c r="DG159" i="1"/>
  <c r="J200" i="8"/>
  <c r="AA115" i="1"/>
  <c r="AA113" i="1"/>
  <c r="J198" i="8"/>
  <c r="EH155" i="1"/>
  <c r="AE216" i="8"/>
  <c r="CE112" i="1"/>
  <c r="T197" i="8"/>
  <c r="V168" i="8"/>
  <c r="CF203" i="1"/>
  <c r="G32" i="2"/>
  <c r="E179" i="7" s="1"/>
  <c r="F6" i="11" s="1"/>
  <c r="AB14" i="1"/>
  <c r="H172" i="8"/>
  <c r="AA59" i="1"/>
  <c r="I192" i="8"/>
  <c r="BD107" i="1"/>
  <c r="O168" i="8"/>
  <c r="BC9" i="1"/>
  <c r="M191" i="8"/>
  <c r="BC17" i="1"/>
  <c r="M199" i="8"/>
  <c r="R172" i="8"/>
  <c r="CF14" i="1"/>
  <c r="CE152" i="1"/>
  <c r="D43" i="2"/>
  <c r="E243" i="7" s="1"/>
  <c r="F96" i="11" s="1"/>
  <c r="Z190" i="8"/>
  <c r="DG153" i="1"/>
  <c r="AZ112" i="1"/>
  <c r="M218" i="8"/>
  <c r="BB12" i="1"/>
  <c r="AB200" i="1"/>
  <c r="C51" i="2"/>
  <c r="E163" i="7" s="1"/>
  <c r="F58" i="11" s="1"/>
  <c r="AF165" i="8"/>
  <c r="EJ200" i="1"/>
  <c r="AA217" i="8"/>
  <c r="DF204" i="1"/>
  <c r="V246" i="8"/>
  <c r="CC209" i="1"/>
  <c r="Z241" i="8"/>
  <c r="DE156" i="1"/>
  <c r="V242" i="8"/>
  <c r="CC205" i="1"/>
  <c r="EI11" i="1"/>
  <c r="AB193" i="8"/>
  <c r="G51" i="2"/>
  <c r="E187" i="7" s="1"/>
  <c r="F50" i="11" s="1"/>
  <c r="CC200" i="1"/>
  <c r="V237" i="8"/>
  <c r="EI109" i="1"/>
  <c r="DD160" i="1"/>
  <c r="Z149" i="8"/>
  <c r="F43" i="2"/>
  <c r="E196" i="7" s="1"/>
  <c r="F46" i="11" s="1"/>
  <c r="S223" i="8"/>
  <c r="CD66" i="1"/>
  <c r="BC115" i="1"/>
  <c r="O200" i="8"/>
  <c r="L191" i="8"/>
  <c r="AA202" i="1"/>
  <c r="W239" i="8"/>
  <c r="DE9" i="1"/>
  <c r="EH17" i="1"/>
  <c r="AB223" i="8"/>
  <c r="DD106" i="1"/>
  <c r="V173" i="8"/>
  <c r="CF208" i="1"/>
  <c r="EG160" i="1"/>
  <c r="AE245" i="8"/>
  <c r="T171" i="8"/>
  <c r="CF110" i="1"/>
  <c r="CE204" i="1"/>
  <c r="V193" i="8"/>
  <c r="P189" i="8"/>
  <c r="BC152" i="1"/>
  <c r="BC158" i="1"/>
  <c r="P195" i="8"/>
  <c r="CF162" i="1"/>
  <c r="U175" i="8"/>
  <c r="T175" i="8"/>
  <c r="CF114" i="1"/>
  <c r="Y148" i="8"/>
  <c r="DD111" i="1"/>
  <c r="AF247" i="8"/>
  <c r="EG210" i="1"/>
  <c r="X58" i="1"/>
  <c r="I143" i="8"/>
  <c r="CD114" i="1"/>
  <c r="T223" i="8"/>
  <c r="G27" i="2"/>
  <c r="E169" i="7" s="1"/>
  <c r="F55" i="11" s="1"/>
  <c r="H167" i="8"/>
  <c r="AB9" i="1"/>
  <c r="X105" i="1"/>
  <c r="J142" i="8"/>
  <c r="EI59" i="1"/>
  <c r="AC192" i="8"/>
  <c r="AB161" i="1"/>
  <c r="K174" i="8"/>
  <c r="T195" i="8"/>
  <c r="CE110" i="1"/>
  <c r="EF63" i="1"/>
  <c r="AC148" i="8"/>
  <c r="U191" i="8"/>
  <c r="CE154" i="1"/>
  <c r="M144" i="8"/>
  <c r="AZ10" i="1"/>
  <c r="CB205" i="1"/>
  <c r="V146" i="8"/>
  <c r="AZ15" i="1"/>
  <c r="M149" i="8"/>
  <c r="Q218" i="8"/>
  <c r="BB205" i="1"/>
  <c r="AD142" i="8"/>
  <c r="EF105" i="1"/>
  <c r="U199" i="8"/>
  <c r="CE162" i="1"/>
  <c r="G26" i="2"/>
  <c r="E168" i="7" s="1"/>
  <c r="F114" i="11" s="1"/>
  <c r="H166" i="8"/>
  <c r="AB8" i="1"/>
  <c r="R238" i="8"/>
  <c r="CC8" i="1"/>
  <c r="CC11" i="1"/>
  <c r="R241" i="8"/>
  <c r="AD246" i="8"/>
  <c r="EG113" i="1"/>
  <c r="DF113" i="1"/>
  <c r="Y222" i="8"/>
  <c r="BD106" i="1"/>
  <c r="S142" i="8"/>
  <c r="CB57" i="1"/>
  <c r="EJ7" i="1"/>
  <c r="AB165" i="8"/>
  <c r="EJ8" i="1"/>
  <c r="AB166" i="8"/>
  <c r="AD189" i="8"/>
  <c r="EI104" i="1"/>
  <c r="BD112" i="1"/>
  <c r="EJ206" i="1"/>
  <c r="AF171" i="8"/>
  <c r="EJ203" i="1"/>
  <c r="P168" i="8"/>
  <c r="BD155" i="1"/>
  <c r="EI207" i="1"/>
  <c r="AF196" i="8"/>
  <c r="BB204" i="1"/>
  <c r="Q217" i="8"/>
  <c r="CE15" i="1"/>
  <c r="R197" i="8"/>
  <c r="CE64" i="1"/>
  <c r="S197" i="8"/>
  <c r="S190" i="8"/>
  <c r="CE57" i="1"/>
  <c r="DD209" i="1"/>
  <c r="AA150" i="8"/>
  <c r="C33" i="2"/>
  <c r="E157" i="7" s="1"/>
  <c r="F80" i="11" s="1"/>
  <c r="H149" i="8"/>
  <c r="X15" i="1"/>
  <c r="DG16" i="1"/>
  <c r="AA107" i="1"/>
  <c r="EJ14" i="1"/>
  <c r="S220" i="8"/>
  <c r="CD63" i="1"/>
  <c r="EI8" i="1"/>
  <c r="AB190" i="8"/>
  <c r="CB152" i="1"/>
  <c r="CF211" i="1"/>
  <c r="DF108" i="1"/>
  <c r="Y208" i="1"/>
  <c r="L245" i="8"/>
  <c r="CD211" i="1"/>
  <c r="V224" i="8"/>
  <c r="V215" i="8"/>
  <c r="CD202" i="1"/>
  <c r="CD108" i="1"/>
  <c r="EJ67" i="1"/>
  <c r="AC176" i="8"/>
  <c r="AC170" i="8"/>
  <c r="EJ61" i="1"/>
  <c r="Y200" i="8"/>
  <c r="DG115" i="1"/>
  <c r="DG111" i="1"/>
  <c r="Y196" i="8"/>
  <c r="DG114" i="1"/>
  <c r="Y199" i="8"/>
  <c r="Y169" i="8"/>
  <c r="DH108" i="1"/>
  <c r="AB242" i="8"/>
  <c r="EG12" i="1"/>
  <c r="CF66" i="1"/>
  <c r="Y168" i="8"/>
  <c r="DH107" i="1"/>
  <c r="DH111" i="1"/>
  <c r="Y172" i="8"/>
  <c r="AD170" i="8"/>
  <c r="EJ109" i="1"/>
  <c r="EJ112" i="1"/>
  <c r="AD173" i="8"/>
  <c r="EJ114" i="1"/>
  <c r="AD175" i="8"/>
  <c r="CB11" i="1"/>
  <c r="R145" i="8"/>
  <c r="CB9" i="1"/>
  <c r="R143" i="8"/>
  <c r="CB12" i="1"/>
  <c r="R146" i="8"/>
  <c r="K150" i="8"/>
  <c r="X161" i="1"/>
  <c r="X158" i="1"/>
  <c r="K147" i="8"/>
  <c r="Y202" i="1"/>
  <c r="L239" i="8"/>
  <c r="Y207" i="1"/>
  <c r="L244" i="8"/>
  <c r="F30" i="2"/>
  <c r="E199" i="7" s="1"/>
  <c r="F28" i="11" s="1"/>
  <c r="H194" i="8"/>
  <c r="AA12" i="1"/>
  <c r="F29" i="2"/>
  <c r="E197" i="7" s="1"/>
  <c r="F110" i="11" s="1"/>
  <c r="AA11" i="1"/>
  <c r="H193" i="8"/>
  <c r="F31" i="2"/>
  <c r="E202" i="7" s="1"/>
  <c r="F87" i="11" s="1"/>
  <c r="AA13" i="1"/>
  <c r="H195" i="8"/>
  <c r="EG17" i="1"/>
  <c r="AB247" i="8"/>
  <c r="CC67" i="1"/>
  <c r="S248" i="8"/>
  <c r="S246" i="8"/>
  <c r="CC65" i="1"/>
  <c r="CC61" i="1"/>
  <c r="S242" i="8"/>
  <c r="P217" i="8"/>
  <c r="BB156" i="1"/>
  <c r="BB154" i="1"/>
  <c r="P215" i="8"/>
  <c r="P214" i="8"/>
  <c r="BB153" i="1"/>
  <c r="E50" i="2"/>
  <c r="E234" i="7" s="1"/>
  <c r="F51" i="11" s="1"/>
  <c r="Y105" i="1"/>
  <c r="J238" i="8"/>
  <c r="J248" i="8"/>
  <c r="Y115" i="1"/>
  <c r="J245" i="8"/>
  <c r="Y112" i="1"/>
  <c r="DH56" i="1"/>
  <c r="X165" i="8"/>
  <c r="AB241" i="8"/>
  <c r="EG11" i="1"/>
  <c r="BA104" i="1"/>
  <c r="O237" i="8"/>
  <c r="X200" i="1"/>
  <c r="DG9" i="1"/>
  <c r="EI106" i="1"/>
  <c r="EG201" i="1"/>
  <c r="G36" i="2"/>
  <c r="E188" i="7" s="1"/>
  <c r="F60" i="11" s="1"/>
  <c r="EF159" i="1"/>
  <c r="AE148" i="8"/>
  <c r="AE151" i="8"/>
  <c r="EF162" i="1"/>
  <c r="DF153" i="1"/>
  <c r="X210" i="1"/>
  <c r="L151" i="8"/>
  <c r="X216" i="8"/>
  <c r="DF59" i="1"/>
  <c r="DF60" i="1"/>
  <c r="X217" i="8"/>
  <c r="DF64" i="1"/>
  <c r="X221" i="8"/>
  <c r="DH67" i="1"/>
  <c r="X176" i="8"/>
  <c r="X167" i="8"/>
  <c r="DH58" i="1"/>
  <c r="DH63" i="1"/>
  <c r="X172" i="8"/>
  <c r="O239" i="8"/>
  <c r="BA106" i="1"/>
  <c r="BA109" i="1"/>
  <c r="O242" i="8"/>
  <c r="E48" i="2"/>
  <c r="E230" i="7" s="1"/>
  <c r="F118" i="11" s="1"/>
  <c r="U243" i="8"/>
  <c r="CC158" i="1"/>
  <c r="CC162" i="1"/>
  <c r="U247" i="8"/>
  <c r="L143" i="8"/>
  <c r="X202" i="1"/>
  <c r="L147" i="8"/>
  <c r="X206" i="1"/>
  <c r="X211" i="1"/>
  <c r="L152" i="8"/>
  <c r="EG58" i="1"/>
  <c r="CE113" i="1"/>
  <c r="DF110" i="1"/>
  <c r="W147" i="8"/>
  <c r="DD13" i="1"/>
  <c r="F51" i="2"/>
  <c r="E211" i="7" s="1"/>
  <c r="F15" i="11" s="1"/>
  <c r="DE153" i="1"/>
  <c r="L232" i="8"/>
  <c r="L256" i="8"/>
  <c r="DD15" i="1"/>
  <c r="W149" i="8"/>
  <c r="W143" i="8"/>
  <c r="DD9" i="1"/>
  <c r="W216" i="8"/>
  <c r="DF10" i="1"/>
  <c r="W224" i="8"/>
  <c r="DF18" i="1"/>
  <c r="W223" i="8"/>
  <c r="DF17" i="1"/>
  <c r="X199" i="8"/>
  <c r="DG66" i="1"/>
  <c r="X191" i="8"/>
  <c r="DG58" i="1"/>
  <c r="X192" i="8"/>
  <c r="DG59" i="1"/>
  <c r="AA151" i="8"/>
  <c r="DD210" i="1"/>
  <c r="EI60" i="1"/>
  <c r="AC193" i="8"/>
  <c r="Q147" i="8"/>
  <c r="AZ206" i="1"/>
  <c r="AB199" i="8"/>
  <c r="EI17" i="1"/>
  <c r="AE222" i="8"/>
  <c r="EH161" i="1"/>
  <c r="BB58" i="1"/>
  <c r="N215" i="8"/>
  <c r="E29" i="2"/>
  <c r="E222" i="7" s="1"/>
  <c r="F64" i="11" s="1"/>
  <c r="H217" i="8"/>
  <c r="Z11" i="1"/>
  <c r="P171" i="8"/>
  <c r="BD158" i="1"/>
  <c r="Z163" i="1"/>
  <c r="K224" i="8"/>
  <c r="AF194" i="8"/>
  <c r="EI205" i="1"/>
  <c r="AF200" i="8"/>
  <c r="EI211" i="1"/>
  <c r="T247" i="8"/>
  <c r="CC114" i="1"/>
  <c r="AA247" i="8"/>
  <c r="DE210" i="1"/>
  <c r="U172" i="8"/>
  <c r="CF159" i="1"/>
  <c r="X151" i="8"/>
  <c r="DD66" i="1"/>
  <c r="N247" i="8"/>
  <c r="BA66" i="1"/>
  <c r="U223" i="8"/>
  <c r="CD162" i="1"/>
  <c r="Y147" i="8"/>
  <c r="DD110" i="1"/>
  <c r="EH63" i="1"/>
  <c r="AC220" i="8"/>
  <c r="EH66" i="1"/>
  <c r="AC223" i="8"/>
  <c r="U168" i="8"/>
  <c r="CF155" i="1"/>
  <c r="Y216" i="8"/>
  <c r="DF107" i="1"/>
  <c r="Z194" i="8"/>
  <c r="DG157" i="1"/>
  <c r="N166" i="8"/>
  <c r="BD57" i="1"/>
  <c r="BC66" i="1"/>
  <c r="N199" i="8"/>
  <c r="EJ155" i="1"/>
  <c r="AE168" i="8"/>
  <c r="AE239" i="8"/>
  <c r="EG154" i="1"/>
  <c r="DG14" i="1"/>
  <c r="W196" i="8"/>
  <c r="AZ211" i="1"/>
  <c r="Q152" i="8"/>
  <c r="Q143" i="8"/>
  <c r="AZ202" i="1"/>
  <c r="DE10" i="1"/>
  <c r="W240" i="8"/>
  <c r="V247" i="8"/>
  <c r="CC210" i="1"/>
  <c r="J197" i="8"/>
  <c r="AA112" i="1"/>
  <c r="P238" i="8"/>
  <c r="BA153" i="1"/>
  <c r="P175" i="8"/>
  <c r="BD162" i="1"/>
  <c r="CC203" i="1"/>
  <c r="V240" i="8"/>
  <c r="EI58" i="1"/>
  <c r="AC191" i="8"/>
  <c r="BB202" i="1"/>
  <c r="Q215" i="8"/>
  <c r="AB152" i="8"/>
  <c r="EF18" i="1"/>
  <c r="L175" i="8"/>
  <c r="AB210" i="1"/>
  <c r="L254" i="8"/>
  <c r="L230" i="8"/>
  <c r="G230" i="8" s="1"/>
  <c r="EI115" i="1"/>
  <c r="AD200" i="8"/>
  <c r="Q189" i="8"/>
  <c r="BC200" i="1"/>
  <c r="Y161" i="1"/>
  <c r="K246" i="8"/>
  <c r="DE211" i="1"/>
  <c r="AA248" i="8"/>
  <c r="Q151" i="8"/>
  <c r="AZ210" i="1"/>
  <c r="DE157" i="1"/>
  <c r="Z242" i="8"/>
  <c r="D41" i="2"/>
  <c r="E239" i="7" s="1"/>
  <c r="F11" i="11" s="1"/>
  <c r="H250" i="8"/>
  <c r="AF189" i="8"/>
  <c r="EI200" i="1"/>
  <c r="E28" i="2"/>
  <c r="E219" i="7" s="1"/>
  <c r="F76" i="11" s="1"/>
  <c r="Z10" i="1"/>
  <c r="H216" i="8"/>
  <c r="CE7" i="1"/>
  <c r="R189" i="8"/>
  <c r="M245" i="8"/>
  <c r="BA15" i="1"/>
  <c r="J171" i="8"/>
  <c r="AB110" i="1"/>
  <c r="K170" i="8"/>
  <c r="AB157" i="1"/>
  <c r="AB162" i="1"/>
  <c r="K175" i="8"/>
  <c r="U152" i="8"/>
  <c r="CB163" i="1"/>
  <c r="U143" i="8"/>
  <c r="CB154" i="1"/>
  <c r="R219" i="8"/>
  <c r="CD13" i="1"/>
  <c r="DF104" i="1"/>
  <c r="Y213" i="8"/>
  <c r="P198" i="8"/>
  <c r="BC161" i="1"/>
  <c r="T142" i="8"/>
  <c r="CB105" i="1"/>
  <c r="V245" i="8"/>
  <c r="CC208" i="1"/>
  <c r="V195" i="8"/>
  <c r="CE206" i="1"/>
  <c r="AA165" i="8"/>
  <c r="DH200" i="1"/>
  <c r="AC219" i="8"/>
  <c r="EH62" i="1"/>
  <c r="T174" i="8"/>
  <c r="CF113" i="1"/>
  <c r="T219" i="8"/>
  <c r="CD110" i="1"/>
  <c r="P176" i="8"/>
  <c r="BD163" i="1"/>
  <c r="Z246" i="8"/>
  <c r="DE161" i="1"/>
  <c r="N167" i="8"/>
  <c r="BD58" i="1"/>
  <c r="BD56" i="1"/>
  <c r="N165" i="8"/>
  <c r="DH18" i="1"/>
  <c r="W176" i="8"/>
  <c r="S200" i="8"/>
  <c r="CE67" i="1"/>
  <c r="CC105" i="1"/>
  <c r="T238" i="8"/>
  <c r="AE194" i="8"/>
  <c r="EI157" i="1"/>
  <c r="O194" i="8"/>
  <c r="BC109" i="1"/>
  <c r="AB209" i="1"/>
  <c r="L174" i="8"/>
  <c r="DH157" i="1"/>
  <c r="Z170" i="8"/>
  <c r="DH156" i="1"/>
  <c r="Z169" i="8"/>
  <c r="CE157" i="1"/>
  <c r="U194" i="8"/>
  <c r="V174" i="8"/>
  <c r="CF209" i="1"/>
  <c r="AB202" i="1"/>
  <c r="L167" i="8"/>
  <c r="BD204" i="1"/>
  <c r="Q169" i="8"/>
  <c r="AZ105" i="1"/>
  <c r="O142" i="8"/>
  <c r="DD60" i="1"/>
  <c r="X145" i="8"/>
  <c r="BB56" i="1"/>
  <c r="N213" i="8"/>
  <c r="DE106" i="1"/>
  <c r="Y239" i="8"/>
  <c r="AB63" i="1"/>
  <c r="I172" i="8"/>
  <c r="BB8" i="1"/>
  <c r="M214" i="8"/>
  <c r="BD18" i="1"/>
  <c r="M176" i="8"/>
  <c r="M174" i="8"/>
  <c r="BD16" i="1"/>
  <c r="D51" i="2"/>
  <c r="E260" i="7" s="1"/>
  <c r="F104" i="11" s="1"/>
  <c r="G50" i="2"/>
  <c r="E186" i="7" s="1"/>
  <c r="F119" i="11" s="1"/>
  <c r="H187" i="8"/>
  <c r="G187" i="8" s="1"/>
  <c r="BC210" i="1"/>
  <c r="Q199" i="8"/>
  <c r="L220" i="8"/>
  <c r="Z207" i="1"/>
  <c r="DD107" i="1"/>
  <c r="Y144" i="8"/>
  <c r="Z150" i="8"/>
  <c r="DD161" i="1"/>
  <c r="X107" i="1"/>
  <c r="CF61" i="1"/>
  <c r="S170" i="8"/>
  <c r="BC62" i="1"/>
  <c r="N195" i="8"/>
  <c r="CE13" i="1"/>
  <c r="R195" i="8"/>
  <c r="O192" i="8"/>
  <c r="BC107" i="1"/>
  <c r="EG115" i="1"/>
  <c r="AD248" i="8"/>
  <c r="R220" i="8"/>
  <c r="CD14" i="1"/>
  <c r="EG104" i="1"/>
  <c r="AD237" i="8"/>
  <c r="S217" i="8"/>
  <c r="CD60" i="1"/>
  <c r="S213" i="8"/>
  <c r="CD56" i="1"/>
  <c r="DE7" i="1"/>
  <c r="W237" i="8"/>
  <c r="X111" i="1"/>
  <c r="J148" i="8"/>
  <c r="EF211" i="1"/>
  <c r="AF152" i="8"/>
  <c r="AE218" i="8"/>
  <c r="EH157" i="1"/>
  <c r="P147" i="8"/>
  <c r="AZ158" i="1"/>
  <c r="EJ207" i="1"/>
  <c r="AF172" i="8"/>
  <c r="D32" i="2"/>
  <c r="E252" i="7" s="1"/>
  <c r="F37" i="11" s="1"/>
  <c r="Y14" i="1"/>
  <c r="H244" i="8"/>
  <c r="D27" i="2"/>
  <c r="E242" i="7" s="1"/>
  <c r="F65" i="11" s="1"/>
  <c r="Y9" i="1"/>
  <c r="H239" i="8"/>
  <c r="O190" i="8"/>
  <c r="BC105" i="1"/>
  <c r="L166" i="8"/>
  <c r="AB201" i="1"/>
  <c r="CC106" i="1"/>
  <c r="T239" i="8"/>
  <c r="N146" i="8"/>
  <c r="AZ61" i="1"/>
  <c r="N148" i="8"/>
  <c r="AZ63" i="1"/>
  <c r="CB159" i="1"/>
  <c r="U148" i="8"/>
  <c r="EH56" i="1"/>
  <c r="AC213" i="8"/>
  <c r="C29" i="2"/>
  <c r="E150" i="7" s="1"/>
  <c r="F111" i="11" s="1"/>
  <c r="X11" i="1"/>
  <c r="H145" i="8"/>
  <c r="EF67" i="1"/>
  <c r="AC152" i="8"/>
  <c r="AE175" i="8"/>
  <c r="EJ162" i="1"/>
  <c r="AE189" i="8"/>
  <c r="EI152" i="1"/>
  <c r="O215" i="8"/>
  <c r="BB106" i="1"/>
  <c r="G43" i="2"/>
  <c r="E172" i="7" s="1"/>
  <c r="F101" i="11" s="1"/>
  <c r="H180" i="8"/>
  <c r="J195" i="8"/>
  <c r="AA110" i="1"/>
  <c r="J194" i="8"/>
  <c r="AA109" i="1"/>
  <c r="EH152" i="1"/>
  <c r="AE213" i="8"/>
  <c r="CE115" i="1"/>
  <c r="T200" i="8"/>
  <c r="U221" i="8"/>
  <c r="CD160" i="1"/>
  <c r="AA205" i="1"/>
  <c r="L194" i="8"/>
  <c r="C34" i="2"/>
  <c r="E159" i="7" s="1"/>
  <c r="F8" i="11" s="1"/>
  <c r="H150" i="8"/>
  <c r="X16" i="1"/>
  <c r="BD109" i="1"/>
  <c r="O170" i="8"/>
  <c r="M196" i="8"/>
  <c r="BC14" i="1"/>
  <c r="BC7" i="1"/>
  <c r="M189" i="8"/>
  <c r="J170" i="8"/>
  <c r="AB109" i="1"/>
  <c r="Z201" i="1"/>
  <c r="L214" i="8"/>
  <c r="BA162" i="1"/>
  <c r="D40" i="2"/>
  <c r="E238" i="7" s="1"/>
  <c r="F124" i="11" s="1"/>
  <c r="H249" i="8"/>
  <c r="EJ160" i="1"/>
  <c r="AE173" i="8"/>
  <c r="BB11" i="1"/>
  <c r="M217" i="8"/>
  <c r="C40" i="2"/>
  <c r="E141" i="7" s="1"/>
  <c r="F27" i="11" s="1"/>
  <c r="F48" i="2"/>
  <c r="E206" i="7" s="1"/>
  <c r="F31" i="11" s="1"/>
  <c r="H209" i="8"/>
  <c r="G41" i="2"/>
  <c r="E167" i="7" s="1"/>
  <c r="F92" i="11" s="1"/>
  <c r="H178" i="8"/>
  <c r="G178" i="8" s="1"/>
  <c r="M142" i="8"/>
  <c r="AZ8" i="1"/>
  <c r="C32" i="2"/>
  <c r="E156" i="7" s="1"/>
  <c r="F73" i="11" s="1"/>
  <c r="H148" i="8"/>
  <c r="X14" i="1"/>
  <c r="EF210" i="1"/>
  <c r="Z197" i="8"/>
  <c r="DG160" i="1"/>
  <c r="C48" i="2"/>
  <c r="E158" i="7" s="1"/>
  <c r="F83" i="11" s="1"/>
  <c r="DF202" i="1"/>
  <c r="V243" i="8"/>
  <c r="CC206" i="1"/>
  <c r="M247" i="8"/>
  <c r="BA17" i="1"/>
  <c r="CE18" i="1"/>
  <c r="EH12" i="1"/>
  <c r="AB218" i="8"/>
  <c r="EG156" i="1"/>
  <c r="AE241" i="8"/>
  <c r="AA192" i="8"/>
  <c r="DG203" i="1"/>
  <c r="BC113" i="1"/>
  <c r="O198" i="8"/>
  <c r="AA201" i="1"/>
  <c r="L190" i="8"/>
  <c r="DE16" i="1"/>
  <c r="W246" i="8"/>
  <c r="EH10" i="1"/>
  <c r="AB216" i="8"/>
  <c r="CD113" i="1"/>
  <c r="T222" i="8"/>
  <c r="CD159" i="1"/>
  <c r="U220" i="8"/>
  <c r="CE203" i="1"/>
  <c r="V192" i="8"/>
  <c r="CE208" i="1"/>
  <c r="V197" i="8"/>
  <c r="I167" i="8"/>
  <c r="AB58" i="1"/>
  <c r="AZ18" i="1"/>
  <c r="M152" i="8"/>
  <c r="P200" i="8"/>
  <c r="BC163" i="1"/>
  <c r="L223" i="8"/>
  <c r="Z210" i="1"/>
  <c r="X109" i="1"/>
  <c r="J146" i="8"/>
  <c r="EF203" i="1"/>
  <c r="AF144" i="8"/>
  <c r="AA144" i="8"/>
  <c r="DD203" i="1"/>
  <c r="U166" i="8"/>
  <c r="CF153" i="1"/>
  <c r="DD113" i="1"/>
  <c r="Y150" i="8"/>
  <c r="AB66" i="1"/>
  <c r="I175" i="8"/>
  <c r="EF204" i="1"/>
  <c r="AF145" i="8"/>
  <c r="T173" i="8"/>
  <c r="CF112" i="1"/>
  <c r="Z158" i="1"/>
  <c r="K219" i="8"/>
  <c r="EI206" i="1"/>
  <c r="AF195" i="8"/>
  <c r="AB171" i="8"/>
  <c r="EJ13" i="1"/>
  <c r="EF58" i="1"/>
  <c r="AC143" i="8"/>
  <c r="AC146" i="8"/>
  <c r="EF61" i="1"/>
  <c r="U197" i="8"/>
  <c r="CE160" i="1"/>
  <c r="I216" i="8"/>
  <c r="Z59" i="1"/>
  <c r="CE207" i="1"/>
  <c r="CB200" i="1"/>
  <c r="V141" i="8"/>
  <c r="AD149" i="8"/>
  <c r="EF112" i="1"/>
  <c r="U198" i="8"/>
  <c r="CE161" i="1"/>
  <c r="C44" i="2"/>
  <c r="E149" i="7" s="1"/>
  <c r="F84" i="11" s="1"/>
  <c r="H157" i="8"/>
  <c r="G157" i="8" s="1"/>
  <c r="G28" i="2"/>
  <c r="E171" i="7" s="1"/>
  <c r="F49" i="11" s="1"/>
  <c r="H168" i="8"/>
  <c r="AB10" i="1"/>
  <c r="CC16" i="1"/>
  <c r="R246" i="8"/>
  <c r="CC14" i="1"/>
  <c r="R244" i="8"/>
  <c r="AB208" i="1"/>
  <c r="L173" i="8"/>
  <c r="AB224" i="8"/>
  <c r="EH18" i="1"/>
  <c r="Q172" i="8"/>
  <c r="BD207" i="1"/>
  <c r="EJ9" i="1"/>
  <c r="AB167" i="8"/>
  <c r="EJ15" i="1"/>
  <c r="AB173" i="8"/>
  <c r="L169" i="8"/>
  <c r="AB204" i="1"/>
  <c r="R217" i="8"/>
  <c r="CD11" i="1"/>
  <c r="L225" i="8"/>
  <c r="L249" i="8"/>
  <c r="AF169" i="8"/>
  <c r="EJ204" i="1"/>
  <c r="L193" i="8"/>
  <c r="AA204" i="1"/>
  <c r="P167" i="8"/>
  <c r="BD154" i="1"/>
  <c r="BD63" i="1"/>
  <c r="EI210" i="1"/>
  <c r="AF199" i="8"/>
  <c r="AA200" i="8"/>
  <c r="DG211" i="1"/>
  <c r="CE60" i="1"/>
  <c r="S193" i="8"/>
  <c r="AA147" i="8"/>
  <c r="DD206" i="1"/>
  <c r="Y215" i="8"/>
  <c r="DF106" i="1"/>
  <c r="BA155" i="1"/>
  <c r="DD163" i="1"/>
  <c r="Z152" i="8"/>
  <c r="AB194" i="8"/>
  <c r="EI12" i="1"/>
  <c r="DH12" i="1"/>
  <c r="AB205" i="1"/>
  <c r="CB109" i="1"/>
  <c r="G34" i="2"/>
  <c r="C46" i="2"/>
  <c r="E154" i="7" s="1"/>
  <c r="F77" i="11" s="1"/>
  <c r="DE200" i="1"/>
  <c r="CD205" i="1"/>
  <c r="V218" i="8"/>
  <c r="CD208" i="1"/>
  <c r="V221" i="8"/>
  <c r="EJ60" i="1"/>
  <c r="AC169" i="8"/>
  <c r="AC166" i="8"/>
  <c r="EJ57" i="1"/>
  <c r="EJ59" i="1"/>
  <c r="AC168" i="8"/>
  <c r="DG108" i="1"/>
  <c r="Y193" i="8"/>
  <c r="DG112" i="1"/>
  <c r="Y197" i="8"/>
  <c r="Y192" i="8"/>
  <c r="DG107" i="1"/>
  <c r="Y166" i="8"/>
  <c r="DH105" i="1"/>
  <c r="DH110" i="1"/>
  <c r="Y171" i="8"/>
  <c r="DH115" i="1"/>
  <c r="Y176" i="8"/>
  <c r="DF112" i="1"/>
  <c r="EJ110" i="1"/>
  <c r="AD171" i="8"/>
  <c r="AD166" i="8"/>
  <c r="EJ105" i="1"/>
  <c r="AD174" i="8"/>
  <c r="EJ113" i="1"/>
  <c r="R149" i="8"/>
  <c r="CB15" i="1"/>
  <c r="R142" i="8"/>
  <c r="CB8" i="1"/>
  <c r="E46" i="2"/>
  <c r="E226" i="7" s="1"/>
  <c r="F100" i="11" s="1"/>
  <c r="X159" i="1"/>
  <c r="K148" i="8"/>
  <c r="X162" i="1"/>
  <c r="K151" i="8"/>
  <c r="Y204" i="1"/>
  <c r="L241" i="8"/>
  <c r="L240" i="8"/>
  <c r="Y203" i="1"/>
  <c r="L247" i="8"/>
  <c r="Y210" i="1"/>
  <c r="F33" i="2"/>
  <c r="E205" i="7" s="1"/>
  <c r="F26" i="11" s="1"/>
  <c r="AA15" i="1"/>
  <c r="H197" i="8"/>
  <c r="F32" i="2"/>
  <c r="E204" i="7" s="1"/>
  <c r="F89" i="11" s="1"/>
  <c r="AA14" i="1"/>
  <c r="H196" i="8"/>
  <c r="F34" i="2"/>
  <c r="E207" i="7" s="1"/>
  <c r="F67" i="11" s="1"/>
  <c r="H198" i="8"/>
  <c r="AA16" i="1"/>
  <c r="CC58" i="1"/>
  <c r="S239" i="8"/>
  <c r="CC66" i="1"/>
  <c r="S247" i="8"/>
  <c r="AB240" i="8"/>
  <c r="EG10" i="1"/>
  <c r="EH13" i="1"/>
  <c r="D42" i="2"/>
  <c r="E241" i="7" s="1"/>
  <c r="F34" i="11" s="1"/>
  <c r="BC203" i="1"/>
  <c r="BC206" i="1"/>
  <c r="BB159" i="1"/>
  <c r="P220" i="8"/>
  <c r="BB161" i="1"/>
  <c r="P222" i="8"/>
  <c r="Y114" i="1"/>
  <c r="J247" i="8"/>
  <c r="J239" i="8"/>
  <c r="Y106" i="1"/>
  <c r="EG13" i="1"/>
  <c r="AB243" i="8"/>
  <c r="EG16" i="1"/>
  <c r="AB246" i="8"/>
  <c r="E33" i="2"/>
  <c r="E229" i="7" s="1"/>
  <c r="F66" i="11" s="1"/>
  <c r="AB17" i="1"/>
  <c r="EF153" i="1"/>
  <c r="AE142" i="8"/>
  <c r="AE146" i="8"/>
  <c r="EF157" i="1"/>
  <c r="EF160" i="1"/>
  <c r="AE149" i="8"/>
  <c r="EG106" i="1"/>
  <c r="DF58" i="1"/>
  <c r="X215" i="8"/>
  <c r="DF63" i="1"/>
  <c r="X220" i="8"/>
  <c r="DF61" i="1"/>
  <c r="X218" i="8"/>
  <c r="DH65" i="1"/>
  <c r="X174" i="8"/>
  <c r="X175" i="8"/>
  <c r="DH66" i="1"/>
  <c r="DD7" i="1"/>
  <c r="O247" i="8"/>
  <c r="BA114" i="1"/>
  <c r="O244" i="8"/>
  <c r="BA111" i="1"/>
  <c r="CC153" i="1"/>
  <c r="U238" i="8"/>
  <c r="CC156" i="1"/>
  <c r="U241" i="8"/>
  <c r="CC161" i="1"/>
  <c r="U246" i="8"/>
  <c r="X204" i="1"/>
  <c r="L145" i="8"/>
  <c r="L142" i="8"/>
  <c r="X201" i="1"/>
  <c r="L149" i="8"/>
  <c r="X208" i="1"/>
  <c r="D44" i="2"/>
  <c r="E245" i="7" s="1"/>
  <c r="F25" i="11" s="1"/>
  <c r="BA18" i="1"/>
  <c r="E47" i="2"/>
  <c r="E228" i="7" s="1"/>
  <c r="F43" i="11" s="1"/>
  <c r="W151" i="8"/>
  <c r="DD17" i="1"/>
  <c r="W148" i="8"/>
  <c r="DD14" i="1"/>
  <c r="W221" i="8"/>
  <c r="DF15" i="1"/>
  <c r="DF8" i="1"/>
  <c r="W214" i="8"/>
  <c r="DG62" i="1"/>
  <c r="X195" i="8"/>
  <c r="X197" i="8"/>
  <c r="DG64" i="1"/>
  <c r="DG56" i="1"/>
  <c r="X189" i="8"/>
  <c r="J224" i="8"/>
  <c r="Z115" i="1"/>
  <c r="I248" i="8"/>
  <c r="Y67" i="1"/>
  <c r="T167" i="8"/>
  <c r="CF106" i="1"/>
  <c r="L215" i="8"/>
  <c r="Z202" i="1"/>
  <c r="EJ211" i="1"/>
  <c r="AF176" i="8"/>
  <c r="AD199" i="8"/>
  <c r="EI114" i="1"/>
  <c r="AC189" i="8"/>
  <c r="EI56" i="1"/>
  <c r="EF7" i="1"/>
  <c r="AB141" i="8"/>
  <c r="AD190" i="8"/>
  <c r="EI105" i="1"/>
  <c r="M165" i="8"/>
  <c r="BD7" i="1"/>
  <c r="Y246" i="8"/>
  <c r="DE113" i="1"/>
  <c r="AF167" i="8"/>
  <c r="EJ202" i="1"/>
  <c r="Y160" i="1"/>
  <c r="K245" i="8"/>
  <c r="I215" i="8"/>
  <c r="Z58" i="1"/>
  <c r="E27" i="2"/>
  <c r="E218" i="7" s="1"/>
  <c r="F90" i="11" s="1"/>
  <c r="H215" i="8"/>
  <c r="Z9" i="1"/>
  <c r="O193" i="8"/>
  <c r="BC108" i="1"/>
  <c r="BC12" i="1"/>
  <c r="AB64" i="1"/>
  <c r="E51" i="2"/>
  <c r="E236" i="7" s="1"/>
  <c r="F75" i="11" s="1"/>
  <c r="Q219" i="8"/>
  <c r="BB206" i="1"/>
  <c r="F50" i="2"/>
  <c r="E210" i="7" s="1"/>
  <c r="F63" i="11" s="1"/>
  <c r="AB158" i="1"/>
  <c r="K171" i="8"/>
  <c r="CB153" i="1"/>
  <c r="U142" i="8"/>
  <c r="U145" i="8"/>
  <c r="CB156" i="1"/>
  <c r="R214" i="8"/>
  <c r="CD8" i="1"/>
  <c r="E30" i="2"/>
  <c r="E224" i="7" s="1"/>
  <c r="F120" i="11" s="1"/>
  <c r="U200" i="8"/>
  <c r="CE163" i="1"/>
  <c r="EJ154" i="1"/>
  <c r="AE167" i="8"/>
  <c r="AE246" i="8"/>
  <c r="EG161" i="1"/>
  <c r="AA155" i="1"/>
  <c r="K192" i="8"/>
  <c r="AC149" i="8"/>
  <c r="EF64" i="1"/>
  <c r="D26" i="2"/>
  <c r="E240" i="7" s="1"/>
  <c r="F38" i="11" s="1"/>
  <c r="Y8" i="1"/>
  <c r="H238" i="8"/>
  <c r="EH209" i="1"/>
  <c r="AF222" i="8"/>
  <c r="BD64" i="1"/>
  <c r="N173" i="8"/>
  <c r="AB114" i="1"/>
  <c r="J175" i="8"/>
  <c r="BA65" i="1"/>
  <c r="N246" i="8"/>
  <c r="N143" i="8"/>
  <c r="AZ58" i="1"/>
  <c r="EH58" i="1"/>
  <c r="AC215" i="8"/>
  <c r="EG57" i="1"/>
  <c r="AC238" i="8"/>
  <c r="M220" i="8"/>
  <c r="BB14" i="1"/>
  <c r="Z213" i="8"/>
  <c r="DF152" i="1"/>
  <c r="DH159" i="1"/>
  <c r="Z172" i="8"/>
  <c r="Z174" i="8"/>
  <c r="DH161" i="1"/>
  <c r="J193" i="8"/>
  <c r="AA108" i="1"/>
  <c r="E32" i="2"/>
  <c r="E227" i="7" s="1"/>
  <c r="F13" i="11" s="1"/>
  <c r="H220" i="8"/>
  <c r="Z14" i="1"/>
  <c r="U214" i="8"/>
  <c r="CD153" i="1"/>
  <c r="Z199" i="8"/>
  <c r="DG162" i="1"/>
  <c r="O141" i="8"/>
  <c r="AZ104" i="1"/>
  <c r="D25" i="2"/>
  <c r="E237" i="7" s="1"/>
  <c r="F59" i="11" s="1"/>
  <c r="M190" i="8"/>
  <c r="BC8" i="1"/>
  <c r="X152" i="8"/>
  <c r="DD67" i="1"/>
  <c r="CF7" i="1"/>
  <c r="R165" i="8"/>
  <c r="EG105" i="1"/>
  <c r="AD238" i="8"/>
  <c r="BB65" i="1"/>
  <c r="N222" i="8"/>
  <c r="DE115" i="1"/>
  <c r="Y248" i="8"/>
  <c r="AE165" i="8"/>
  <c r="EJ152" i="1"/>
  <c r="M172" i="8"/>
  <c r="BD14" i="1"/>
  <c r="BD13" i="1"/>
  <c r="M171" i="8"/>
  <c r="P170" i="8"/>
  <c r="BD157" i="1"/>
  <c r="BC207" i="1"/>
  <c r="Q196" i="8"/>
  <c r="Z209" i="1"/>
  <c r="L222" i="8"/>
  <c r="DF203" i="1"/>
  <c r="AA152" i="8"/>
  <c r="DD211" i="1"/>
  <c r="Z247" i="8"/>
  <c r="DE162" i="1"/>
  <c r="AA56" i="1"/>
  <c r="S176" i="8"/>
  <c r="CF67" i="1"/>
  <c r="D50" i="2"/>
  <c r="E258" i="7" s="1"/>
  <c r="F98" i="11" s="1"/>
  <c r="BC58" i="1"/>
  <c r="N191" i="8"/>
  <c r="AD244" i="8"/>
  <c r="EG111" i="1"/>
  <c r="EF206" i="1"/>
  <c r="D31" i="2"/>
  <c r="E249" i="7" s="1"/>
  <c r="F22" i="11" s="1"/>
  <c r="CC201" i="1"/>
  <c r="V238" i="8"/>
  <c r="EG163" i="1"/>
  <c r="AE248" i="8"/>
  <c r="F40" i="2"/>
  <c r="E190" i="7" s="1"/>
  <c r="F74" i="11" s="1"/>
  <c r="BA8" i="1"/>
  <c r="M238" i="8"/>
  <c r="AA189" i="8"/>
  <c r="DG200" i="1"/>
  <c r="S219" i="8"/>
  <c r="CD62" i="1"/>
  <c r="O189" i="8"/>
  <c r="BC104" i="1"/>
  <c r="AB215" i="8"/>
  <c r="EH9" i="1"/>
  <c r="U144" i="8"/>
  <c r="CB155" i="1"/>
  <c r="EG204" i="1"/>
  <c r="AF241" i="8"/>
  <c r="P246" i="8"/>
  <c r="BA161" i="1"/>
  <c r="AC246" i="8"/>
  <c r="EG65" i="1"/>
  <c r="AF221" i="8"/>
  <c r="EH208" i="1"/>
  <c r="AA158" i="1"/>
  <c r="K195" i="8"/>
  <c r="N221" i="8"/>
  <c r="BB64" i="1"/>
  <c r="U195" i="8"/>
  <c r="CE158" i="1"/>
  <c r="AD193" i="8"/>
  <c r="EI108" i="1"/>
  <c r="D34" i="2"/>
  <c r="E255" i="7" s="1"/>
  <c r="F53" i="11" s="1"/>
  <c r="H246" i="8"/>
  <c r="Y16" i="1"/>
  <c r="I244" i="8"/>
  <c r="Y63" i="1"/>
  <c r="E36" i="2"/>
  <c r="E235" i="7" s="1"/>
  <c r="F17" i="11" s="1"/>
  <c r="H224" i="8"/>
  <c r="Z18" i="1"/>
  <c r="CC104" i="1"/>
  <c r="T237" i="8"/>
  <c r="AZ57" i="1"/>
  <c r="N142" i="8"/>
  <c r="N145" i="8"/>
  <c r="AZ60" i="1"/>
  <c r="O220" i="8"/>
  <c r="BB111" i="1"/>
  <c r="EH61" i="1"/>
  <c r="AC218" i="8"/>
  <c r="EG61" i="1"/>
  <c r="AC242" i="8"/>
  <c r="O219" i="8"/>
  <c r="BB110" i="1"/>
  <c r="V241" i="8"/>
  <c r="CC204" i="1"/>
  <c r="M166" i="8"/>
  <c r="BD8" i="1"/>
  <c r="C49" i="2"/>
  <c r="E160" i="7" s="1"/>
  <c r="F106" i="11" s="1"/>
  <c r="AA105" i="1"/>
  <c r="J190" i="8"/>
  <c r="AE221" i="8"/>
  <c r="EH160" i="1"/>
  <c r="AE214" i="8"/>
  <c r="EH153" i="1"/>
  <c r="CE109" i="1"/>
  <c r="T194" i="8"/>
  <c r="EI107" i="1"/>
  <c r="AD192" i="8"/>
  <c r="E26" i="2"/>
  <c r="E215" i="7" s="1"/>
  <c r="F91" i="11" s="1"/>
  <c r="H214" i="8"/>
  <c r="Z8" i="1"/>
  <c r="O165" i="8"/>
  <c r="BD104" i="1"/>
  <c r="AF150" i="8"/>
  <c r="EF209" i="1"/>
  <c r="DF201" i="1"/>
  <c r="AA214" i="8"/>
  <c r="M192" i="8"/>
  <c r="BC10" i="1"/>
  <c r="BB16" i="1"/>
  <c r="M222" i="8"/>
  <c r="F46" i="2"/>
  <c r="E201" i="7" s="1"/>
  <c r="F20" i="11" s="1"/>
  <c r="CF18" i="1"/>
  <c r="G25" i="2"/>
  <c r="E166" i="7" s="1"/>
  <c r="F71" i="11" s="1"/>
  <c r="DF205" i="1"/>
  <c r="AA218" i="8"/>
  <c r="AF174" i="8"/>
  <c r="EJ209" i="1"/>
  <c r="K238" i="8"/>
  <c r="Y153" i="1"/>
  <c r="D47" i="2"/>
  <c r="E251" i="7" s="1"/>
  <c r="F19" i="11" s="1"/>
  <c r="H256" i="8"/>
  <c r="AE174" i="8"/>
  <c r="EJ161" i="1"/>
  <c r="F49" i="2"/>
  <c r="E208" i="7" s="1"/>
  <c r="F105" i="11" s="1"/>
  <c r="M216" i="8"/>
  <c r="BB10" i="1"/>
  <c r="O197" i="8"/>
  <c r="BC112" i="1"/>
  <c r="F45" i="2"/>
  <c r="E200" i="7" s="1"/>
  <c r="F29" i="11" s="1"/>
  <c r="H206" i="8"/>
  <c r="G206" i="8" s="1"/>
  <c r="C50" i="2"/>
  <c r="E162" i="7" s="1"/>
  <c r="F103" i="11" s="1"/>
  <c r="CC211" i="1"/>
  <c r="V248" i="8"/>
  <c r="L199" i="8"/>
  <c r="AA210" i="1"/>
  <c r="EG162" i="1"/>
  <c r="AE247" i="8"/>
  <c r="DG202" i="1"/>
  <c r="AA191" i="8"/>
  <c r="BC114" i="1"/>
  <c r="O199" i="8"/>
  <c r="L195" i="8"/>
  <c r="AA206" i="1"/>
  <c r="DE11" i="1"/>
  <c r="W241" i="8"/>
  <c r="EH7" i="1"/>
  <c r="AB213" i="8"/>
  <c r="C28" i="2"/>
  <c r="E148" i="7" s="1"/>
  <c r="F123" i="11" s="1"/>
  <c r="CC115" i="1"/>
  <c r="Y62" i="1"/>
  <c r="I243" i="8"/>
  <c r="X245" i="8"/>
  <c r="DE64" i="1"/>
  <c r="V189" i="8"/>
  <c r="CE200" i="1"/>
  <c r="CD156" i="1"/>
  <c r="U217" i="8"/>
  <c r="EG205" i="1"/>
  <c r="AF242" i="8"/>
  <c r="BC155" i="1"/>
  <c r="P192" i="8"/>
  <c r="P190" i="8"/>
  <c r="BC153" i="1"/>
  <c r="V147" i="8"/>
  <c r="CB206" i="1"/>
  <c r="AC200" i="8"/>
  <c r="EI67" i="1"/>
  <c r="Q173" i="8"/>
  <c r="BD208" i="1"/>
  <c r="AZ207" i="1"/>
  <c r="Q148" i="8"/>
  <c r="I142" i="8"/>
  <c r="X57" i="1"/>
  <c r="C30" i="2"/>
  <c r="E151" i="7" s="1"/>
  <c r="F54" i="11" s="1"/>
  <c r="H146" i="8"/>
  <c r="X12" i="1"/>
  <c r="CD112" i="1"/>
  <c r="T221" i="8"/>
  <c r="CE210" i="1"/>
  <c r="DD65" i="1"/>
  <c r="X150" i="8"/>
  <c r="EF109" i="1"/>
  <c r="AD146" i="8"/>
  <c r="E40" i="2"/>
  <c r="E213" i="7" s="1"/>
  <c r="F81" i="11" s="1"/>
  <c r="H225" i="8"/>
  <c r="G42" i="2"/>
  <c r="E170" i="7" s="1"/>
  <c r="F95" i="11" s="1"/>
  <c r="H179" i="8"/>
  <c r="G179" i="8" s="1"/>
  <c r="AC147" i="8"/>
  <c r="EF62" i="1"/>
  <c r="DE57" i="1"/>
  <c r="X238" i="8"/>
  <c r="AD150" i="8"/>
  <c r="EF113" i="1"/>
  <c r="AA148" i="8"/>
  <c r="DD207" i="1"/>
  <c r="D48" i="2"/>
  <c r="E254" i="7" s="1"/>
  <c r="F117" i="11" s="1"/>
  <c r="H257" i="8"/>
  <c r="CE159" i="1"/>
  <c r="U196" i="8"/>
  <c r="X242" i="8"/>
  <c r="DE61" i="1"/>
  <c r="G33" i="2"/>
  <c r="E181" i="7" s="1"/>
  <c r="F99" i="11" s="1"/>
  <c r="AB15" i="1"/>
  <c r="H173" i="8"/>
  <c r="CC17" i="1"/>
  <c r="R247" i="8"/>
  <c r="DD154" i="1"/>
  <c r="Z143" i="8"/>
  <c r="AF219" i="8"/>
  <c r="EH206" i="1"/>
  <c r="AZ14" i="1"/>
  <c r="M148" i="8"/>
  <c r="BD200" i="1"/>
  <c r="Q165" i="8"/>
  <c r="EJ16" i="1"/>
  <c r="AB174" i="8"/>
  <c r="CD111" i="1"/>
  <c r="D45" i="2"/>
  <c r="E247" i="7" s="1"/>
  <c r="F7" i="11" s="1"/>
  <c r="H254" i="8"/>
  <c r="C47" i="2"/>
  <c r="E155" i="7" s="1"/>
  <c r="F72" i="11" s="1"/>
  <c r="L171" i="8"/>
  <c r="AB206" i="1"/>
  <c r="Q214" i="8"/>
  <c r="BB201" i="1"/>
  <c r="U149" i="8"/>
  <c r="CB160" i="1"/>
  <c r="BB210" i="1"/>
  <c r="Q223" i="8"/>
  <c r="AZ12" i="1"/>
  <c r="M146" i="8"/>
  <c r="AZ209" i="1"/>
  <c r="Q150" i="8"/>
  <c r="S189" i="8"/>
  <c r="CE56" i="1"/>
  <c r="AA149" i="8"/>
  <c r="DD208" i="1"/>
  <c r="G44" i="2"/>
  <c r="E173" i="7" s="1"/>
  <c r="F41" i="11" s="1"/>
  <c r="Z7" i="1"/>
  <c r="EH200" i="1"/>
  <c r="AB196" i="8"/>
  <c r="EI14" i="1"/>
  <c r="BC18" i="1"/>
  <c r="P141" i="8"/>
  <c r="AZ152" i="1"/>
  <c r="Z141" i="8"/>
  <c r="DD152" i="1"/>
  <c r="F42" i="2"/>
  <c r="E193" i="7" s="1"/>
  <c r="F82" i="11" s="1"/>
  <c r="BA154" i="1"/>
  <c r="L250" i="8"/>
  <c r="L226" i="8"/>
  <c r="AB198" i="8"/>
  <c r="EI16" i="1"/>
  <c r="G48" i="2"/>
  <c r="E182" i="7" s="1"/>
  <c r="F115" i="11" s="1"/>
  <c r="AB159" i="1"/>
  <c r="AB154" i="1"/>
  <c r="V222" i="8"/>
  <c r="CD209" i="1"/>
  <c r="CD206" i="1"/>
  <c r="V219" i="8"/>
  <c r="CD200" i="1"/>
  <c r="V213" i="8"/>
  <c r="Y194" i="8"/>
  <c r="DG109" i="1"/>
  <c r="BD15" i="1"/>
  <c r="AC174" i="8"/>
  <c r="EJ65" i="1"/>
  <c r="EJ63" i="1"/>
  <c r="AC172" i="8"/>
  <c r="EJ64" i="1"/>
  <c r="AC173" i="8"/>
  <c r="DG106" i="1"/>
  <c r="Y191" i="8"/>
  <c r="DG110" i="1"/>
  <c r="Y195" i="8"/>
  <c r="AZ154" i="1"/>
  <c r="F41" i="2"/>
  <c r="E192" i="7" s="1"/>
  <c r="F48" i="11" s="1"/>
  <c r="Y170" i="8"/>
  <c r="DH109" i="1"/>
  <c r="DH112" i="1"/>
  <c r="Y173" i="8"/>
  <c r="DH106" i="1"/>
  <c r="Y167" i="8"/>
  <c r="AD168" i="8"/>
  <c r="EJ107" i="1"/>
  <c r="EJ111" i="1"/>
  <c r="AD172" i="8"/>
  <c r="EJ108" i="1"/>
  <c r="AD169" i="8"/>
  <c r="R151" i="8"/>
  <c r="CB17" i="1"/>
  <c r="CB16" i="1"/>
  <c r="R150" i="8"/>
  <c r="L234" i="8"/>
  <c r="L258" i="8"/>
  <c r="G258" i="8" s="1"/>
  <c r="K149" i="8"/>
  <c r="X160" i="1"/>
  <c r="K145" i="8"/>
  <c r="X156" i="1"/>
  <c r="K146" i="8"/>
  <c r="X157" i="1"/>
  <c r="Y209" i="1"/>
  <c r="L246" i="8"/>
  <c r="Y205" i="1"/>
  <c r="L242" i="8"/>
  <c r="L243" i="8"/>
  <c r="Y206" i="1"/>
  <c r="F27" i="2"/>
  <c r="E194" i="7" s="1"/>
  <c r="F88" i="11" s="1"/>
  <c r="AA9" i="1"/>
  <c r="H191" i="8"/>
  <c r="F28" i="2"/>
  <c r="E195" i="7" s="1"/>
  <c r="F12" i="11" s="1"/>
  <c r="H192" i="8"/>
  <c r="AA10" i="1"/>
  <c r="F26" i="2"/>
  <c r="E191" i="7" s="1"/>
  <c r="F14" i="11" s="1"/>
  <c r="H190" i="8"/>
  <c r="AA8" i="1"/>
  <c r="BD111" i="1"/>
  <c r="CC59" i="1"/>
  <c r="S240" i="8"/>
  <c r="S243" i="8"/>
  <c r="CC62" i="1"/>
  <c r="E43" i="2"/>
  <c r="E220" i="7" s="1"/>
  <c r="F93" i="11" s="1"/>
  <c r="AZ156" i="1"/>
  <c r="AZ9" i="1"/>
  <c r="BB163" i="1"/>
  <c r="P224" i="8"/>
  <c r="BB160" i="1"/>
  <c r="P221" i="8"/>
  <c r="P223" i="8"/>
  <c r="BB162" i="1"/>
  <c r="Y113" i="1"/>
  <c r="J246" i="8"/>
  <c r="Y108" i="1"/>
  <c r="J241" i="8"/>
  <c r="E45" i="2"/>
  <c r="E223" i="7" s="1"/>
  <c r="F78" i="11" s="1"/>
  <c r="EG18" i="1"/>
  <c r="AB248" i="8"/>
  <c r="AB245" i="8"/>
  <c r="EG15" i="1"/>
  <c r="E44" i="2"/>
  <c r="E221" i="7" s="1"/>
  <c r="F9" i="11" s="1"/>
  <c r="CC107" i="1"/>
  <c r="BD9" i="1"/>
  <c r="EF208" i="1"/>
  <c r="C31" i="2"/>
  <c r="E153" i="7" s="1"/>
  <c r="F42" i="11" s="1"/>
  <c r="DF114" i="1"/>
  <c r="AE144" i="8"/>
  <c r="EF155" i="1"/>
  <c r="EF161" i="1"/>
  <c r="AE150" i="8"/>
  <c r="EF154" i="1"/>
  <c r="AE143" i="8"/>
  <c r="D49" i="2"/>
  <c r="E256" i="7" s="1"/>
  <c r="F116" i="11" s="1"/>
  <c r="W144" i="8"/>
  <c r="DD10" i="1"/>
  <c r="X219" i="8"/>
  <c r="DF62" i="1"/>
  <c r="X214" i="8"/>
  <c r="DF57" i="1"/>
  <c r="X173" i="8"/>
  <c r="DH64" i="1"/>
  <c r="DH61" i="1"/>
  <c r="X170" i="8"/>
  <c r="X166" i="8"/>
  <c r="DH57" i="1"/>
  <c r="O248" i="8"/>
  <c r="BA115" i="1"/>
  <c r="BA105" i="1"/>
  <c r="O238" i="8"/>
  <c r="BA113" i="1"/>
  <c r="O246" i="8"/>
  <c r="U242" i="8"/>
  <c r="CC157" i="1"/>
  <c r="U240" i="8"/>
  <c r="CC155" i="1"/>
  <c r="U244" i="8"/>
  <c r="CC159" i="1"/>
  <c r="L150" i="8"/>
  <c r="X209" i="1"/>
  <c r="X205" i="1"/>
  <c r="L146" i="8"/>
  <c r="CF156" i="1"/>
  <c r="AZ64" i="1"/>
  <c r="E31" i="2"/>
  <c r="E225" i="7" s="1"/>
  <c r="F69" i="11" s="1"/>
  <c r="AZ155" i="1"/>
  <c r="DE8" i="1"/>
  <c r="X67" i="1"/>
  <c r="CB7" i="1"/>
  <c r="R141" i="8"/>
  <c r="W150" i="8"/>
  <c r="DD16" i="1"/>
  <c r="DD8" i="1"/>
  <c r="W142" i="8"/>
  <c r="W219" i="8"/>
  <c r="DF13" i="1"/>
  <c r="DF16" i="1"/>
  <c r="W222" i="8"/>
  <c r="DF14" i="1"/>
  <c r="W220" i="8"/>
  <c r="DG57" i="1"/>
  <c r="X190" i="8"/>
  <c r="X193" i="8"/>
  <c r="DG60" i="1"/>
  <c r="X200" i="8"/>
  <c r="DG67" i="1"/>
  <c r="DD64" i="1"/>
  <c r="X149" i="8"/>
  <c r="T192" i="8"/>
  <c r="CE107" i="1"/>
  <c r="AZ66" i="1"/>
  <c r="N151" i="8"/>
  <c r="BB208" i="1"/>
  <c r="Q221" i="8"/>
  <c r="K173" i="8"/>
  <c r="AB160" i="1"/>
  <c r="AZ65" i="1"/>
  <c r="N150" i="8"/>
  <c r="BB115" i="1"/>
  <c r="O224" i="8"/>
  <c r="EF60" i="1"/>
  <c r="AC145" i="8"/>
  <c r="Y61" i="1"/>
  <c r="I242" i="8"/>
  <c r="AC194" i="8"/>
  <c r="EI61" i="1"/>
  <c r="AB150" i="8"/>
  <c r="EF16" i="1"/>
  <c r="EJ12" i="1"/>
  <c r="AB170" i="8"/>
  <c r="U174" i="8"/>
  <c r="CF161" i="1"/>
  <c r="EH65" i="1"/>
  <c r="AC222" i="8"/>
  <c r="N197" i="8"/>
  <c r="BC64" i="1"/>
  <c r="EH113" i="1"/>
  <c r="AD222" i="8"/>
  <c r="U165" i="8"/>
  <c r="CF152" i="1"/>
  <c r="DH8" i="1"/>
  <c r="W166" i="8"/>
  <c r="V149" i="8"/>
  <c r="CB208" i="1"/>
  <c r="CF206" i="1"/>
  <c r="V171" i="8"/>
  <c r="Z239" i="8"/>
  <c r="DE154" i="1"/>
  <c r="O171" i="8"/>
  <c r="BD110" i="1"/>
  <c r="AB146" i="8"/>
  <c r="EF12" i="1"/>
  <c r="Z166" i="8"/>
  <c r="DH153" i="1"/>
  <c r="U193" i="8"/>
  <c r="CE156" i="1"/>
  <c r="O146" i="8"/>
  <c r="AZ109" i="1"/>
  <c r="Z145" i="8"/>
  <c r="DD156" i="1"/>
  <c r="Q194" i="8"/>
  <c r="BC205" i="1"/>
  <c r="EI63" i="1"/>
  <c r="AC196" i="8"/>
  <c r="EI64" i="1"/>
  <c r="AC197" i="8"/>
  <c r="N214" i="8"/>
  <c r="BB57" i="1"/>
  <c r="AB149" i="8"/>
  <c r="EF15" i="1"/>
  <c r="DF109" i="1"/>
  <c r="Y218" i="8"/>
  <c r="S146" i="8"/>
  <c r="CB61" i="1"/>
  <c r="CE11" i="1"/>
  <c r="R193" i="8"/>
  <c r="AD195" i="8"/>
  <c r="EI110" i="1"/>
  <c r="DE104" i="1"/>
  <c r="Y237" i="8"/>
  <c r="Y154" i="1"/>
  <c r="K239" i="8"/>
  <c r="Z63" i="1"/>
  <c r="I220" i="8"/>
  <c r="V166" i="8"/>
  <c r="CF201" i="1"/>
  <c r="S165" i="8"/>
  <c r="CF56" i="1"/>
  <c r="E35" i="2"/>
  <c r="E233" i="7" s="1"/>
  <c r="F40" i="11" s="1"/>
  <c r="Z17" i="1"/>
  <c r="H223" i="8"/>
  <c r="P151" i="8"/>
  <c r="AZ162" i="1"/>
  <c r="AA114" i="1"/>
  <c r="DG207" i="1"/>
  <c r="AA196" i="8"/>
  <c r="AZ11" i="1"/>
  <c r="M145" i="8"/>
  <c r="M239" i="8"/>
  <c r="BA9" i="1"/>
  <c r="AB156" i="1"/>
  <c r="K169" i="8"/>
  <c r="D46" i="2"/>
  <c r="E250" i="7" s="1"/>
  <c r="F121" i="11" s="1"/>
  <c r="U147" i="8"/>
  <c r="CB158" i="1"/>
  <c r="R215" i="8"/>
  <c r="CD9" i="1"/>
  <c r="AE192" i="8"/>
  <c r="EI155" i="1"/>
  <c r="D29" i="2"/>
  <c r="E246" i="7" s="1"/>
  <c r="F44" i="11" s="1"/>
  <c r="H241" i="8"/>
  <c r="Y11" i="1"/>
  <c r="BD65" i="1"/>
  <c r="N174" i="8"/>
  <c r="AB112" i="1"/>
  <c r="J173" i="8"/>
  <c r="J196" i="8"/>
  <c r="AA111" i="1"/>
  <c r="I195" i="8"/>
  <c r="AA62" i="1"/>
  <c r="Z193" i="8"/>
  <c r="DG156" i="1"/>
  <c r="N168" i="8"/>
  <c r="BD59" i="1"/>
  <c r="N176" i="8"/>
  <c r="BD67" i="1"/>
  <c r="W175" i="8"/>
  <c r="DH17" i="1"/>
  <c r="N248" i="8"/>
  <c r="BA67" i="1"/>
  <c r="AE191" i="8"/>
  <c r="EI154" i="1"/>
  <c r="AE198" i="8"/>
  <c r="EI161" i="1"/>
  <c r="EI153" i="1"/>
  <c r="AE190" i="8"/>
  <c r="P172" i="8"/>
  <c r="BD159" i="1"/>
  <c r="DH152" i="1"/>
  <c r="Z165" i="8"/>
  <c r="DH162" i="1"/>
  <c r="Z175" i="8"/>
  <c r="E49" i="2"/>
  <c r="E232" i="7" s="1"/>
  <c r="F21" i="11" s="1"/>
  <c r="H234" i="8"/>
  <c r="G234" i="8" s="1"/>
  <c r="AE215" i="8"/>
  <c r="EH154" i="1"/>
  <c r="L168" i="8"/>
  <c r="AB203" i="1"/>
  <c r="Q175" i="8"/>
  <c r="BD210" i="1"/>
  <c r="K218" i="8"/>
  <c r="Z157" i="1"/>
  <c r="C35" i="2"/>
  <c r="E161" i="7" s="1"/>
  <c r="F23" i="11" s="1"/>
  <c r="H151" i="8"/>
  <c r="X17" i="1"/>
  <c r="AZ111" i="1"/>
  <c r="O148" i="8"/>
  <c r="Y151" i="8"/>
  <c r="DD114" i="1"/>
  <c r="CE14" i="1"/>
  <c r="R196" i="8"/>
  <c r="Z248" i="8"/>
  <c r="DE163" i="1"/>
  <c r="W243" i="8"/>
  <c r="DE13" i="1"/>
  <c r="AB195" i="8"/>
  <c r="EI13" i="1"/>
  <c r="R218" i="8"/>
  <c r="CD12" i="1"/>
  <c r="CD158" i="1"/>
  <c r="U219" i="8"/>
  <c r="M175" i="8"/>
  <c r="BD17" i="1"/>
  <c r="CE66" i="1"/>
  <c r="S199" i="8"/>
  <c r="Q193" i="8"/>
  <c r="BC204" i="1"/>
  <c r="Z205" i="1"/>
  <c r="L218" i="8"/>
  <c r="Z200" i="8"/>
  <c r="DG163" i="1"/>
  <c r="AA203" i="1"/>
  <c r="L192" i="8"/>
  <c r="DD158" i="1"/>
  <c r="Z147" i="8"/>
  <c r="V165" i="8"/>
  <c r="CF200" i="1"/>
  <c r="CF60" i="1"/>
  <c r="S169" i="8"/>
  <c r="Q216" i="8"/>
  <c r="BB203" i="1"/>
  <c r="N194" i="8"/>
  <c r="BC61" i="1"/>
  <c r="R199" i="8"/>
  <c r="CE17" i="1"/>
  <c r="Z61" i="1"/>
  <c r="BC110" i="1"/>
  <c r="O195" i="8"/>
  <c r="T169" i="8"/>
  <c r="CF108" i="1"/>
  <c r="CD16" i="1"/>
  <c r="R222" i="8"/>
  <c r="AZ16" i="1"/>
  <c r="M150" i="8"/>
  <c r="E41" i="2"/>
  <c r="E216" i="7" s="1"/>
  <c r="F107" i="11" s="1"/>
  <c r="EG152" i="1"/>
  <c r="AE237" i="8"/>
  <c r="CD67" i="1"/>
  <c r="S224" i="8"/>
  <c r="CD61" i="1"/>
  <c r="S218" i="8"/>
  <c r="BA12" i="1"/>
  <c r="M242" i="8"/>
  <c r="Y162" i="1"/>
  <c r="DF209" i="1"/>
  <c r="BA202" i="1"/>
  <c r="CB161" i="1"/>
  <c r="U150" i="8"/>
  <c r="DE66" i="1"/>
  <c r="X247" i="8"/>
  <c r="DG155" i="1"/>
  <c r="Z192" i="8"/>
  <c r="K198" i="8"/>
  <c r="AA161" i="1"/>
  <c r="EI160" i="1"/>
  <c r="AE197" i="8"/>
  <c r="X248" i="8"/>
  <c r="DE67" i="1"/>
  <c r="Y58" i="1"/>
  <c r="I239" i="8"/>
  <c r="BB60" i="1"/>
  <c r="N217" i="8"/>
  <c r="CF109" i="1"/>
  <c r="T170" i="8"/>
  <c r="Z245" i="8"/>
  <c r="DE160" i="1"/>
  <c r="AE240" i="8"/>
  <c r="EG155" i="1"/>
  <c r="T242" i="8"/>
  <c r="CC109" i="1"/>
  <c r="AZ62" i="1"/>
  <c r="N147" i="8"/>
  <c r="AB163" i="1"/>
  <c r="K176" i="8"/>
  <c r="EG64" i="1"/>
  <c r="AC245" i="8"/>
  <c r="EH67" i="1"/>
  <c r="AC224" i="8"/>
  <c r="EG66" i="1"/>
  <c r="AC247" i="8"/>
  <c r="BB104" i="1"/>
  <c r="O213" i="8"/>
  <c r="Y152" i="8"/>
  <c r="DD115" i="1"/>
  <c r="CE63" i="1"/>
  <c r="S196" i="8"/>
  <c r="BD114" i="1"/>
  <c r="O175" i="8"/>
  <c r="AA106" i="1"/>
  <c r="J191" i="8"/>
  <c r="EH159" i="1"/>
  <c r="AE220" i="8"/>
  <c r="CE105" i="1"/>
  <c r="T190" i="8"/>
  <c r="T189" i="8"/>
  <c r="CE104" i="1"/>
  <c r="EH203" i="1"/>
  <c r="AF216" i="8"/>
  <c r="I191" i="8"/>
  <c r="AA58" i="1"/>
  <c r="BD108" i="1"/>
  <c r="O169" i="8"/>
  <c r="D30" i="2"/>
  <c r="E248" i="7" s="1"/>
  <c r="F45" i="11" s="1"/>
  <c r="J168" i="8"/>
  <c r="AB107" i="1"/>
  <c r="M193" i="8"/>
  <c r="BC11" i="1"/>
  <c r="AD141" i="8"/>
  <c r="EF104" i="1"/>
  <c r="J172" i="8"/>
  <c r="AB111" i="1"/>
  <c r="BB17" i="1"/>
  <c r="M223" i="8"/>
  <c r="CD10" i="1"/>
  <c r="R216" i="8"/>
  <c r="EJ157" i="1"/>
  <c r="AE170" i="8"/>
  <c r="M213" i="8"/>
  <c r="BB7" i="1"/>
  <c r="Q144" i="8"/>
  <c r="AZ203" i="1"/>
  <c r="AA223" i="8"/>
  <c r="DF210" i="1"/>
  <c r="AB106" i="1"/>
  <c r="J167" i="8"/>
  <c r="AA197" i="8"/>
  <c r="DG208" i="1"/>
  <c r="EG109" i="1"/>
  <c r="AD242" i="8"/>
  <c r="DG209" i="1"/>
  <c r="AA198" i="8"/>
  <c r="CB60" i="1"/>
  <c r="CC202" i="1"/>
  <c r="V239" i="8"/>
  <c r="CD57" i="1"/>
  <c r="S214" i="8"/>
  <c r="Y214" i="8"/>
  <c r="DF105" i="1"/>
  <c r="EG153" i="1"/>
  <c r="AE238" i="8"/>
  <c r="AB189" i="8"/>
  <c r="EI7" i="1"/>
  <c r="DE15" i="1"/>
  <c r="W245" i="8"/>
  <c r="DE17" i="1"/>
  <c r="W247" i="8"/>
  <c r="AB214" i="8"/>
  <c r="EH8" i="1"/>
  <c r="BC57" i="1"/>
  <c r="EH211" i="1"/>
  <c r="AF224" i="8"/>
  <c r="T149" i="8"/>
  <c r="CB112" i="1"/>
  <c r="X243" i="8"/>
  <c r="DE62" i="1"/>
  <c r="CE201" i="1"/>
  <c r="V190" i="8"/>
  <c r="P197" i="8"/>
  <c r="BC160" i="1"/>
  <c r="BC159" i="1"/>
  <c r="P196" i="8"/>
  <c r="X147" i="8"/>
  <c r="DD62" i="1"/>
  <c r="DD63" i="1"/>
  <c r="X148" i="8"/>
  <c r="U173" i="8"/>
  <c r="CF160" i="1"/>
  <c r="CD154" i="1"/>
  <c r="U215" i="8"/>
  <c r="X61" i="1"/>
  <c r="I146" i="8"/>
  <c r="CD104" i="1"/>
  <c r="T213" i="8"/>
  <c r="CB210" i="1"/>
  <c r="V151" i="8"/>
  <c r="DG205" i="1"/>
  <c r="AA194" i="8"/>
  <c r="BD62" i="1"/>
  <c r="R167" i="8"/>
  <c r="CF9" i="1"/>
  <c r="F47" i="2"/>
  <c r="E203" i="7" s="1"/>
  <c r="F85" i="11" s="1"/>
  <c r="H208" i="8"/>
  <c r="G208" i="8" s="1"/>
  <c r="BD206" i="1"/>
  <c r="Q171" i="8"/>
  <c r="EF56" i="1"/>
  <c r="AC141" i="8"/>
  <c r="AA199" i="8"/>
  <c r="DG210" i="1"/>
  <c r="BA10" i="1"/>
  <c r="M240" i="8"/>
  <c r="AA211" i="1"/>
  <c r="L200" i="8"/>
  <c r="AD145" i="8"/>
  <c r="EF108" i="1"/>
  <c r="DE60" i="1"/>
  <c r="X241" i="8"/>
  <c r="G29" i="2"/>
  <c r="E174" i="7" s="1"/>
  <c r="F109" i="11" s="1"/>
  <c r="H169" i="8"/>
  <c r="AB11" i="1"/>
  <c r="CC15" i="1"/>
  <c r="R245" i="8"/>
  <c r="EI57" i="1"/>
  <c r="AC190" i="8"/>
  <c r="G30" i="2"/>
  <c r="E175" i="7" s="1"/>
  <c r="F35" i="11" s="1"/>
  <c r="S174" i="8"/>
  <c r="CF65" i="1"/>
  <c r="C43" i="2"/>
  <c r="E147" i="7" s="1"/>
  <c r="F62" i="11" s="1"/>
  <c r="EJ11" i="1"/>
  <c r="AB169" i="8"/>
  <c r="Y245" i="8"/>
  <c r="DE112" i="1"/>
  <c r="EJ201" i="1"/>
  <c r="AF166" i="8"/>
  <c r="Y152" i="1"/>
  <c r="EF107" i="1"/>
  <c r="BD152" i="1"/>
  <c r="P165" i="8"/>
  <c r="AA195" i="8"/>
  <c r="DG206" i="1"/>
  <c r="C36" i="2"/>
  <c r="E164" i="7" s="1"/>
  <c r="F68" i="11" s="1"/>
  <c r="X18" i="1"/>
  <c r="H152" i="8"/>
  <c r="L260" i="8"/>
  <c r="G260" i="8" s="1"/>
  <c r="L236" i="8"/>
  <c r="G236" i="8" s="1"/>
  <c r="CE59" i="1"/>
  <c r="S192" i="8"/>
  <c r="S195" i="8"/>
  <c r="CE62" i="1"/>
  <c r="BD156" i="1"/>
  <c r="DD201" i="1"/>
  <c r="AA142" i="8"/>
  <c r="G46" i="2"/>
  <c r="E178" i="7" s="1"/>
  <c r="F94" i="11" s="1"/>
  <c r="EF9" i="1"/>
  <c r="E25" i="2"/>
  <c r="E214" i="7" s="1"/>
  <c r="F113" i="11" s="1"/>
  <c r="EG110" i="1"/>
  <c r="AD243" i="8"/>
  <c r="EI158" i="1"/>
  <c r="AB155" i="1"/>
  <c r="K168" i="8"/>
  <c r="AB104" i="1"/>
  <c r="AB197" i="8"/>
  <c r="EI15" i="1"/>
  <c r="R213" i="8"/>
  <c r="CD7" i="1"/>
  <c r="CB59" i="1"/>
  <c r="EH15" i="1"/>
  <c r="DE207" i="1"/>
  <c r="V220" i="8"/>
  <c r="CD207" i="1"/>
  <c r="V216" i="8"/>
  <c r="CD203" i="1"/>
  <c r="CD204" i="1"/>
  <c r="V217" i="8"/>
  <c r="CD210" i="1"/>
  <c r="V223" i="8"/>
  <c r="S238" i="8"/>
  <c r="CC57" i="1"/>
  <c r="AC171" i="8"/>
  <c r="EJ62" i="1"/>
  <c r="EJ58" i="1"/>
  <c r="AC167" i="8"/>
  <c r="AC175" i="8"/>
  <c r="EJ66" i="1"/>
  <c r="DG113" i="1"/>
  <c r="Y198" i="8"/>
  <c r="Y190" i="8"/>
  <c r="DG105" i="1"/>
  <c r="Y175" i="8"/>
  <c r="DH114" i="1"/>
  <c r="Y174" i="8"/>
  <c r="DH113" i="1"/>
  <c r="AD167" i="8"/>
  <c r="EJ106" i="1"/>
  <c r="EJ115" i="1"/>
  <c r="AD176" i="8"/>
  <c r="CB10" i="1"/>
  <c r="R144" i="8"/>
  <c r="R148" i="8"/>
  <c r="CB14" i="1"/>
  <c r="R147" i="8"/>
  <c r="CB13" i="1"/>
  <c r="X163" i="1"/>
  <c r="K152" i="8"/>
  <c r="K143" i="8"/>
  <c r="X154" i="1"/>
  <c r="K142" i="8"/>
  <c r="X153" i="1"/>
  <c r="Y201" i="1"/>
  <c r="L238" i="8"/>
  <c r="L248" i="8"/>
  <c r="Y211" i="1"/>
  <c r="F35" i="2"/>
  <c r="E209" i="7" s="1"/>
  <c r="F33" i="11" s="1"/>
  <c r="AA17" i="1"/>
  <c r="H199" i="8"/>
  <c r="F36" i="2"/>
  <c r="E212" i="7" s="1"/>
  <c r="F36" i="11" s="1"/>
  <c r="AA18" i="1"/>
  <c r="H200" i="8"/>
  <c r="X114" i="1"/>
  <c r="EF156" i="1"/>
  <c r="AE145" i="8"/>
  <c r="DD155" i="1"/>
  <c r="S241" i="8"/>
  <c r="CC60" i="1"/>
  <c r="S237" i="8"/>
  <c r="CC56" i="1"/>
  <c r="AE141" i="8"/>
  <c r="EF152" i="1"/>
  <c r="P216" i="8"/>
  <c r="BB155" i="1"/>
  <c r="P218" i="8"/>
  <c r="BB157" i="1"/>
  <c r="P219" i="8"/>
  <c r="BB158" i="1"/>
  <c r="J242" i="8"/>
  <c r="Y109" i="1"/>
  <c r="J244" i="8"/>
  <c r="Y111" i="1"/>
  <c r="J243" i="8"/>
  <c r="Y110" i="1"/>
  <c r="L257" i="8"/>
  <c r="L233" i="8"/>
  <c r="CE9" i="1"/>
  <c r="X213" i="8"/>
  <c r="DF56" i="1"/>
  <c r="AB238" i="8"/>
  <c r="EG8" i="1"/>
  <c r="EG14" i="1"/>
  <c r="AB244" i="8"/>
  <c r="CC152" i="1"/>
  <c r="U237" i="8"/>
  <c r="C45" i="2"/>
  <c r="E152" i="7" s="1"/>
  <c r="F125" i="11" s="1"/>
  <c r="BC60" i="1"/>
  <c r="DD162" i="1"/>
  <c r="G35" i="2"/>
  <c r="E185" i="7" s="1"/>
  <c r="F70" i="11" s="1"/>
  <c r="EH14" i="1"/>
  <c r="EF163" i="1"/>
  <c r="AE152" i="8"/>
  <c r="EF158" i="1"/>
  <c r="AE147" i="8"/>
  <c r="O245" i="8"/>
  <c r="BA112" i="1"/>
  <c r="DF67" i="1"/>
  <c r="X224" i="8"/>
  <c r="X222" i="8"/>
  <c r="DF65" i="1"/>
  <c r="DF66" i="1"/>
  <c r="X223" i="8"/>
  <c r="DH60" i="1"/>
  <c r="X169" i="8"/>
  <c r="DH62" i="1"/>
  <c r="X171" i="8"/>
  <c r="DH59" i="1"/>
  <c r="X168" i="8"/>
  <c r="BA107" i="1"/>
  <c r="O240" i="8"/>
  <c r="BA108" i="1"/>
  <c r="O241" i="8"/>
  <c r="O243" i="8"/>
  <c r="BA110" i="1"/>
  <c r="CC160" i="1"/>
  <c r="U245" i="8"/>
  <c r="U239" i="8"/>
  <c r="CC154" i="1"/>
  <c r="U248" i="8"/>
  <c r="CC163" i="1"/>
  <c r="L148" i="8"/>
  <c r="X207" i="1"/>
  <c r="X203" i="1"/>
  <c r="L144" i="8"/>
  <c r="DD59" i="1"/>
  <c r="DH208" i="1"/>
  <c r="G40" i="2"/>
  <c r="E165" i="7" s="1"/>
  <c r="F32" i="11" s="1"/>
  <c r="EH163" i="1"/>
  <c r="CC10" i="1"/>
  <c r="W145" i="8"/>
  <c r="DD11" i="1"/>
  <c r="W146" i="8"/>
  <c r="DD12" i="1"/>
  <c r="DD18" i="1"/>
  <c r="W152" i="8"/>
  <c r="X152" i="1"/>
  <c r="W215" i="8"/>
  <c r="DF9" i="1"/>
  <c r="DF11" i="1"/>
  <c r="W217" i="8"/>
  <c r="DF12" i="1"/>
  <c r="W218" i="8"/>
  <c r="F25" i="2"/>
  <c r="E189" i="7" s="1"/>
  <c r="F16" i="11" s="1"/>
  <c r="X196" i="8"/>
  <c r="DG63" i="1"/>
  <c r="X198" i="8"/>
  <c r="DG65" i="1"/>
  <c r="DG61" i="1"/>
  <c r="X194" i="8"/>
  <c r="EJ56" i="1"/>
  <c r="G180" i="8" l="1"/>
  <c r="T35" i="2"/>
  <c r="E257" i="7"/>
  <c r="F97" i="11" s="1"/>
  <c r="AM34" i="2"/>
  <c r="E183" i="7"/>
  <c r="F52" i="11" s="1"/>
  <c r="AB33" i="2"/>
  <c r="E253" i="7"/>
  <c r="F108" i="11" s="1"/>
  <c r="K26" i="2"/>
  <c r="E144" i="7"/>
  <c r="F56" i="11" s="1"/>
  <c r="AL44" i="2"/>
  <c r="E198" i="7"/>
  <c r="F112" i="11" s="1"/>
  <c r="AE49" i="2"/>
  <c r="E184" i="7"/>
  <c r="F122" i="11" s="1"/>
  <c r="AK42" i="2"/>
  <c r="E217" i="7"/>
  <c r="F61" i="11" s="1"/>
  <c r="K42" i="2"/>
  <c r="E145" i="7"/>
  <c r="F57" i="11" s="1"/>
  <c r="AM31" i="2"/>
  <c r="E177" i="7"/>
  <c r="F47" i="11" s="1"/>
  <c r="AJ36" i="2"/>
  <c r="E259" i="7"/>
  <c r="F79" i="11" s="1"/>
  <c r="K25" i="2"/>
  <c r="E142" i="7"/>
  <c r="F30" i="11" s="1"/>
  <c r="G226" i="8"/>
  <c r="G227" i="8"/>
  <c r="G225" i="8"/>
  <c r="G232" i="8"/>
  <c r="G165" i="8"/>
  <c r="G189" i="8"/>
  <c r="G237" i="8"/>
  <c r="G141" i="8"/>
  <c r="G213" i="8"/>
  <c r="G247" i="8"/>
  <c r="G209" i="8"/>
  <c r="G224" i="8"/>
  <c r="G169" i="8"/>
  <c r="G217" i="8"/>
  <c r="G196" i="8"/>
  <c r="G243" i="8"/>
  <c r="G254" i="8"/>
  <c r="G148" i="8"/>
  <c r="G233" i="8"/>
  <c r="G197" i="8"/>
  <c r="G151" i="8"/>
  <c r="G192" i="8"/>
  <c r="G214" i="8"/>
  <c r="G150" i="8"/>
  <c r="G250" i="8"/>
  <c r="G166" i="8"/>
  <c r="G174" i="8"/>
  <c r="G222" i="8"/>
  <c r="G257" i="8"/>
  <c r="G256" i="8"/>
  <c r="G249" i="8"/>
  <c r="G221" i="8"/>
  <c r="G190" i="8"/>
  <c r="G199" i="8"/>
  <c r="G200" i="8"/>
  <c r="G218" i="8"/>
  <c r="G240" i="8"/>
  <c r="G144" i="8"/>
  <c r="G152" i="8"/>
  <c r="G198" i="8"/>
  <c r="G171" i="8"/>
  <c r="G149" i="8"/>
  <c r="G176" i="8"/>
  <c r="G238" i="8"/>
  <c r="G175" i="8"/>
  <c r="G145" i="8"/>
  <c r="G245" i="8"/>
  <c r="G147" i="8"/>
  <c r="G246" i="8"/>
  <c r="G170" i="8"/>
  <c r="G242" i="8"/>
  <c r="K22" i="5" s="1"/>
  <c r="G191" i="8"/>
  <c r="G172" i="8"/>
  <c r="G241" i="8"/>
  <c r="G173" i="8"/>
  <c r="G168" i="8"/>
  <c r="G193" i="8"/>
  <c r="G194" i="8"/>
  <c r="G223" i="8"/>
  <c r="G216" i="8"/>
  <c r="G248" i="8"/>
  <c r="G146" i="8"/>
  <c r="G215" i="8"/>
  <c r="G244" i="8"/>
  <c r="G195" i="8"/>
  <c r="G219" i="8"/>
  <c r="G220" i="8"/>
  <c r="G167" i="8"/>
  <c r="G239" i="8"/>
  <c r="G143" i="8"/>
  <c r="E31" i="5"/>
  <c r="G142" i="8"/>
  <c r="AJ33" i="2"/>
  <c r="V44" i="2"/>
  <c r="AM49" i="2"/>
  <c r="T36" i="2"/>
  <c r="W31" i="2"/>
  <c r="U42" i="2"/>
  <c r="AB36" i="2"/>
  <c r="AA42" i="2"/>
  <c r="AA25" i="2"/>
  <c r="AD44" i="2"/>
  <c r="W49" i="2"/>
  <c r="AI25" i="2"/>
  <c r="N44" i="2"/>
  <c r="O49" i="2"/>
  <c r="AC42" i="2"/>
  <c r="S42" i="2"/>
  <c r="O31" i="2"/>
  <c r="M42" i="2"/>
  <c r="AI42" i="2"/>
  <c r="AE31" i="2"/>
  <c r="AB35" i="2"/>
  <c r="C10" i="2"/>
  <c r="AA10" i="2" s="1"/>
  <c r="S25" i="2"/>
  <c r="S26" i="2"/>
  <c r="L36" i="2"/>
  <c r="AJ35" i="2"/>
  <c r="AI26" i="2"/>
  <c r="AA26" i="2"/>
  <c r="L35" i="2"/>
  <c r="L33" i="2"/>
  <c r="T33" i="2"/>
  <c r="F9" i="2"/>
  <c r="AL25" i="2"/>
  <c r="AD25" i="2"/>
  <c r="N25" i="2"/>
  <c r="V25" i="2"/>
  <c r="AM46" i="2"/>
  <c r="AE46" i="2"/>
  <c r="O46" i="2"/>
  <c r="W46" i="2"/>
  <c r="G14" i="2"/>
  <c r="AM30" i="2"/>
  <c r="O30" i="2"/>
  <c r="AE30" i="2"/>
  <c r="W30" i="2"/>
  <c r="D13" i="2"/>
  <c r="AJ29" i="2"/>
  <c r="AB29" i="2"/>
  <c r="T29" i="2"/>
  <c r="L29" i="2"/>
  <c r="AJ49" i="2"/>
  <c r="AB49" i="2"/>
  <c r="T49" i="2"/>
  <c r="L49" i="2"/>
  <c r="AK44" i="2"/>
  <c r="AC44" i="2"/>
  <c r="U44" i="2"/>
  <c r="M44" i="2"/>
  <c r="E9" i="2"/>
  <c r="AK25" i="2"/>
  <c r="AC25" i="2"/>
  <c r="M25" i="2"/>
  <c r="U25" i="2"/>
  <c r="AL26" i="2"/>
  <c r="F10" i="2"/>
  <c r="AD26" i="2"/>
  <c r="V26" i="2"/>
  <c r="N26" i="2"/>
  <c r="G13" i="2"/>
  <c r="AM29" i="2"/>
  <c r="O29" i="2"/>
  <c r="AE29" i="2"/>
  <c r="W29" i="2"/>
  <c r="AL47" i="2"/>
  <c r="AD47" i="2"/>
  <c r="V47" i="2"/>
  <c r="N47" i="2"/>
  <c r="AK49" i="2"/>
  <c r="AC49" i="2"/>
  <c r="M49" i="2"/>
  <c r="U49" i="2"/>
  <c r="AJ46" i="2"/>
  <c r="L46" i="2"/>
  <c r="AB46" i="2"/>
  <c r="T46" i="2"/>
  <c r="AL41" i="2"/>
  <c r="AD41" i="2"/>
  <c r="V41" i="2"/>
  <c r="N41" i="2"/>
  <c r="AI47" i="2"/>
  <c r="AA47" i="2"/>
  <c r="S47" i="2"/>
  <c r="K47" i="2"/>
  <c r="AJ48" i="2"/>
  <c r="AB48" i="2"/>
  <c r="T48" i="2"/>
  <c r="L48" i="2"/>
  <c r="AK40" i="2"/>
  <c r="AC40" i="2"/>
  <c r="M40" i="2"/>
  <c r="U40" i="2"/>
  <c r="C12" i="2"/>
  <c r="AI28" i="2"/>
  <c r="AA28" i="2"/>
  <c r="K28" i="2"/>
  <c r="S28" i="2"/>
  <c r="AL49" i="2"/>
  <c r="N49" i="2"/>
  <c r="AD49" i="2"/>
  <c r="V49" i="2"/>
  <c r="AJ47" i="2"/>
  <c r="AB47" i="2"/>
  <c r="T47" i="2"/>
  <c r="L47" i="2"/>
  <c r="AL40" i="2"/>
  <c r="AD40" i="2"/>
  <c r="N40" i="2"/>
  <c r="V40" i="2"/>
  <c r="AJ25" i="2"/>
  <c r="D9" i="2"/>
  <c r="AB25" i="2"/>
  <c r="T25" i="2"/>
  <c r="L25" i="2"/>
  <c r="D10" i="2"/>
  <c r="AJ26" i="2"/>
  <c r="L26" i="2"/>
  <c r="AB26" i="2"/>
  <c r="T26" i="2"/>
  <c r="AL50" i="2"/>
  <c r="AD50" i="2"/>
  <c r="V50" i="2"/>
  <c r="N50" i="2"/>
  <c r="F18" i="2"/>
  <c r="AL34" i="2"/>
  <c r="AD34" i="2"/>
  <c r="N34" i="2"/>
  <c r="V34" i="2"/>
  <c r="AI46" i="2"/>
  <c r="AA46" i="2"/>
  <c r="K46" i="2"/>
  <c r="S46" i="2"/>
  <c r="AJ40" i="2"/>
  <c r="AB40" i="2"/>
  <c r="L40" i="2"/>
  <c r="T40" i="2"/>
  <c r="AM43" i="2"/>
  <c r="AE43" i="2"/>
  <c r="W43" i="2"/>
  <c r="O43" i="2"/>
  <c r="D11" i="2"/>
  <c r="AJ27" i="2"/>
  <c r="L27" i="2"/>
  <c r="AB27" i="2"/>
  <c r="T27" i="2"/>
  <c r="AM50" i="2"/>
  <c r="AE50" i="2"/>
  <c r="W50" i="2"/>
  <c r="O50" i="2"/>
  <c r="C17" i="2"/>
  <c r="AI33" i="2"/>
  <c r="AA33" i="2"/>
  <c r="S33" i="2"/>
  <c r="K33" i="2"/>
  <c r="AI51" i="2"/>
  <c r="AA51" i="2"/>
  <c r="S51" i="2"/>
  <c r="K51" i="2"/>
  <c r="AM47" i="2"/>
  <c r="AE47" i="2"/>
  <c r="W47" i="2"/>
  <c r="O47" i="2"/>
  <c r="AI27" i="2"/>
  <c r="C11" i="2"/>
  <c r="AA27" i="2"/>
  <c r="S27" i="2"/>
  <c r="K27" i="2"/>
  <c r="AK47" i="2"/>
  <c r="AC47" i="2"/>
  <c r="M47" i="2"/>
  <c r="U47" i="2"/>
  <c r="AK46" i="2"/>
  <c r="AC46" i="2"/>
  <c r="U46" i="2"/>
  <c r="M46" i="2"/>
  <c r="G18" i="2"/>
  <c r="AE34" i="2"/>
  <c r="W34" i="2"/>
  <c r="O34" i="2"/>
  <c r="G12" i="2"/>
  <c r="AM28" i="2"/>
  <c r="O28" i="2"/>
  <c r="AE28" i="2"/>
  <c r="W28" i="2"/>
  <c r="AI48" i="2"/>
  <c r="AA48" i="2"/>
  <c r="S48" i="2"/>
  <c r="K48" i="2"/>
  <c r="AL48" i="2"/>
  <c r="N48" i="2"/>
  <c r="V48" i="2"/>
  <c r="AD48" i="2"/>
  <c r="AJ51" i="2"/>
  <c r="AB51" i="2"/>
  <c r="T51" i="2"/>
  <c r="L51" i="2"/>
  <c r="E13" i="2"/>
  <c r="AK29" i="2"/>
  <c r="AC29" i="2"/>
  <c r="U29" i="2"/>
  <c r="M29" i="2"/>
  <c r="AL51" i="2"/>
  <c r="N51" i="2"/>
  <c r="AD51" i="2"/>
  <c r="V51" i="2"/>
  <c r="AK48" i="2"/>
  <c r="U48" i="2"/>
  <c r="AC48" i="2"/>
  <c r="M48" i="2"/>
  <c r="G20" i="2"/>
  <c r="AM36" i="2"/>
  <c r="AE36" i="2"/>
  <c r="W36" i="2"/>
  <c r="O36" i="2"/>
  <c r="F14" i="2"/>
  <c r="AL30" i="2"/>
  <c r="N30" i="2"/>
  <c r="AD30" i="2"/>
  <c r="V30" i="2"/>
  <c r="G11" i="2"/>
  <c r="AM27" i="2"/>
  <c r="O27" i="2"/>
  <c r="AE27" i="2"/>
  <c r="W27" i="2"/>
  <c r="AL43" i="2"/>
  <c r="N43" i="2"/>
  <c r="AD43" i="2"/>
  <c r="V43" i="2"/>
  <c r="AM32" i="2"/>
  <c r="G16" i="2"/>
  <c r="AE32" i="2"/>
  <c r="W32" i="2"/>
  <c r="O32" i="2"/>
  <c r="D12" i="2"/>
  <c r="AJ28" i="2"/>
  <c r="L28" i="2"/>
  <c r="AB28" i="2"/>
  <c r="T28" i="2"/>
  <c r="D20" i="2"/>
  <c r="D17" i="2"/>
  <c r="AM40" i="2"/>
  <c r="O40" i="2"/>
  <c r="AE40" i="2"/>
  <c r="W40" i="2"/>
  <c r="F19" i="2"/>
  <c r="AL35" i="2"/>
  <c r="V35" i="2"/>
  <c r="AD35" i="2"/>
  <c r="N35" i="2"/>
  <c r="C20" i="2"/>
  <c r="AI36" i="2"/>
  <c r="S36" i="2"/>
  <c r="AA36" i="2"/>
  <c r="K36" i="2"/>
  <c r="F11" i="2"/>
  <c r="AL27" i="2"/>
  <c r="AD27" i="2"/>
  <c r="V27" i="2"/>
  <c r="N27" i="2"/>
  <c r="AL42" i="2"/>
  <c r="AD42" i="2"/>
  <c r="V42" i="2"/>
  <c r="N42" i="2"/>
  <c r="AI50" i="2"/>
  <c r="AA50" i="2"/>
  <c r="K50" i="2"/>
  <c r="S50" i="2"/>
  <c r="AL46" i="2"/>
  <c r="AD46" i="2"/>
  <c r="N46" i="2"/>
  <c r="V46" i="2"/>
  <c r="AI49" i="2"/>
  <c r="AA49" i="2"/>
  <c r="K49" i="2"/>
  <c r="S49" i="2"/>
  <c r="D15" i="2"/>
  <c r="AJ31" i="2"/>
  <c r="L31" i="2"/>
  <c r="AB31" i="2"/>
  <c r="T31" i="2"/>
  <c r="E16" i="2"/>
  <c r="AK32" i="2"/>
  <c r="M32" i="2"/>
  <c r="AC32" i="2"/>
  <c r="U32" i="2"/>
  <c r="AI45" i="2"/>
  <c r="AA45" i="2"/>
  <c r="K45" i="2"/>
  <c r="S45" i="2"/>
  <c r="N36" i="2"/>
  <c r="F20" i="2"/>
  <c r="AL36" i="2"/>
  <c r="AD36" i="2"/>
  <c r="V36" i="2"/>
  <c r="AI43" i="2"/>
  <c r="AA43" i="2"/>
  <c r="S43" i="2"/>
  <c r="K43" i="2"/>
  <c r="D14" i="2"/>
  <c r="AJ30" i="2"/>
  <c r="L30" i="2"/>
  <c r="AB30" i="2"/>
  <c r="T30" i="2"/>
  <c r="AK41" i="2"/>
  <c r="AC41" i="2"/>
  <c r="M41" i="2"/>
  <c r="U41" i="2"/>
  <c r="C19" i="2"/>
  <c r="AI35" i="2"/>
  <c r="K35" i="2"/>
  <c r="AA35" i="2"/>
  <c r="S35" i="2"/>
  <c r="E19" i="2"/>
  <c r="AK35" i="2"/>
  <c r="AC35" i="2"/>
  <c r="U35" i="2"/>
  <c r="M35" i="2"/>
  <c r="E15" i="2"/>
  <c r="AK31" i="2"/>
  <c r="AC31" i="2"/>
  <c r="M31" i="2"/>
  <c r="U31" i="2"/>
  <c r="AK45" i="2"/>
  <c r="AC45" i="2"/>
  <c r="U45" i="2"/>
  <c r="M45" i="2"/>
  <c r="F12" i="2"/>
  <c r="AL28" i="2"/>
  <c r="AD28" i="2"/>
  <c r="V28" i="2"/>
  <c r="N28" i="2"/>
  <c r="AJ45" i="2"/>
  <c r="AB45" i="2"/>
  <c r="T45" i="2"/>
  <c r="L45" i="2"/>
  <c r="G17" i="2"/>
  <c r="AM33" i="2"/>
  <c r="AE33" i="2"/>
  <c r="W33" i="2"/>
  <c r="O33" i="2"/>
  <c r="AM42" i="2"/>
  <c r="AE42" i="2"/>
  <c r="W42" i="2"/>
  <c r="O42" i="2"/>
  <c r="AI30" i="2"/>
  <c r="C14" i="2"/>
  <c r="AA30" i="2"/>
  <c r="S30" i="2"/>
  <c r="K30" i="2"/>
  <c r="AK26" i="2"/>
  <c r="E10" i="2"/>
  <c r="U26" i="2"/>
  <c r="AC26" i="2"/>
  <c r="M26" i="2"/>
  <c r="E20" i="2"/>
  <c r="AK36" i="2"/>
  <c r="M36" i="2"/>
  <c r="AC36" i="2"/>
  <c r="U36" i="2"/>
  <c r="E11" i="2"/>
  <c r="AK27" i="2"/>
  <c r="AC27" i="2"/>
  <c r="U27" i="2"/>
  <c r="M27" i="2"/>
  <c r="AJ42" i="2"/>
  <c r="AB42" i="2"/>
  <c r="T42" i="2"/>
  <c r="L42" i="2"/>
  <c r="F17" i="2"/>
  <c r="AL33" i="2"/>
  <c r="AD33" i="2"/>
  <c r="N33" i="2"/>
  <c r="V33" i="2"/>
  <c r="AI40" i="2"/>
  <c r="S40" i="2"/>
  <c r="AA40" i="2"/>
  <c r="K40" i="2"/>
  <c r="C18" i="2"/>
  <c r="AI34" i="2"/>
  <c r="AA34" i="2"/>
  <c r="K34" i="2"/>
  <c r="S34" i="2"/>
  <c r="E12" i="2"/>
  <c r="AK28" i="2"/>
  <c r="AC28" i="2"/>
  <c r="M28" i="2"/>
  <c r="U28" i="2"/>
  <c r="AJ41" i="2"/>
  <c r="AB41" i="2"/>
  <c r="T41" i="2"/>
  <c r="L41" i="2"/>
  <c r="AK50" i="2"/>
  <c r="AC50" i="2"/>
  <c r="M50" i="2"/>
  <c r="U50" i="2"/>
  <c r="F13" i="2"/>
  <c r="AL29" i="2"/>
  <c r="AD29" i="2"/>
  <c r="V29" i="2"/>
  <c r="N29" i="2"/>
  <c r="G10" i="2"/>
  <c r="AM26" i="2"/>
  <c r="AE26" i="2"/>
  <c r="W26" i="2"/>
  <c r="O26" i="2"/>
  <c r="E18" i="2"/>
  <c r="AK34" i="2"/>
  <c r="AC34" i="2"/>
  <c r="U34" i="2"/>
  <c r="M34" i="2"/>
  <c r="AI41" i="2"/>
  <c r="K41" i="2"/>
  <c r="AA41" i="2"/>
  <c r="S41" i="2"/>
  <c r="C9" i="2"/>
  <c r="C15" i="2"/>
  <c r="AI31" i="2"/>
  <c r="AA31" i="2"/>
  <c r="K31" i="2"/>
  <c r="S31" i="2"/>
  <c r="G19" i="2"/>
  <c r="AM35" i="2"/>
  <c r="O35" i="2"/>
  <c r="AE35" i="2"/>
  <c r="W35" i="2"/>
  <c r="AK43" i="2"/>
  <c r="AC43" i="2"/>
  <c r="U43" i="2"/>
  <c r="M43" i="2"/>
  <c r="AM48" i="2"/>
  <c r="W48" i="2"/>
  <c r="AE48" i="2"/>
  <c r="O48" i="2"/>
  <c r="AM44" i="2"/>
  <c r="O44" i="2"/>
  <c r="AE44" i="2"/>
  <c r="W44" i="2"/>
  <c r="AL45" i="2"/>
  <c r="AD45" i="2"/>
  <c r="V45" i="2"/>
  <c r="N45" i="2"/>
  <c r="G9" i="2"/>
  <c r="AM25" i="2"/>
  <c r="AE25" i="2"/>
  <c r="W25" i="2"/>
  <c r="O25" i="2"/>
  <c r="D18" i="2"/>
  <c r="AJ34" i="2"/>
  <c r="L34" i="2"/>
  <c r="AB34" i="2"/>
  <c r="T34" i="2"/>
  <c r="AJ50" i="2"/>
  <c r="T50" i="2"/>
  <c r="AB50" i="2"/>
  <c r="L50" i="2"/>
  <c r="E14" i="2"/>
  <c r="AK30" i="2"/>
  <c r="AC30" i="2"/>
  <c r="U30" i="2"/>
  <c r="M30" i="2"/>
  <c r="AK51" i="2"/>
  <c r="AC51" i="2"/>
  <c r="U51" i="2"/>
  <c r="M51" i="2"/>
  <c r="AJ44" i="2"/>
  <c r="AB44" i="2"/>
  <c r="T44" i="2"/>
  <c r="L44" i="2"/>
  <c r="E17" i="2"/>
  <c r="AK33" i="2"/>
  <c r="AC33" i="2"/>
  <c r="M33" i="2"/>
  <c r="U33" i="2"/>
  <c r="F16" i="2"/>
  <c r="AL32" i="2"/>
  <c r="AD32" i="2"/>
  <c r="N32" i="2"/>
  <c r="V32" i="2"/>
  <c r="AI44" i="2"/>
  <c r="AA44" i="2"/>
  <c r="S44" i="2"/>
  <c r="K44" i="2"/>
  <c r="C16" i="2"/>
  <c r="AI32" i="2"/>
  <c r="AA32" i="2"/>
  <c r="S32" i="2"/>
  <c r="K32" i="2"/>
  <c r="AM41" i="2"/>
  <c r="AE41" i="2"/>
  <c r="W41" i="2"/>
  <c r="O41" i="2"/>
  <c r="C13" i="2"/>
  <c r="AI29" i="2"/>
  <c r="S29" i="2"/>
  <c r="AA29" i="2"/>
  <c r="K29" i="2"/>
  <c r="D16" i="2"/>
  <c r="AJ32" i="2"/>
  <c r="AB32" i="2"/>
  <c r="L32" i="2"/>
  <c r="T32" i="2"/>
  <c r="F15" i="2"/>
  <c r="AL31" i="2"/>
  <c r="N31" i="2"/>
  <c r="AD31" i="2"/>
  <c r="V31" i="2"/>
  <c r="AM51" i="2"/>
  <c r="O51" i="2"/>
  <c r="AE51" i="2"/>
  <c r="W51" i="2"/>
  <c r="AJ43" i="2"/>
  <c r="AB43" i="2"/>
  <c r="L43" i="2"/>
  <c r="T43" i="2"/>
  <c r="AM45" i="2"/>
  <c r="AE45" i="2"/>
  <c r="W45" i="2"/>
  <c r="O45" i="2"/>
  <c r="G15" i="2"/>
  <c r="D19" i="2"/>
  <c r="O61" i="19" l="1"/>
  <c r="G54" i="5"/>
  <c r="G58" i="5" s="1"/>
  <c r="K10" i="2"/>
  <c r="AI10" i="2"/>
  <c r="S10" i="2"/>
  <c r="AI18" i="2"/>
  <c r="K18" i="2"/>
  <c r="AA18" i="2"/>
  <c r="S18" i="2"/>
  <c r="AK15" i="2"/>
  <c r="AC15" i="2"/>
  <c r="U15" i="2"/>
  <c r="M15" i="2"/>
  <c r="AI20" i="2"/>
  <c r="K20" i="2"/>
  <c r="AA20" i="2"/>
  <c r="S20" i="2"/>
  <c r="AJ12" i="2"/>
  <c r="L12" i="2"/>
  <c r="AB12" i="2"/>
  <c r="T12" i="2"/>
  <c r="AK9" i="2"/>
  <c r="AC9" i="2"/>
  <c r="M9" i="2"/>
  <c r="U9" i="2"/>
  <c r="AJ16" i="2"/>
  <c r="L16" i="2"/>
  <c r="AB16" i="2"/>
  <c r="T16" i="2"/>
  <c r="AK17" i="2"/>
  <c r="AC17" i="2"/>
  <c r="U17" i="2"/>
  <c r="M17" i="2"/>
  <c r="AM19" i="2"/>
  <c r="W19" i="2"/>
  <c r="AE19" i="2"/>
  <c r="O19" i="2"/>
  <c r="AM10" i="2"/>
  <c r="O10" i="2"/>
  <c r="AE10" i="2"/>
  <c r="W10" i="2"/>
  <c r="AL17" i="2"/>
  <c r="AD17" i="2"/>
  <c r="N17" i="2"/>
  <c r="V17" i="2"/>
  <c r="AK19" i="2"/>
  <c r="AC19" i="2"/>
  <c r="M19" i="2"/>
  <c r="U19" i="2"/>
  <c r="AK16" i="2"/>
  <c r="AC16" i="2"/>
  <c r="U16" i="2"/>
  <c r="M16" i="2"/>
  <c r="AL19" i="2"/>
  <c r="AD19" i="2"/>
  <c r="V19" i="2"/>
  <c r="N19" i="2"/>
  <c r="AK13" i="2"/>
  <c r="AC13" i="2"/>
  <c r="M13" i="2"/>
  <c r="U13" i="2"/>
  <c r="AJ11" i="2"/>
  <c r="T11" i="2"/>
  <c r="AB11" i="2"/>
  <c r="L11" i="2"/>
  <c r="AI12" i="2"/>
  <c r="AA12" i="2"/>
  <c r="K12" i="2"/>
  <c r="S12" i="2"/>
  <c r="AJ13" i="2"/>
  <c r="AB13" i="2"/>
  <c r="L13" i="2"/>
  <c r="T13" i="2"/>
  <c r="AL16" i="2"/>
  <c r="AD16" i="2"/>
  <c r="V16" i="2"/>
  <c r="N16" i="2"/>
  <c r="AK18" i="2"/>
  <c r="AC18" i="2"/>
  <c r="U18" i="2"/>
  <c r="M18" i="2"/>
  <c r="AI14" i="2"/>
  <c r="AA14" i="2"/>
  <c r="S14" i="2"/>
  <c r="K14" i="2"/>
  <c r="AI15" i="2"/>
  <c r="K15" i="2"/>
  <c r="AA15" i="2"/>
  <c r="S15" i="2"/>
  <c r="AL13" i="2"/>
  <c r="N13" i="2"/>
  <c r="AD13" i="2"/>
  <c r="V13" i="2"/>
  <c r="AK11" i="2"/>
  <c r="AC11" i="2"/>
  <c r="M11" i="2"/>
  <c r="U11" i="2"/>
  <c r="AM17" i="2"/>
  <c r="AE17" i="2"/>
  <c r="O17" i="2"/>
  <c r="W17" i="2"/>
  <c r="AI19" i="2"/>
  <c r="AA19" i="2"/>
  <c r="K19" i="2"/>
  <c r="S19" i="2"/>
  <c r="AJ15" i="2"/>
  <c r="AB15" i="2"/>
  <c r="T15" i="2"/>
  <c r="L15" i="2"/>
  <c r="AJ17" i="2"/>
  <c r="AB17" i="2"/>
  <c r="L17" i="2"/>
  <c r="T17" i="2"/>
  <c r="AM11" i="2"/>
  <c r="AE11" i="2"/>
  <c r="O11" i="2"/>
  <c r="W11" i="2"/>
  <c r="AM12" i="2"/>
  <c r="AE12" i="2"/>
  <c r="O12" i="2"/>
  <c r="W12" i="2"/>
  <c r="AM18" i="2"/>
  <c r="AE18" i="2"/>
  <c r="O18" i="2"/>
  <c r="W18" i="2"/>
  <c r="AI11" i="2"/>
  <c r="K11" i="2"/>
  <c r="AA11" i="2"/>
  <c r="S11" i="2"/>
  <c r="AL18" i="2"/>
  <c r="AD18" i="2"/>
  <c r="V18" i="2"/>
  <c r="N18" i="2"/>
  <c r="AM13" i="2"/>
  <c r="AE13" i="2"/>
  <c r="W13" i="2"/>
  <c r="O13" i="2"/>
  <c r="AL10" i="2"/>
  <c r="AD10" i="2"/>
  <c r="V10" i="2"/>
  <c r="N10" i="2"/>
  <c r="AM14" i="2"/>
  <c r="AE14" i="2"/>
  <c r="O14" i="2"/>
  <c r="W14" i="2"/>
  <c r="AL15" i="2"/>
  <c r="N15" i="2"/>
  <c r="AD15" i="2"/>
  <c r="V15" i="2"/>
  <c r="AM9" i="2"/>
  <c r="AE9" i="2"/>
  <c r="O9" i="2"/>
  <c r="W9" i="2"/>
  <c r="AM16" i="2"/>
  <c r="W16" i="2"/>
  <c r="AE16" i="2"/>
  <c r="O16" i="2"/>
  <c r="AM20" i="2"/>
  <c r="O20" i="2"/>
  <c r="AE20" i="2"/>
  <c r="W20" i="2"/>
  <c r="AI17" i="2"/>
  <c r="AA17" i="2"/>
  <c r="S17" i="2"/>
  <c r="K17" i="2"/>
  <c r="AJ19" i="2"/>
  <c r="AB19" i="2"/>
  <c r="T19" i="2"/>
  <c r="L19" i="2"/>
  <c r="AI13" i="2"/>
  <c r="AA13" i="2"/>
  <c r="S13" i="2"/>
  <c r="K13" i="2"/>
  <c r="AK14" i="2"/>
  <c r="M14" i="2"/>
  <c r="AC14" i="2"/>
  <c r="U14" i="2"/>
  <c r="AM15" i="2"/>
  <c r="O15" i="2"/>
  <c r="AE15" i="2"/>
  <c r="W15" i="2"/>
  <c r="AI16" i="2"/>
  <c r="AA16" i="2"/>
  <c r="S16" i="2"/>
  <c r="K16" i="2"/>
  <c r="AJ18" i="2"/>
  <c r="AB18" i="2"/>
  <c r="T18" i="2"/>
  <c r="L18" i="2"/>
  <c r="AI9" i="2"/>
  <c r="AA9" i="2"/>
  <c r="K9" i="2"/>
  <c r="S9" i="2"/>
  <c r="AK12" i="2"/>
  <c r="AC12" i="2"/>
  <c r="M12" i="2"/>
  <c r="U12" i="2"/>
  <c r="AK20" i="2"/>
  <c r="AC20" i="2"/>
  <c r="U20" i="2"/>
  <c r="M20" i="2"/>
  <c r="AK10" i="2"/>
  <c r="AC10" i="2"/>
  <c r="U10" i="2"/>
  <c r="M10" i="2"/>
  <c r="AL12" i="2"/>
  <c r="AD12" i="2"/>
  <c r="V12" i="2"/>
  <c r="N12" i="2"/>
  <c r="AJ14" i="2"/>
  <c r="L14" i="2"/>
  <c r="AB14" i="2"/>
  <c r="T14" i="2"/>
  <c r="AL20" i="2"/>
  <c r="AD20" i="2"/>
  <c r="V20" i="2"/>
  <c r="N20" i="2"/>
  <c r="AL11" i="2"/>
  <c r="V11" i="2"/>
  <c r="AD11" i="2"/>
  <c r="N11" i="2"/>
  <c r="AJ20" i="2"/>
  <c r="AB20" i="2"/>
  <c r="T20" i="2"/>
  <c r="L20" i="2"/>
  <c r="AL14" i="2"/>
  <c r="N14" i="2"/>
  <c r="AD14" i="2"/>
  <c r="V14" i="2"/>
  <c r="AJ10" i="2"/>
  <c r="AB10" i="2"/>
  <c r="T10" i="2"/>
  <c r="L10" i="2"/>
  <c r="AJ9" i="2"/>
  <c r="AB9" i="2"/>
  <c r="L9" i="2"/>
  <c r="T9" i="2"/>
  <c r="AL9" i="2"/>
  <c r="AD9" i="2"/>
  <c r="V9" i="2"/>
  <c r="N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Yanyong Thammatucharee</author>
  </authors>
  <commentList>
    <comment ref="F13" authorId="0" shapeId="0" xr:uid="{EB17398D-8AA0-48FF-BFB2-2D82D0F36F29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Refer to card number or the 12-question objective.
1-Business
2-Organization
3-Team
4-Product/Service
5-Process/Governance
6-Problem/Solution
7-Uncertainty/Unexpected
8-Work Progress/Completion
9-Society
10-Country
11-World
12-Self
</t>
        </r>
      </text>
    </comment>
    <comment ref="G13" authorId="0" shapeId="0" xr:uid="{2CE2EF5D-A093-4BE2-8A6D-355E2793357C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1-Anxergy
2-Exdysivity
3-Dexterience
4-Avalremy
5-Atammayata</t>
        </r>
      </text>
    </comment>
    <comment ref="H13" authorId="0" shapeId="0" xr:uid="{1CF6F1F9-C2D5-468B-ACEF-4A48AE644140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1-1st Action
2-2nd action onward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Yanyong Thammatucharee</author>
  </authors>
  <commentList>
    <comment ref="AQ141" authorId="0" shapeId="0" xr:uid="{E8FF1882-34FD-4FC4-ABA7-CBE4B6B3E17F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คนยิงธนู
</t>
        </r>
      </text>
    </comment>
    <comment ref="AK155" authorId="0" shapeId="0" xr:uid="{B439F7B1-43B8-4E43-B887-4C73C496CD30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Each card has 2 words. So total words is 120 as per table on the left.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Yanyong Thammatucharee</author>
  </authors>
  <commentList>
    <comment ref="V141" authorId="0" shapeId="0" xr:uid="{A8B8BB14-F8D8-458F-A064-82F10F6F49E4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คนยิงธนู
</t>
        </r>
      </text>
    </comment>
    <comment ref="P155" authorId="0" shapeId="0" xr:uid="{797C971F-7A3A-4C4F-A248-BDD85B2C2D14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Each card has 2 words. So total words is 120 as per table on the left.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Yanyong Thammatucharee</author>
  </authors>
  <commentList>
    <comment ref="AC141" authorId="0" shapeId="0" xr:uid="{4C3C5C3D-0FE0-44CF-A4CB-F64E2F9CA6F2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คนยิงธนู
</t>
        </r>
      </text>
    </comment>
    <comment ref="W155" authorId="0" shapeId="0" xr:uid="{936273EC-08CA-4717-9EE3-AC7C722462C1}">
      <text>
        <r>
          <rPr>
            <b/>
            <sz val="9"/>
            <color indexed="81"/>
            <rFont val="Tahoma"/>
            <family val="2"/>
          </rPr>
          <t>Yanyong Thammatucharee:</t>
        </r>
        <r>
          <rPr>
            <sz val="9"/>
            <color indexed="81"/>
            <rFont val="Tahoma"/>
            <family val="2"/>
          </rPr>
          <t xml:space="preserve">
Each card has 2 words. So total words is 120 as per table on the left.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<sst xmlns="http://schemas.openxmlformats.org/spreadsheetml/2006/main" count="10566" uniqueCount="1077">
  <si>
    <t>Action Value Generation Formula</t>
  </si>
  <si>
    <t>Q</t>
  </si>
  <si>
    <t>W</t>
  </si>
  <si>
    <t>E</t>
  </si>
  <si>
    <t>R</t>
  </si>
  <si>
    <t>T</t>
  </si>
  <si>
    <t>F</t>
  </si>
  <si>
    <t>O</t>
  </si>
  <si>
    <t>C</t>
  </si>
  <si>
    <t>U</t>
  </si>
  <si>
    <t>S</t>
  </si>
  <si>
    <t>Word-1</t>
  </si>
  <si>
    <t>2 WORDS COMBINED VALUE</t>
  </si>
  <si>
    <t>P</t>
  </si>
  <si>
    <t>A</t>
  </si>
  <si>
    <t>Word-2</t>
  </si>
  <si>
    <t>D</t>
  </si>
  <si>
    <t>G</t>
  </si>
  <si>
    <t>X</t>
  </si>
  <si>
    <t>V</t>
  </si>
  <si>
    <t>B</t>
  </si>
  <si>
    <t>N</t>
  </si>
  <si>
    <t>Y</t>
  </si>
  <si>
    <t>I</t>
  </si>
  <si>
    <t>H</t>
  </si>
  <si>
    <t>J</t>
  </si>
  <si>
    <t>K</t>
  </si>
  <si>
    <t>L</t>
  </si>
  <si>
    <t>M</t>
  </si>
  <si>
    <t>Pi</t>
  </si>
  <si>
    <t>Anxergy</t>
  </si>
  <si>
    <t>Exdysivity</t>
  </si>
  <si>
    <t>Dexterience</t>
  </si>
  <si>
    <t>Avalremy</t>
  </si>
  <si>
    <t>Atammayata</t>
  </si>
  <si>
    <t>Action Grid Code</t>
  </si>
  <si>
    <t>Success</t>
  </si>
  <si>
    <t>Card No.</t>
  </si>
  <si>
    <t>Value</t>
  </si>
  <si>
    <t>Major card selection ----&gt;</t>
  </si>
  <si>
    <t>Word-1 Standard Value</t>
  </si>
  <si>
    <t>Word-2 Standard Value</t>
  </si>
  <si>
    <t>STANDARD AVALREM BY CARD &amp; COLOR</t>
  </si>
  <si>
    <t>Excellent</t>
  </si>
  <si>
    <t>Good</t>
  </si>
  <si>
    <t>Fair</t>
  </si>
  <si>
    <t>Poor</t>
  </si>
  <si>
    <t>*</t>
  </si>
  <si>
    <t>Calculator Formula</t>
  </si>
  <si>
    <t>At Success Factor</t>
  </si>
  <si>
    <t>Impact Level</t>
  </si>
  <si>
    <t>Impact Factor Factor</t>
  </si>
  <si>
    <t>2 WORDS COMBINED VALUE - Q</t>
  </si>
  <si>
    <t>WORD-1 Q</t>
  </si>
  <si>
    <t>WORD-2 Q</t>
  </si>
  <si>
    <t>2 WORDS COMBINED VALUE - A</t>
  </si>
  <si>
    <t>WORD-1 A</t>
  </si>
  <si>
    <t>WORD-2 A</t>
  </si>
  <si>
    <t>2 WORDS COMBINED VALUE - C</t>
  </si>
  <si>
    <t>WORD-1 C</t>
  </si>
  <si>
    <t>WORD-2 C</t>
  </si>
  <si>
    <t>2 WORDS COMBINED VALUE - Y</t>
  </si>
  <si>
    <t>WORD-1 Y</t>
  </si>
  <si>
    <t>WORD-2 Y</t>
  </si>
  <si>
    <t>2 WORDS COMBINED VALUE - H</t>
  </si>
  <si>
    <t>WORD-1 H</t>
  </si>
  <si>
    <t>WORD-2 H</t>
  </si>
  <si>
    <t>2 WORDS COMBINED VALUE - S</t>
  </si>
  <si>
    <t>WORD-1 S</t>
  </si>
  <si>
    <t>WORD-2 S</t>
  </si>
  <si>
    <t>2 WORDS COMBINED VALUE - X</t>
  </si>
  <si>
    <t>WORD-1 X</t>
  </si>
  <si>
    <t>WORD-2 X</t>
  </si>
  <si>
    <t>2 WORDS COMBINED VALUE - U</t>
  </si>
  <si>
    <t>WORD-1 U</t>
  </si>
  <si>
    <t>WORD-2 U</t>
  </si>
  <si>
    <t>2 WORDS COMBINED VALUE - J</t>
  </si>
  <si>
    <t>WORD-1 J</t>
  </si>
  <si>
    <t>WORD-2 J</t>
  </si>
  <si>
    <t>WORD-1 W</t>
  </si>
  <si>
    <t>WORD-2 W</t>
  </si>
  <si>
    <t>2 WORDS COMBINED VALUE - W</t>
  </si>
  <si>
    <t>2 WORDS COMBINED VALUE - E</t>
  </si>
  <si>
    <t>WORD-1 E</t>
  </si>
  <si>
    <t>WORD-2 E</t>
  </si>
  <si>
    <t>2 WORDS COMBINED VALUE - D</t>
  </si>
  <si>
    <t>WORD-1 D</t>
  </si>
  <si>
    <t>WORD-2 D</t>
  </si>
  <si>
    <t>2 WORDS COMBINED VALUE - V</t>
  </si>
  <si>
    <t>WORD-1 V</t>
  </si>
  <si>
    <t>WORD-2 V</t>
  </si>
  <si>
    <t>2 WORDS COMBINED VALUE - I</t>
  </si>
  <si>
    <t>WORD-1 I</t>
  </si>
  <si>
    <t>WORD-2 I</t>
  </si>
  <si>
    <t>2 WORDS COMBINED VALUE - K</t>
  </si>
  <si>
    <t>WORD-1 K</t>
  </si>
  <si>
    <t>WORD-2 K</t>
  </si>
  <si>
    <t>2 WORDS COMBINED VALUE - R</t>
  </si>
  <si>
    <t>WORD-1 R</t>
  </si>
  <si>
    <t>WORD-2 R</t>
  </si>
  <si>
    <t>2 WORDS COMBINED VALUE - F</t>
  </si>
  <si>
    <t>WORD-1 F</t>
  </si>
  <si>
    <t>WORD-2 F</t>
  </si>
  <si>
    <t>2 WORDS COMBINED VALUE - B</t>
  </si>
  <si>
    <t>WORD-1 B</t>
  </si>
  <si>
    <t>WORD-2 B</t>
  </si>
  <si>
    <t>2 WORDS COMBINED VALUE - O</t>
  </si>
  <si>
    <t>WORD-1 O</t>
  </si>
  <si>
    <t>WORD-2 O</t>
  </si>
  <si>
    <t>2 WORDS COMBINED VALUE - L</t>
  </si>
  <si>
    <t>WORD-1 L</t>
  </si>
  <si>
    <t>WORD-2 L</t>
  </si>
  <si>
    <t>2 WORDS COMBINED VALUE - T</t>
  </si>
  <si>
    <t>WORD-1 T</t>
  </si>
  <si>
    <t>WORD-2 T</t>
  </si>
  <si>
    <t>2 WORDS COMBINED VALUE - G</t>
  </si>
  <si>
    <t>WORD-1 G</t>
  </si>
  <si>
    <t>WORD-2 G</t>
  </si>
  <si>
    <t>2 WORDS COMBINED VALUE - N</t>
  </si>
  <si>
    <t>WORD-1 N</t>
  </si>
  <si>
    <t>WORD-2 N</t>
  </si>
  <si>
    <t>2 WORDS COMBINED VALUE - P</t>
  </si>
  <si>
    <t>WORD-1 P</t>
  </si>
  <si>
    <t>WORD-2 P</t>
  </si>
  <si>
    <t>2 WORDS COMBINED VALUE - M</t>
  </si>
  <si>
    <t>WORD-1 M</t>
  </si>
  <si>
    <t>WORD-2 M</t>
  </si>
  <si>
    <t>To delete 15 words</t>
  </si>
  <si>
    <t>Abandon</t>
  </si>
  <si>
    <t>Abolish</t>
  </si>
  <si>
    <t xml:space="preserve">duplicate with </t>
  </si>
  <si>
    <t>elimination</t>
  </si>
  <si>
    <t>Accelerate</t>
  </si>
  <si>
    <t>Adjust</t>
  </si>
  <si>
    <t>Adopt</t>
  </si>
  <si>
    <t>Allocate</t>
  </si>
  <si>
    <t>Analyse</t>
  </si>
  <si>
    <t>Announce</t>
  </si>
  <si>
    <t>Approve</t>
  </si>
  <si>
    <t>Arrange</t>
  </si>
  <si>
    <t>Ask for help</t>
  </si>
  <si>
    <t>Special</t>
  </si>
  <si>
    <t>Call</t>
  </si>
  <si>
    <t>Follow up</t>
  </si>
  <si>
    <t>Certify</t>
  </si>
  <si>
    <t>Change</t>
  </si>
  <si>
    <t>Check</t>
  </si>
  <si>
    <t>Close</t>
  </si>
  <si>
    <t>stop</t>
  </si>
  <si>
    <t>Collaborate</t>
  </si>
  <si>
    <t>Complete</t>
  </si>
  <si>
    <t>Confirm</t>
  </si>
  <si>
    <t>Double</t>
  </si>
  <si>
    <t>Create</t>
  </si>
  <si>
    <t>Cultivate</t>
  </si>
  <si>
    <t>Establish</t>
  </si>
  <si>
    <t>Declare</t>
  </si>
  <si>
    <t>Deligate</t>
  </si>
  <si>
    <t>Design</t>
  </si>
  <si>
    <t>Decide</t>
  </si>
  <si>
    <t>for Atammayata</t>
  </si>
  <si>
    <t>Determine</t>
  </si>
  <si>
    <t>Develop</t>
  </si>
  <si>
    <t>Discuss</t>
  </si>
  <si>
    <t>Do it now</t>
  </si>
  <si>
    <t>Don't forget</t>
  </si>
  <si>
    <t>Don't wait</t>
  </si>
  <si>
    <t>Educate</t>
  </si>
  <si>
    <t>Eliminate</t>
  </si>
  <si>
    <t>Empower</t>
  </si>
  <si>
    <t>Train</t>
  </si>
  <si>
    <t>Encourage</t>
  </si>
  <si>
    <t>Set up</t>
  </si>
  <si>
    <t>Evaluate</t>
  </si>
  <si>
    <t>Examine</t>
  </si>
  <si>
    <t>Explore</t>
  </si>
  <si>
    <t>Facilitate</t>
  </si>
  <si>
    <t>Feel it</t>
  </si>
  <si>
    <t>Fill up</t>
  </si>
  <si>
    <t>change the word to</t>
  </si>
  <si>
    <t>Force</t>
  </si>
  <si>
    <t>Hear it</t>
  </si>
  <si>
    <t>Imagine</t>
  </si>
  <si>
    <t>Implement</t>
  </si>
  <si>
    <t>Institute</t>
  </si>
  <si>
    <t>Integrate</t>
  </si>
  <si>
    <t>Invest</t>
  </si>
  <si>
    <t>Investigate</t>
  </si>
  <si>
    <t>Invite</t>
  </si>
  <si>
    <t>Involve</t>
  </si>
  <si>
    <t>Join</t>
  </si>
  <si>
    <t>Participate</t>
  </si>
  <si>
    <t>Jump</t>
  </si>
  <si>
    <t>Justify</t>
  </si>
  <si>
    <t>Keep moving</t>
  </si>
  <si>
    <t>Leave it</t>
  </si>
  <si>
    <t>Listen</t>
  </si>
  <si>
    <t>Manage</t>
  </si>
  <si>
    <t>Perform</t>
  </si>
  <si>
    <t>Measure</t>
  </si>
  <si>
    <t>Modify</t>
  </si>
  <si>
    <t>Monitor</t>
  </si>
  <si>
    <t>Observe</t>
  </si>
  <si>
    <t>Organize</t>
  </si>
  <si>
    <t>Practice</t>
  </si>
  <si>
    <t>Prepare</t>
  </si>
  <si>
    <t>Promote</t>
  </si>
  <si>
    <t>Rehearse</t>
  </si>
  <si>
    <t>Renovate</t>
  </si>
  <si>
    <t>Report</t>
  </si>
  <si>
    <t>Respond</t>
  </si>
  <si>
    <t>Scrutinize</t>
  </si>
  <si>
    <t>Search</t>
  </si>
  <si>
    <t>Survey</t>
  </si>
  <si>
    <t>Seek</t>
  </si>
  <si>
    <t>Assign</t>
  </si>
  <si>
    <t>Self-force</t>
  </si>
  <si>
    <t>Authorize</t>
  </si>
  <si>
    <t>Share</t>
  </si>
  <si>
    <t>Do</t>
  </si>
  <si>
    <t>Soldier through</t>
  </si>
  <si>
    <t>Act</t>
  </si>
  <si>
    <t>Start</t>
  </si>
  <si>
    <t>Inform</t>
  </si>
  <si>
    <t>Stop</t>
  </si>
  <si>
    <t>Tell</t>
  </si>
  <si>
    <t>Stop it</t>
  </si>
  <si>
    <t>Support</t>
  </si>
  <si>
    <t>Study</t>
  </si>
  <si>
    <t>Test</t>
  </si>
  <si>
    <t>Think twice</t>
  </si>
  <si>
    <t>Try understanding</t>
  </si>
  <si>
    <t>Understand</t>
  </si>
  <si>
    <t>Not an action</t>
  </si>
  <si>
    <t>Update</t>
  </si>
  <si>
    <t>Wake up</t>
  </si>
  <si>
    <t>What's next</t>
  </si>
  <si>
    <t xml:space="preserve">The 25 Key Action Cards </t>
  </si>
  <si>
    <t>Warning Cards</t>
  </si>
  <si>
    <t>The 5 Principles:</t>
  </si>
  <si>
    <t>00</t>
  </si>
  <si>
    <t>BLACK</t>
  </si>
  <si>
    <t>Be decisive and urgent</t>
  </si>
  <si>
    <t>Reduce each list to 12 items</t>
  </si>
  <si>
    <t>Build on strength</t>
  </si>
  <si>
    <t>Don't focus on weakness alone</t>
  </si>
  <si>
    <t>รูปภาพ</t>
  </si>
  <si>
    <t>Be very creative</t>
  </si>
  <si>
    <t>Think outside and be flexible</t>
  </si>
  <si>
    <t>&amp;</t>
  </si>
  <si>
    <t>RED</t>
  </si>
  <si>
    <t>Correct</t>
  </si>
  <si>
    <t>YELLOW</t>
  </si>
  <si>
    <t>Move</t>
  </si>
  <si>
    <t>PINK</t>
  </si>
  <si>
    <t>Control it</t>
  </si>
  <si>
    <t>Don't wait until it worsens</t>
  </si>
  <si>
    <t>Analyze</t>
  </si>
  <si>
    <t>Prevent</t>
  </si>
  <si>
    <t>Schedule</t>
  </si>
  <si>
    <t>Don't miss it</t>
  </si>
  <si>
    <t>Clear outstanding issues</t>
  </si>
  <si>
    <t>Network</t>
  </si>
  <si>
    <t>Push</t>
  </si>
  <si>
    <t>Improve</t>
  </si>
  <si>
    <t>Be prepared</t>
  </si>
  <si>
    <t>Study feasibility and scenarios</t>
  </si>
  <si>
    <t>Embrace</t>
  </si>
  <si>
    <t>Research</t>
  </si>
  <si>
    <t>Project</t>
  </si>
  <si>
    <t>Change your belief</t>
  </si>
  <si>
    <t>Knowing yourself &amp; be flexible</t>
  </si>
  <si>
    <t>Standardize</t>
  </si>
  <si>
    <t>Discover</t>
  </si>
  <si>
    <t>Inspect</t>
  </si>
  <si>
    <t>Eliminate your ego</t>
  </si>
  <si>
    <t>Conclude</t>
  </si>
  <si>
    <t>Mentor</t>
  </si>
  <si>
    <t>Relax &amp; Wait</t>
  </si>
  <si>
    <t>Expect emerging situation</t>
  </si>
  <si>
    <t>Request</t>
  </si>
  <si>
    <t>Be open</t>
  </si>
  <si>
    <t>Listen to others</t>
  </si>
  <si>
    <t>Operate</t>
  </si>
  <si>
    <t>Clean</t>
  </si>
  <si>
    <t>Distribute</t>
  </si>
  <si>
    <t>Appreciate it</t>
  </si>
  <si>
    <t>Recognize, reward &amp; celebrate</t>
  </si>
  <si>
    <t>Cooperate</t>
  </si>
  <si>
    <t>Suggest</t>
  </si>
  <si>
    <t>Synchronize</t>
  </si>
  <si>
    <t>Try new things</t>
  </si>
  <si>
    <t>Explore and dare to fail</t>
  </si>
  <si>
    <t>Risk</t>
  </si>
  <si>
    <t>Uncover</t>
  </si>
  <si>
    <t>Adapt</t>
  </si>
  <si>
    <t>Calibrate</t>
  </si>
  <si>
    <t>Be cautious and preventive</t>
  </si>
  <si>
    <t>Initiate</t>
  </si>
  <si>
    <t>Teach</t>
  </si>
  <si>
    <t>Experiment</t>
  </si>
  <si>
    <t>Don't give up and no excuse</t>
  </si>
  <si>
    <t>Execute</t>
  </si>
  <si>
    <t>Manipulate</t>
  </si>
  <si>
    <t>Sacrifice it</t>
  </si>
  <si>
    <t>Walk away from it.</t>
  </si>
  <si>
    <t>Commit</t>
  </si>
  <si>
    <t>BLUE</t>
  </si>
  <si>
    <t>Vision</t>
  </si>
  <si>
    <t>GREEN</t>
  </si>
  <si>
    <t>Forecast</t>
  </si>
  <si>
    <t>Assess</t>
  </si>
  <si>
    <t>Order</t>
  </si>
  <si>
    <t>Formalize</t>
  </si>
  <si>
    <t>React</t>
  </si>
  <si>
    <t>Obtain</t>
  </si>
  <si>
    <t>Coach</t>
  </si>
  <si>
    <t>Follow-up</t>
  </si>
  <si>
    <t>Warn</t>
  </si>
  <si>
    <t>Meet</t>
  </si>
  <si>
    <t>Transform</t>
  </si>
  <si>
    <t>In Reading the Card:</t>
  </si>
  <si>
    <t>Learn</t>
  </si>
  <si>
    <t>Delegate</t>
  </si>
  <si>
    <t>After shuffling, draw 7 card representing</t>
  </si>
  <si>
    <t>Major acana</t>
  </si>
  <si>
    <t>Run</t>
  </si>
  <si>
    <t>Red Power</t>
  </si>
  <si>
    <t>Review</t>
  </si>
  <si>
    <t xml:space="preserve">Repair </t>
  </si>
  <si>
    <t>Blue Power</t>
  </si>
  <si>
    <t>Identify</t>
  </si>
  <si>
    <t>Revise</t>
  </si>
  <si>
    <t>Yellow Power</t>
  </si>
  <si>
    <t>Green Power</t>
  </si>
  <si>
    <t>Pink Power</t>
  </si>
  <si>
    <t>Warning</t>
  </si>
  <si>
    <t>Sorting Review for use in 60 cards with 2 words per one card</t>
  </si>
  <si>
    <t>Ideas for Card Picture:</t>
  </si>
  <si>
    <t>Item</t>
  </si>
  <si>
    <t>Kerdomic</t>
  </si>
  <si>
    <t>Old</t>
  </si>
  <si>
    <t>Action Grid</t>
  </si>
  <si>
    <t>5 C</t>
  </si>
  <si>
    <t>Power of Cut</t>
  </si>
  <si>
    <t>เครื่องมือช่าง</t>
  </si>
  <si>
    <t>ใช้ขวานผ่าฟืน</t>
  </si>
  <si>
    <t>เข็มเย็บผ้า</t>
  </si>
  <si>
    <t>ลูกกุญแจ</t>
  </si>
  <si>
    <t>ค้อนตอกตะปู</t>
  </si>
  <si>
    <t>Power of Change</t>
  </si>
  <si>
    <t>สิ่งมหัสจรรย์ของโลก</t>
  </si>
  <si>
    <t>กำแพงเมือง</t>
  </si>
  <si>
    <t>ยานอวกาศ</t>
  </si>
  <si>
    <t>ปิรามิด</t>
  </si>
  <si>
    <t>เขื่อนกั้นน้ำ</t>
  </si>
  <si>
    <t>Power of Concern</t>
  </si>
  <si>
    <t>สิ่งประดิษฐ์ปฏิวัติโลก</t>
  </si>
  <si>
    <t>วงล้อบนเกวียน</t>
  </si>
  <si>
    <t>บันไดทางขึ้น</t>
  </si>
  <si>
    <t>รางรถไฟ</t>
  </si>
  <si>
    <t>เครื่องบินบนฟ้า</t>
  </si>
  <si>
    <t>Power of Capability</t>
  </si>
  <si>
    <t>สัตว์ชนิดต่างๆ</t>
  </si>
  <si>
    <t>งูลอกคราบ</t>
  </si>
  <si>
    <t>สิงห์โตล่าเหยื่อ</t>
  </si>
  <si>
    <t>ฝูงปลาว่าย</t>
  </si>
  <si>
    <t>นกบินอพยพ</t>
  </si>
  <si>
    <t>ความยื่งใหญ่ของธรรมชาติ</t>
  </si>
  <si>
    <t>ดาวในจักรวาล</t>
  </si>
  <si>
    <t>คลื่นทะเล</t>
  </si>
  <si>
    <t>ดวงอาทิตย์</t>
  </si>
  <si>
    <t>พระจันทร์</t>
  </si>
  <si>
    <t>Produce</t>
  </si>
  <si>
    <t>ทักษะอาชีพต่างๆ</t>
  </si>
  <si>
    <t>งานปั้นหม้อ</t>
  </si>
  <si>
    <t>งานทอผ้า</t>
  </si>
  <si>
    <t>ทำนาข้าว</t>
  </si>
  <si>
    <t>ถ้ำอยู่อาศัย</t>
  </si>
  <si>
    <t>Power of Creation</t>
  </si>
  <si>
    <t>งานทำเป็นทีม</t>
  </si>
  <si>
    <t>กองเชียร์</t>
  </si>
  <si>
    <t>ขบวนสวนสนาม</t>
  </si>
  <si>
    <t>วงดนตรี</t>
  </si>
  <si>
    <t>งานก่อสร้าง</t>
  </si>
  <si>
    <t>งานแก้ไขอุปสรรค</t>
  </si>
  <si>
    <t>รถดับเพลิง</t>
  </si>
  <si>
    <t>ห้องฉุกเฉิน</t>
  </si>
  <si>
    <t>โรงงาน</t>
  </si>
  <si>
    <t>เรือบรรทุกสินค้า</t>
  </si>
  <si>
    <t>งานทดลอง ค้นคว้า วิจัย</t>
  </si>
  <si>
    <t>คนอ่านหนังสือ</t>
  </si>
  <si>
    <t>ห้องทดลอง</t>
  </si>
  <si>
    <t>คนเดียวนั่งคิด</t>
  </si>
  <si>
    <t>คนในห้องประชุม</t>
  </si>
  <si>
    <t>ระบบงานควบคุมต่างๆ</t>
  </si>
  <si>
    <t>ประภาคาร</t>
  </si>
  <si>
    <t>เข็มทิศ</t>
  </si>
  <si>
    <t>แว่นขยาย</t>
  </si>
  <si>
    <t>แผนที่โลก</t>
  </si>
  <si>
    <t>ภัยธรรมชาติ</t>
  </si>
  <si>
    <t>ภูเขาไฟระเบิด</t>
  </si>
  <si>
    <t>ลมพายุ</t>
  </si>
  <si>
    <t>ฝนตก</t>
  </si>
  <si>
    <t>หิมะตก</t>
  </si>
  <si>
    <t>รางวัลความสำเร็จ</t>
  </si>
  <si>
    <t>ถ้วยรางวัล</t>
  </si>
  <si>
    <t>หีบสมบัติ</t>
  </si>
  <si>
    <t>กล่องของขวัญ</t>
  </si>
  <si>
    <t>เหรียญรางวัล</t>
  </si>
  <si>
    <t>งานศิลปะ</t>
  </si>
  <si>
    <t>จิตกรวาดภาพ</t>
  </si>
  <si>
    <t>ช่างปั้นรูปปั้น</t>
  </si>
  <si>
    <t>นักมายากล</t>
  </si>
  <si>
    <t>นักแสดงบนเวที</t>
  </si>
  <si>
    <t>การเปลี่ยนแปลงในปัจจุบัน</t>
  </si>
  <si>
    <t>ผังองค์กร</t>
  </si>
  <si>
    <t>ชาร์ตควบคุม</t>
  </si>
  <si>
    <t>2 คนเชคแฮนด์</t>
  </si>
  <si>
    <t>ฝักไข่เป็นตัว</t>
  </si>
  <si>
    <t>ฝึกจิตใจ</t>
  </si>
  <si>
    <t>ดอกบัว</t>
  </si>
  <si>
    <t>คนนั่งสมาธิ</t>
  </si>
  <si>
    <t>หมากรุก</t>
  </si>
  <si>
    <t>ครูสอนนักเรียน</t>
  </si>
  <si>
    <t>Warning 15 cards</t>
  </si>
  <si>
    <t>Symbols</t>
  </si>
  <si>
    <t>???</t>
  </si>
  <si>
    <t>หมวก</t>
  </si>
  <si>
    <t>รองเท้า</t>
  </si>
  <si>
    <t>กลอง</t>
  </si>
  <si>
    <t>คนปีนเขา</t>
  </si>
  <si>
    <t>!!!</t>
  </si>
  <si>
    <t>ร่ม</t>
  </si>
  <si>
    <t>กระเป๋าเดินทาง</t>
  </si>
  <si>
    <t>ระฆัง</t>
  </si>
  <si>
    <t>ถูกผิด</t>
  </si>
  <si>
    <t>ไม้เท้า</t>
  </si>
  <si>
    <t>หมา</t>
  </si>
  <si>
    <t>คบเพลิง</t>
  </si>
  <si>
    <t>ขาวตัดดำ=เทา</t>
  </si>
  <si>
    <t>Arcana 25 cards</t>
  </si>
  <si>
    <t>Abstract Picture</t>
  </si>
  <si>
    <t>or picture of reward and celebration</t>
  </si>
  <si>
    <t>นิ้วชี้ขึ้นฟ้า</t>
  </si>
  <si>
    <t>กวักมือเรียก</t>
  </si>
  <si>
    <t>ยกมือห้าม</t>
  </si>
  <si>
    <t>ชี้ลงพื้น</t>
  </si>
  <si>
    <t>ยกนิ้วหรือโบกมือลา</t>
  </si>
  <si>
    <t>ยืน</t>
  </si>
  <si>
    <t>คนทำสัญลักษณ์</t>
  </si>
  <si>
    <t>วิ่ง</t>
  </si>
  <si>
    <t>ก้มหัว</t>
  </si>
  <si>
    <t>นั่งขัดสมาธิ</t>
  </si>
  <si>
    <t>กลับหัว</t>
  </si>
  <si>
    <t>Future</t>
  </si>
  <si>
    <t>Operation</t>
  </si>
  <si>
    <t>Control</t>
  </si>
  <si>
    <t>Utilization</t>
  </si>
  <si>
    <t>System</t>
  </si>
  <si>
    <t>Plan</t>
  </si>
  <si>
    <t>desired future.</t>
  </si>
  <si>
    <t>approved organization structure.</t>
  </si>
  <si>
    <t>good corporate governance practices.</t>
  </si>
  <si>
    <t>feasibility study.</t>
  </si>
  <si>
    <t>system implementation plan.</t>
  </si>
  <si>
    <t>process and structure.</t>
  </si>
  <si>
    <t>action plan.</t>
  </si>
  <si>
    <t>stop button to limit damages.</t>
  </si>
  <si>
    <t>suitable resources.</t>
  </si>
  <si>
    <t>follow-up and monitoring system.</t>
  </si>
  <si>
    <t>the ultimate goals.</t>
  </si>
  <si>
    <t>brainstorming process.</t>
  </si>
  <si>
    <t>responsible committee.</t>
  </si>
  <si>
    <t>hidden waste.</t>
  </si>
  <si>
    <t>action value accounting system.</t>
  </si>
  <si>
    <t>Execution</t>
  </si>
  <si>
    <t>business plan</t>
  </si>
  <si>
    <t>business plan and strategies.</t>
  </si>
  <si>
    <t>audit plan.</t>
  </si>
  <si>
    <t>resource utilization.</t>
  </si>
  <si>
    <t>team members.</t>
  </si>
  <si>
    <t>the development process.</t>
  </si>
  <si>
    <t>other functions.</t>
  </si>
  <si>
    <t>on status of work-in-progress.</t>
  </si>
  <si>
    <t>the team performance.</t>
  </si>
  <si>
    <t>the project or assignment.</t>
  </si>
  <si>
    <t>the commencement of the process.</t>
  </si>
  <si>
    <t>the right person.</t>
  </si>
  <si>
    <t>the performance and operation.</t>
  </si>
  <si>
    <t>delayed actions.</t>
  </si>
  <si>
    <t>effective and efficient actions.</t>
  </si>
  <si>
    <t>Analysis</t>
  </si>
  <si>
    <t>future business goal and attainability.</t>
  </si>
  <si>
    <t>actual VS budget performance.</t>
  </si>
  <si>
    <t>standard practices.</t>
  </si>
  <si>
    <t>effectiveness of strategy execution.</t>
  </si>
  <si>
    <t>system reliability</t>
  </si>
  <si>
    <t>social project success.</t>
  </si>
  <si>
    <t>efficiency and effectiveness of the process.</t>
  </si>
  <si>
    <t>variance from business plan.</t>
  </si>
  <si>
    <t>statistics and trend.</t>
  </si>
  <si>
    <t>impact of supporting activities.</t>
  </si>
  <si>
    <t>satisfaction level.</t>
  </si>
  <si>
    <t>continuity of the activity.</t>
  </si>
  <si>
    <t>value added improvement.</t>
  </si>
  <si>
    <t>consistency of activity support.</t>
  </si>
  <si>
    <t>Communication</t>
  </si>
  <si>
    <t>goals and objectives</t>
  </si>
  <si>
    <t>presentive measures.</t>
  </si>
  <si>
    <t>to control related information.</t>
  </si>
  <si>
    <t>with concerned parties for new ideas.</t>
  </si>
  <si>
    <t>on system development.</t>
  </si>
  <si>
    <t>discussion meeting.</t>
  </si>
  <si>
    <t>final and completion process.</t>
  </si>
  <si>
    <t>responsible people on business plan achievement.</t>
  </si>
  <si>
    <t>bad communication practices.</t>
  </si>
  <si>
    <t>the effective communication on result of the performance.</t>
  </si>
  <si>
    <t>network on trend follow-up.</t>
  </si>
  <si>
    <t>idea and supporting project.</t>
  </si>
  <si>
    <t>people on procedure, rules and regulations.</t>
  </si>
  <si>
    <t>on communication as a strategic tool.</t>
  </si>
  <si>
    <t>new technology for communication.</t>
  </si>
  <si>
    <t>new opportunities and practices.</t>
  </si>
  <si>
    <t>change internally and externally.</t>
  </si>
  <si>
    <t>change process status.</t>
  </si>
  <si>
    <t>current resource allocation.</t>
  </si>
  <si>
    <t>existing system.</t>
  </si>
  <si>
    <t>irrelevant change plan.</t>
  </si>
  <si>
    <t>affected people in change process.</t>
  </si>
  <si>
    <t>independent third opinion.</t>
  </si>
  <si>
    <t>responsive strategies.</t>
  </si>
  <si>
    <t>current system.</t>
  </si>
  <si>
    <t>new effective system.</t>
  </si>
  <si>
    <t>to natural changes.</t>
  </si>
  <si>
    <t>3rd opinion for change process.</t>
  </si>
  <si>
    <t>waste and loss mindset.</t>
  </si>
  <si>
    <t>self-change system.</t>
  </si>
  <si>
    <t>Kirdomic No.</t>
  </si>
  <si>
    <t>Total Card No.</t>
  </si>
  <si>
    <t>Word#</t>
  </si>
  <si>
    <t>Kirdomic Concept Code (enter card number 1 to 5)</t>
  </si>
  <si>
    <t>Word Card Number (enter card number 1 or 2)</t>
  </si>
  <si>
    <t>Value Code</t>
  </si>
  <si>
    <t>Value Check</t>
  </si>
  <si>
    <t>AVALREM - ACTION VALUE CALCULATOR</t>
  </si>
  <si>
    <t>The success factor is linked to the success rate variable in sheet "Detailed Avalrem Tables"</t>
  </si>
  <si>
    <t>Basic Success Rate</t>
  </si>
  <si>
    <t>The success rate below is calculated by adding "Basic Success Rate" with Avalrem Factor.</t>
  </si>
  <si>
    <t>TOTAL SUCCESS FACTOR</t>
  </si>
  <si>
    <t>This includes the impact factor in "Avalrem Factor Matrix."</t>
  </si>
  <si>
    <t>Date</t>
  </si>
  <si>
    <t>Action Performed</t>
  </si>
  <si>
    <t>Action Value Evaluation</t>
  </si>
  <si>
    <t>Action Order</t>
  </si>
  <si>
    <t>[1 or 2]</t>
  </si>
  <si>
    <t>Kirdomic Code</t>
  </si>
  <si>
    <t>[1-5]</t>
  </si>
  <si>
    <t>25 Letters</t>
  </si>
  <si>
    <t>Context Code</t>
  </si>
  <si>
    <t>[1-12]</t>
  </si>
  <si>
    <t>Success Factor</t>
  </si>
  <si>
    <t>Avalrem</t>
  </si>
  <si>
    <t>Result</t>
  </si>
  <si>
    <t>Total Avalrem</t>
  </si>
  <si>
    <t>Total by Level</t>
  </si>
  <si>
    <t>Dangerous</t>
  </si>
  <si>
    <t>Terminate</t>
  </si>
  <si>
    <t>Exceptional</t>
  </si>
  <si>
    <t>Very poor</t>
  </si>
  <si>
    <t>Very good</t>
  </si>
  <si>
    <t>Threatening</t>
  </si>
  <si>
    <t>Follow up on outstanding JV for month-end close and suggest to the team what needs to be done.</t>
  </si>
  <si>
    <t xml:space="preserve">   Please Enter an Action Word here ---&gt;</t>
  </si>
  <si>
    <t xml:space="preserve">   Please Enter Criteria Below:</t>
  </si>
  <si>
    <t>Action Value Code</t>
  </si>
  <si>
    <t xml:space="preserve">   Please Enter an Action Grid Code </t>
  </si>
  <si>
    <t>Intrinsic Value</t>
  </si>
  <si>
    <t>Unit</t>
  </si>
  <si>
    <t xml:space="preserve">Action </t>
  </si>
  <si>
    <t>1/137adj</t>
  </si>
  <si>
    <t>Calculate from 25 action grid value and average by dividing with 25</t>
  </si>
  <si>
    <t>Action Item</t>
  </si>
  <si>
    <t>a</t>
  </si>
  <si>
    <t>i</t>
  </si>
  <si>
    <t>Avalrem  =</t>
  </si>
  <si>
    <t>Time Impact</t>
  </si>
  <si>
    <t>Degree of Action</t>
  </si>
  <si>
    <t>(a - i)</t>
  </si>
  <si>
    <t>Meaning</t>
  </si>
  <si>
    <t>Higher is better</t>
  </si>
  <si>
    <t>Lower is better</t>
  </si>
  <si>
    <t>Action-1</t>
  </si>
  <si>
    <t>Action-2</t>
  </si>
  <si>
    <t>Action-3</t>
  </si>
  <si>
    <t>Action-4</t>
  </si>
  <si>
    <t>Action-5</t>
  </si>
  <si>
    <t>c</t>
  </si>
  <si>
    <t>AVALREM FORMULA</t>
  </si>
  <si>
    <t>Future value of action impacts</t>
  </si>
  <si>
    <t>Discount rate of future</t>
  </si>
  <si>
    <t>EXAMPLE - 1</t>
  </si>
  <si>
    <t>EXAMPLE - 2</t>
  </si>
  <si>
    <t>Determination of Action Time Impact</t>
  </si>
  <si>
    <t>Best</t>
  </si>
  <si>
    <t>Progress</t>
  </si>
  <si>
    <t>Waiting</t>
  </si>
  <si>
    <t>Slow</t>
  </si>
  <si>
    <t>Delay</t>
  </si>
  <si>
    <t>Serious</t>
  </si>
  <si>
    <t>Damage</t>
  </si>
  <si>
    <t>Action Time Impact</t>
  </si>
  <si>
    <t>Determination of Degree of Action</t>
  </si>
  <si>
    <t>None</t>
  </si>
  <si>
    <t>Insufficient</t>
  </si>
  <si>
    <t>Light</t>
  </si>
  <si>
    <t>Sufficient</t>
  </si>
  <si>
    <t>Strong</t>
  </si>
  <si>
    <t>Heavy</t>
  </si>
  <si>
    <t>Powerful</t>
  </si>
  <si>
    <t>Time score - lower is better</t>
  </si>
  <si>
    <t>Impact % - higher is better</t>
  </si>
  <si>
    <t>0.1%-99.99%</t>
  </si>
  <si>
    <t>1.00 - 100.00</t>
  </si>
  <si>
    <t>60.00 - 1.00</t>
  </si>
  <si>
    <t>5.01-10.00</t>
  </si>
  <si>
    <t>30.01-40.00</t>
  </si>
  <si>
    <t>40.01-50.00</t>
  </si>
  <si>
    <t>50.01-60.00</t>
  </si>
  <si>
    <t>20.01-30.00</t>
  </si>
  <si>
    <t>10.01-20.00</t>
  </si>
  <si>
    <t>1.00-5.00</t>
  </si>
  <si>
    <t>0.10%-5.00%</t>
  </si>
  <si>
    <t>5.01%-10.00%</t>
  </si>
  <si>
    <t>10.01% -20.00%</t>
  </si>
  <si>
    <t>80.01%-99.99%</t>
  </si>
  <si>
    <t>20.01%-40.00%</t>
  </si>
  <si>
    <t>40.01%-60.00%</t>
  </si>
  <si>
    <t>60.01%-80.00%</t>
  </si>
  <si>
    <t>Impact rate of future consequence</t>
  </si>
  <si>
    <t>Avalrem   =</t>
  </si>
  <si>
    <t>i=1</t>
  </si>
  <si>
    <t>n</t>
  </si>
  <si>
    <r>
      <t xml:space="preserve">Avalrem </t>
    </r>
    <r>
      <rPr>
        <b/>
        <vertAlign val="subscript"/>
        <sz val="20"/>
        <color theme="1"/>
        <rFont val="Tahoma"/>
        <family val="2"/>
        <scheme val="minor"/>
      </rPr>
      <t>i</t>
    </r>
  </si>
  <si>
    <t>Future value of action impact</t>
  </si>
  <si>
    <t>Action-6</t>
  </si>
  <si>
    <t>Action-7</t>
  </si>
  <si>
    <t>Scale</t>
  </si>
  <si>
    <t>Action Intrinsic Value</t>
  </si>
  <si>
    <t>Kdm</t>
  </si>
  <si>
    <t>Multiplier of Avalrem</t>
  </si>
  <si>
    <r>
      <t>Avalrem</t>
    </r>
    <r>
      <rPr>
        <sz val="16"/>
        <color theme="1"/>
        <rFont val="Tahoma"/>
        <family val="2"/>
        <scheme val="minor"/>
      </rPr>
      <t xml:space="preserve"> </t>
    </r>
    <r>
      <rPr>
        <b/>
        <vertAlign val="subscript"/>
        <sz val="16"/>
        <color theme="1"/>
        <rFont val="Tahoma"/>
        <family val="2"/>
        <scheme val="minor"/>
      </rPr>
      <t>i</t>
    </r>
  </si>
  <si>
    <t>Intrinsic value</t>
  </si>
  <si>
    <t>C.1</t>
  </si>
  <si>
    <t>a.1</t>
  </si>
  <si>
    <t>i.1</t>
  </si>
  <si>
    <t>World</t>
  </si>
  <si>
    <t>Country</t>
  </si>
  <si>
    <t>Society</t>
  </si>
  <si>
    <t>Business</t>
  </si>
  <si>
    <t>Organization</t>
  </si>
  <si>
    <t>Team</t>
  </si>
  <si>
    <t>Product</t>
  </si>
  <si>
    <t>Process</t>
  </si>
  <si>
    <t>Problem</t>
  </si>
  <si>
    <t>Uncertainty</t>
  </si>
  <si>
    <t>Completion</t>
  </si>
  <si>
    <t>Self</t>
  </si>
  <si>
    <t>Question-1</t>
  </si>
  <si>
    <t>Question-2</t>
  </si>
  <si>
    <t>Question-3</t>
  </si>
  <si>
    <t>Question-4</t>
  </si>
  <si>
    <t>Question-5</t>
  </si>
  <si>
    <t>Question-6</t>
  </si>
  <si>
    <t>Question-7</t>
  </si>
  <si>
    <t>Question-8</t>
  </si>
  <si>
    <t>Question-9</t>
  </si>
  <si>
    <t>Question-10</t>
  </si>
  <si>
    <t>Question-11</t>
  </si>
  <si>
    <t>Question-12</t>
  </si>
  <si>
    <t>12 Big Questions</t>
  </si>
  <si>
    <t>In search of the right valued actions</t>
  </si>
  <si>
    <t>Applying the Kirdomicism principles</t>
  </si>
  <si>
    <t>Comparing the performance to</t>
  </si>
  <si>
    <t>answer the question</t>
  </si>
  <si>
    <t>Calculate the Avalrem</t>
  </si>
  <si>
    <t>Action taking</t>
  </si>
  <si>
    <t>7 Levels of Action Taking</t>
  </si>
  <si>
    <t xml:space="preserve">Credibility Level </t>
  </si>
  <si>
    <t>self</t>
  </si>
  <si>
    <t>3rd party</t>
  </si>
  <si>
    <t>Big Questions</t>
  </si>
  <si>
    <t xml:space="preserve">IPI </t>
  </si>
  <si>
    <t>#Z</t>
  </si>
  <si>
    <t>12 Big Questions (B.Q.)</t>
  </si>
  <si>
    <t>Low 1 - High 12</t>
  </si>
  <si>
    <t>For a transactional action</t>
  </si>
  <si>
    <t>Priority</t>
  </si>
  <si>
    <t>Weight by Priority to 12</t>
  </si>
  <si>
    <t>Innovation</t>
  </si>
  <si>
    <t>Effectivity</t>
  </si>
  <si>
    <t>Overall Transactional Success Factor</t>
  </si>
  <si>
    <t>Completed</t>
  </si>
  <si>
    <t>Verified</t>
  </si>
  <si>
    <t>Kdm Multiplier</t>
  </si>
  <si>
    <t>DYNAMIC WEIGHTING SYSTEM</t>
  </si>
  <si>
    <t>To multipliy the calculated sub-Avalrem accumulated units</t>
  </si>
  <si>
    <t>Based on:</t>
  </si>
  <si>
    <t>Societal Needs</t>
  </si>
  <si>
    <t>Determined by AI governance system</t>
  </si>
  <si>
    <t>Note:</t>
  </si>
  <si>
    <t xml:space="preserve">Completed and verified actions are recorded by blockchain-like system to create a transparent and immutable ledger </t>
  </si>
  <si>
    <t>of every individual's contribution for accumulation of total "Avalrem wealth" over time.</t>
  </si>
  <si>
    <t>Enable a marketplace of needs wit a system governing how Avalrem can be used to acquire specific service or goods.</t>
  </si>
  <si>
    <t>AI will match individuals with needs to those who can perform necessary actions.</t>
  </si>
  <si>
    <t>Confirm by 7 levels of actions to replace subjectivity.</t>
  </si>
  <si>
    <t>12 BQ</t>
  </si>
  <si>
    <t>Weight</t>
  </si>
  <si>
    <t>Impact</t>
  </si>
  <si>
    <t>5 principles</t>
  </si>
  <si>
    <t>1-12</t>
  </si>
  <si>
    <t>levels</t>
  </si>
  <si>
    <t>X*Y</t>
  </si>
  <si>
    <t>Lower is better in formula result</t>
  </si>
  <si>
    <t>= i</t>
  </si>
  <si>
    <t>X weight</t>
  </si>
  <si>
    <t>Y impact</t>
  </si>
  <si>
    <t>Finding value "I"</t>
  </si>
  <si>
    <t>Finding value "a"</t>
  </si>
  <si>
    <t>Time</t>
  </si>
  <si>
    <t>Time factor</t>
  </si>
  <si>
    <t>&lt;1</t>
  </si>
  <si>
    <t>To add 0.1 to 12 to avoid weight = 1</t>
  </si>
  <si>
    <t>Time Factor = a</t>
  </si>
  <si>
    <t>&gt;= 1</t>
  </si>
  <si>
    <t>Present</t>
  </si>
  <si>
    <t>higher is better</t>
  </si>
  <si>
    <t>Kirdomicism Principle Factor</t>
  </si>
  <si>
    <t>in long term</t>
  </si>
  <si>
    <t>Kirdomic Avalrem System Interface</t>
  </si>
  <si>
    <t xml:space="preserve">Master </t>
  </si>
  <si>
    <t>VI</t>
  </si>
  <si>
    <t>Kirdomic Card Number (enter card number 1 to 12)</t>
  </si>
  <si>
    <t>Future value of action impact "C"</t>
  </si>
  <si>
    <t>Must be &gt;=</t>
  </si>
  <si>
    <t>Past</t>
  </si>
  <si>
    <t>Intrinsic 'C' Value: ------&gt;</t>
  </si>
  <si>
    <t>Intrinsic 'C' Value by Grid Code</t>
  </si>
  <si>
    <t>Intrinsic Value of Action Word</t>
  </si>
  <si>
    <t>Extended Criteria for Intrinsic Value Check</t>
  </si>
  <si>
    <t>Intrinsic Value by Action Grid Code</t>
  </si>
  <si>
    <t>Avalrem Unit Calculation</t>
  </si>
  <si>
    <t xml:space="preserve">   =</t>
  </si>
  <si>
    <t>Future implications</t>
  </si>
  <si>
    <t>Present implications</t>
  </si>
  <si>
    <t>Past implications</t>
  </si>
  <si>
    <t>Assignment of Factor Value:</t>
  </si>
  <si>
    <t>Applying Kirdomic Card Tool:</t>
  </si>
  <si>
    <t>Intrinsic Value: ------&gt;</t>
  </si>
  <si>
    <t>=</t>
  </si>
  <si>
    <t>Basic Formula</t>
  </si>
  <si>
    <t>Action Statement:</t>
  </si>
  <si>
    <t>In order to inprove productivity of the production line, the responsible person must change</t>
  </si>
  <si>
    <r>
      <t xml:space="preserve">the process by </t>
    </r>
    <r>
      <rPr>
        <b/>
        <sz val="11"/>
        <color rgb="FFFF0000"/>
        <rFont val="Tahoma"/>
        <family val="2"/>
        <scheme val="minor"/>
      </rPr>
      <t>eliminate</t>
    </r>
    <r>
      <rPr>
        <sz val="11"/>
        <color theme="1"/>
        <rFont val="Tahoma"/>
        <family val="2"/>
        <charset val="222"/>
        <scheme val="minor"/>
      </rPr>
      <t xml:space="preserve"> the existing line layout before installing a new line.</t>
    </r>
  </si>
  <si>
    <t>Scenario-1</t>
  </si>
  <si>
    <t>Scenario-2</t>
  </si>
  <si>
    <t>Scenario-3</t>
  </si>
  <si>
    <t>Scenario-4</t>
  </si>
  <si>
    <t>Scenario-5</t>
  </si>
  <si>
    <t>Scenario-6</t>
  </si>
  <si>
    <t>Scenario-7</t>
  </si>
  <si>
    <t>Scenario-8</t>
  </si>
  <si>
    <t>Scenario-9</t>
  </si>
  <si>
    <t>Scenario-10</t>
  </si>
  <si>
    <t>C / a</t>
  </si>
  <si>
    <t>C / i</t>
  </si>
  <si>
    <t>a - i</t>
  </si>
  <si>
    <t>C/(a-i)</t>
  </si>
  <si>
    <t>x</t>
  </si>
  <si>
    <t>y</t>
  </si>
  <si>
    <t>x*y</t>
  </si>
  <si>
    <t>a - (x*y)</t>
  </si>
  <si>
    <t>C / (a - (x*y))</t>
  </si>
  <si>
    <t>Action Word</t>
  </si>
  <si>
    <t>ACTION STATEMENT STRUCTURE QUALIFIED FOR AVALREM CONSIDERATION</t>
  </si>
  <si>
    <t>Grid Code</t>
  </si>
  <si>
    <t>A-Y</t>
  </si>
  <si>
    <t>BQ Code</t>
  </si>
  <si>
    <t>01-12</t>
  </si>
  <si>
    <t>5 Principles</t>
  </si>
  <si>
    <t>BL</t>
  </si>
  <si>
    <t>GR</t>
  </si>
  <si>
    <t>RD</t>
  </si>
  <si>
    <t>PK</t>
  </si>
  <si>
    <t>YL</t>
  </si>
  <si>
    <t>Color Code</t>
  </si>
  <si>
    <t>Anxergy I</t>
  </si>
  <si>
    <t>Anxergy II</t>
  </si>
  <si>
    <t>Anxergy III</t>
  </si>
  <si>
    <t>Anxergy IV</t>
  </si>
  <si>
    <t>Anxergy V</t>
  </si>
  <si>
    <t>Anxergy VI</t>
  </si>
  <si>
    <t>Anxergy VII</t>
  </si>
  <si>
    <t>Anxergy VIII</t>
  </si>
  <si>
    <t>Anxergy IX</t>
  </si>
  <si>
    <t>Anxergy X</t>
  </si>
  <si>
    <t>Anxergy XI</t>
  </si>
  <si>
    <t>Anxergy XII</t>
  </si>
  <si>
    <t>Anxergy 1</t>
  </si>
  <si>
    <t>Anxergy 2</t>
  </si>
  <si>
    <t>Anxergy 3</t>
  </si>
  <si>
    <t>Anxergy 4</t>
  </si>
  <si>
    <t>Anxergy 5</t>
  </si>
  <si>
    <t>Anxergy 6</t>
  </si>
  <si>
    <t>Anxergy 7</t>
  </si>
  <si>
    <t>Anxergy 8</t>
  </si>
  <si>
    <t>Anxergy 9</t>
  </si>
  <si>
    <t>Anxergy 10</t>
  </si>
  <si>
    <t>Anxergy 11</t>
  </si>
  <si>
    <t>Anxergy 12</t>
  </si>
  <si>
    <t>Kirdomic Card Number</t>
  </si>
  <si>
    <t>Kirdomic Card Word Intrinsic Value</t>
  </si>
  <si>
    <t>Anxergy 1 Word 2</t>
  </si>
  <si>
    <t>Anxergy 1 Word 1</t>
  </si>
  <si>
    <t>Kirdomic Card Number with Word Item Number</t>
  </si>
  <si>
    <t>Kirdomic Card Word or Action Word</t>
  </si>
  <si>
    <t>Anxergy 2 Word 2</t>
  </si>
  <si>
    <t>Anxergy 2 Word 1</t>
  </si>
  <si>
    <t>Anxergy 3 Word 2</t>
  </si>
  <si>
    <t>Anxergy 3 Word 1</t>
  </si>
  <si>
    <t>Anxergy 4 Word 2</t>
  </si>
  <si>
    <t>Anxergy 4 Word 1</t>
  </si>
  <si>
    <t>Anxergy 5 Word 2</t>
  </si>
  <si>
    <t>Anxergy 5 Word 1</t>
  </si>
  <si>
    <t>Anxergy 6 Word 1</t>
  </si>
  <si>
    <t>Anxergy 6 Word 2</t>
  </si>
  <si>
    <t>Anxergy 7 Word 1</t>
  </si>
  <si>
    <t>Anxergy 7 Word 2</t>
  </si>
  <si>
    <t>Anxergy 8 Word 2</t>
  </si>
  <si>
    <t>Anxergy 8 Word 1</t>
  </si>
  <si>
    <t>Anxergy 9 Word 1</t>
  </si>
  <si>
    <t>Anxergy 9 Word 2</t>
  </si>
  <si>
    <t>Anxergy 10 Word 1</t>
  </si>
  <si>
    <t>Anxergy 10 WORD 2</t>
  </si>
  <si>
    <t>Anxergy 11 Word 1</t>
  </si>
  <si>
    <t>Anxergy 11 Word 2</t>
  </si>
  <si>
    <t>Anxergy 12 Word 2</t>
  </si>
  <si>
    <t>Anxergy 12 Word 1</t>
  </si>
  <si>
    <t>Atammayata I</t>
  </si>
  <si>
    <t>Atammayata II</t>
  </si>
  <si>
    <t>Atammayata III</t>
  </si>
  <si>
    <t>Atammayata IV</t>
  </si>
  <si>
    <t>Atammayata V</t>
  </si>
  <si>
    <t>Atammayata VI</t>
  </si>
  <si>
    <t>Atammayata VII</t>
  </si>
  <si>
    <t>Atammayata VIII</t>
  </si>
  <si>
    <t>Atammayata IX</t>
  </si>
  <si>
    <t>Atammayata X</t>
  </si>
  <si>
    <t>Atammayata XI</t>
  </si>
  <si>
    <t>Atammayata XII</t>
  </si>
  <si>
    <t>Atammayata 1</t>
  </si>
  <si>
    <t>Atammayata 2</t>
  </si>
  <si>
    <t>Atammayata 3</t>
  </si>
  <si>
    <t>Atammayata 4</t>
  </si>
  <si>
    <t>Atammayata 5</t>
  </si>
  <si>
    <t>Atammayata 6</t>
  </si>
  <si>
    <t>Atammayata 7</t>
  </si>
  <si>
    <t>Atammayata 8</t>
  </si>
  <si>
    <t>Atammayata 9</t>
  </si>
  <si>
    <t>Atammayata 10</t>
  </si>
  <si>
    <t>Atammayata 11</t>
  </si>
  <si>
    <t>Atammayata 12</t>
  </si>
  <si>
    <t>Atammayata 1 Word 2</t>
  </si>
  <si>
    <t>Atammayata 1 Word 1</t>
  </si>
  <si>
    <t>Atammayata 2 Word 2</t>
  </si>
  <si>
    <t>Atammayata 2 Word 1</t>
  </si>
  <si>
    <t>Kirdomic Card Word Intrinsic Value with 2 decimal points</t>
  </si>
  <si>
    <t>Atammayata 3 Word 1</t>
  </si>
  <si>
    <t>Atammayata 3 Word 2</t>
  </si>
  <si>
    <t>Atammayata 4 Word 1</t>
  </si>
  <si>
    <t>Atammayata 4 Word 2</t>
  </si>
  <si>
    <t>Atammayata 5 Word 2</t>
  </si>
  <si>
    <t>Atammayata 5 Word 1</t>
  </si>
  <si>
    <t>Atammayata 6 Word 1</t>
  </si>
  <si>
    <t>Atammayata 6 Word 2</t>
  </si>
  <si>
    <t>Atammayata 7 Word 1</t>
  </si>
  <si>
    <t>Atammayata 7 Word 2</t>
  </si>
  <si>
    <t>Atammayata 8 Word 1</t>
  </si>
  <si>
    <t>Atammayata 8 Word 2</t>
  </si>
  <si>
    <t>Atammayata 9 Word 1</t>
  </si>
  <si>
    <t>Atammayata 9 Word 2</t>
  </si>
  <si>
    <t>Atammayata 10 Word 1</t>
  </si>
  <si>
    <t>Atammayata 10 Word 2</t>
  </si>
  <si>
    <t>Atammayata 11 Word 1</t>
  </si>
  <si>
    <t>Atammayata 11 Word 2</t>
  </si>
  <si>
    <t>Atammayata 12 Word 2</t>
  </si>
  <si>
    <t>Atammayata 12 Word 1</t>
  </si>
  <si>
    <t>Kirdomic Card Color</t>
  </si>
  <si>
    <t>Kirdomic Card Blue</t>
  </si>
  <si>
    <t>Kirdomic Card Yellow</t>
  </si>
  <si>
    <t>Kirdomic Card Red</t>
  </si>
  <si>
    <t>Avalremy I</t>
  </si>
  <si>
    <t>Avalremy II</t>
  </si>
  <si>
    <t>Avalremy III</t>
  </si>
  <si>
    <t>Avalremy IV</t>
  </si>
  <si>
    <t>Avalremy V</t>
  </si>
  <si>
    <t>Avalremy VI</t>
  </si>
  <si>
    <t>Avalremy VII</t>
  </si>
  <si>
    <t>Avalremy VIII</t>
  </si>
  <si>
    <t>Avalremy IX</t>
  </si>
  <si>
    <t>Avalremy X</t>
  </si>
  <si>
    <t>Avalremy XI</t>
  </si>
  <si>
    <t>Avalremy XII</t>
  </si>
  <si>
    <t>Avalremy 1</t>
  </si>
  <si>
    <t>Avalremy 2</t>
  </si>
  <si>
    <t>Avalremy 3</t>
  </si>
  <si>
    <t>Avalremy 4</t>
  </si>
  <si>
    <t>Avalremy 5</t>
  </si>
  <si>
    <t>Avalremy 6</t>
  </si>
  <si>
    <t>Avalremy 7</t>
  </si>
  <si>
    <t>Avalremy 8</t>
  </si>
  <si>
    <t>Avalremy 9</t>
  </si>
  <si>
    <t>Avalremy 10</t>
  </si>
  <si>
    <t>Avalremy 11</t>
  </si>
  <si>
    <t>Avalremy 12</t>
  </si>
  <si>
    <t>Avalremy 1 Word 1</t>
  </si>
  <si>
    <t>Avalremy 1 Word 2</t>
  </si>
  <si>
    <t>Avalremy 2 Word 1</t>
  </si>
  <si>
    <t>Avalremy 2 Word 2</t>
  </si>
  <si>
    <t>Avalremy 3 Word 2</t>
  </si>
  <si>
    <t>Avalremy 3 Word 1</t>
  </si>
  <si>
    <t>Avalremy 4 Word 1</t>
  </si>
  <si>
    <t>Avalremy 4 Word 2</t>
  </si>
  <si>
    <t>Avalremy 5 Word 1</t>
  </si>
  <si>
    <t>Avalremy 5 Word 2</t>
  </si>
  <si>
    <t>Avalremy 6 Word 1</t>
  </si>
  <si>
    <t>Avalremy 6 Word 2</t>
  </si>
  <si>
    <t>Avalremy 7 Word 2</t>
  </si>
  <si>
    <t>Avalremy 7 Word 1</t>
  </si>
  <si>
    <t>Avalremy 8 Word 2</t>
  </si>
  <si>
    <t>Avalremy 8 Word 1</t>
  </si>
  <si>
    <t>Avalremy 9 Word 1</t>
  </si>
  <si>
    <t>Avalremy 9 Word 2</t>
  </si>
  <si>
    <t>Avalremy 10 Word 1</t>
  </si>
  <si>
    <t>Avalremy 10 Word 2</t>
  </si>
  <si>
    <t>Avalremy 11 Word 1</t>
  </si>
  <si>
    <t>Avalremy 11 Word 2</t>
  </si>
  <si>
    <t>Avalremy 12 Word 2</t>
  </si>
  <si>
    <t>Avalremy 12 Word 1</t>
  </si>
  <si>
    <t>Kirdomic Card Pink</t>
  </si>
  <si>
    <t>Dexterience I</t>
  </si>
  <si>
    <t>Dexterience II</t>
  </si>
  <si>
    <t>Dexterience III</t>
  </si>
  <si>
    <t>Dexterience IV</t>
  </si>
  <si>
    <t>Dexterience V</t>
  </si>
  <si>
    <t>Dexterience VI</t>
  </si>
  <si>
    <t>Dexterience VII</t>
  </si>
  <si>
    <t>Dexterience VIII</t>
  </si>
  <si>
    <t>Dexterience IX</t>
  </si>
  <si>
    <t>Dexterience X</t>
  </si>
  <si>
    <t>Dexterience XI</t>
  </si>
  <si>
    <t>Dexterience XII</t>
  </si>
  <si>
    <t>Dexterience 1</t>
  </si>
  <si>
    <t>Dexterience 2</t>
  </si>
  <si>
    <t>Dexterience 3</t>
  </si>
  <si>
    <t>Dexterience 4</t>
  </si>
  <si>
    <t>Dexterience 5</t>
  </si>
  <si>
    <t>Dexterience 6</t>
  </si>
  <si>
    <t>Dexterience 7</t>
  </si>
  <si>
    <t>Dexterience 8</t>
  </si>
  <si>
    <t>Dexterience 9</t>
  </si>
  <si>
    <t>Dexterience 10</t>
  </si>
  <si>
    <t>Dexterience 11</t>
  </si>
  <si>
    <t>Dexterience 12</t>
  </si>
  <si>
    <t>Dexterience 1 Word 2</t>
  </si>
  <si>
    <t>Dexterience 1 Word 1</t>
  </si>
  <si>
    <t>Dexterience 2 Word 1</t>
  </si>
  <si>
    <t>Dexterience 2 Word 2</t>
  </si>
  <si>
    <t>Dexterience 3 Word 2</t>
  </si>
  <si>
    <t>Dexterience 3 Word 1</t>
  </si>
  <si>
    <t>Dexterience 4 Word 1</t>
  </si>
  <si>
    <t>Dexterience 4 Word 2</t>
  </si>
  <si>
    <t>Dexterience 5 Word 2</t>
  </si>
  <si>
    <t>Dexterience 5 Word 1</t>
  </si>
  <si>
    <t>Dexterience 6 Word 2</t>
  </si>
  <si>
    <t>Dexterience 6 Word 1</t>
  </si>
  <si>
    <t>Dexterience 7 Word 1</t>
  </si>
  <si>
    <t>Dexterience 7 Word 2</t>
  </si>
  <si>
    <t>Dexterience 8 Word 2</t>
  </si>
  <si>
    <t>Dexterience 8 Word 1</t>
  </si>
  <si>
    <t>Dexterience 9 Word 1</t>
  </si>
  <si>
    <t>Dexterience 9 Word 2</t>
  </si>
  <si>
    <t>Dexterience 10 Word 1</t>
  </si>
  <si>
    <t>Dexterience 10 Word 2</t>
  </si>
  <si>
    <t>Dexterience 11 Word 1</t>
  </si>
  <si>
    <t>Dexterience 11 Word 2</t>
  </si>
  <si>
    <t>Dexterience 12 Word 1</t>
  </si>
  <si>
    <t>Dexterience 12 Word 2</t>
  </si>
  <si>
    <t>Kirdomic Card Green</t>
  </si>
  <si>
    <t>Exdysivity I</t>
  </si>
  <si>
    <t>Exdysivity II</t>
  </si>
  <si>
    <t>Exdysivity III</t>
  </si>
  <si>
    <t>Exdysivity IV</t>
  </si>
  <si>
    <t>Exdysivity V</t>
  </si>
  <si>
    <t>Exdysivity VI</t>
  </si>
  <si>
    <t>Exdysivity VII</t>
  </si>
  <si>
    <t>Exdysivity VIII</t>
  </si>
  <si>
    <t>Exdysivity IX</t>
  </si>
  <si>
    <t>Exdysivity X</t>
  </si>
  <si>
    <t>Exdysivity XI</t>
  </si>
  <si>
    <t>Exdysivity XII</t>
  </si>
  <si>
    <t>Exdysivity 1</t>
  </si>
  <si>
    <t>Exdysivity 2</t>
  </si>
  <si>
    <t>Exdysivity 3</t>
  </si>
  <si>
    <t>Exdysivity 4</t>
  </si>
  <si>
    <t>Exdysivity 5</t>
  </si>
  <si>
    <t>Exdysivity 6</t>
  </si>
  <si>
    <t>Exdysivity 7</t>
  </si>
  <si>
    <t>Exdysivity 8</t>
  </si>
  <si>
    <t>Exdysivity 9</t>
  </si>
  <si>
    <t>Exdysivity 10</t>
  </si>
  <si>
    <t>Exdysivity 11</t>
  </si>
  <si>
    <t>Exdysivity 12</t>
  </si>
  <si>
    <t>Exdysivity 1 Word 1</t>
  </si>
  <si>
    <t>Exdysivity 1 Word 2</t>
  </si>
  <si>
    <t>Exdysivity 2 Word 2</t>
  </si>
  <si>
    <t>Exdysivity 2 Word 1</t>
  </si>
  <si>
    <t>Exdysivity 3 Word 2</t>
  </si>
  <si>
    <t>Exdysivity 3 Word 1</t>
  </si>
  <si>
    <t>Exdysivity 4 Word 2</t>
  </si>
  <si>
    <t>Exdysivity 4 Word 1</t>
  </si>
  <si>
    <t>Exdysivity 5 Word 2</t>
  </si>
  <si>
    <t>Exdysivity 5 Word 1</t>
  </si>
  <si>
    <t>Exdysivity 6 Word 2</t>
  </si>
  <si>
    <t>Exdysivity 6 Word 1</t>
  </si>
  <si>
    <t>Exdysivity 7 Word 1</t>
  </si>
  <si>
    <t>Exdysivity 7 Word 2</t>
  </si>
  <si>
    <t>Exdysivity 8 Word 2</t>
  </si>
  <si>
    <t>Exdysivity 8 Word 1</t>
  </si>
  <si>
    <t>Exdysivity 9 Word 1</t>
  </si>
  <si>
    <t>Exdysivity 9 Word 2</t>
  </si>
  <si>
    <t>Exdysivity 10 Word 1</t>
  </si>
  <si>
    <t>Exdysivity 10 Word 2</t>
  </si>
  <si>
    <t>Exdysivity 11 Word 1</t>
  </si>
  <si>
    <t>Exdysivity 11 Word 2</t>
  </si>
  <si>
    <t>Exdysivity 12 Word 1</t>
  </si>
  <si>
    <t>Exdysivity 12 Word 2</t>
  </si>
  <si>
    <t>Item No.</t>
  </si>
  <si>
    <t>Scenario-Base</t>
  </si>
  <si>
    <t>Scenario-Lowest PV</t>
  </si>
  <si>
    <t>Impact (12BQ)</t>
  </si>
  <si>
    <t>Impact (5Principles)</t>
  </si>
  <si>
    <t>Lower than FV</t>
  </si>
  <si>
    <t>Higher than FV (actual is better than expected)</t>
  </si>
  <si>
    <t>Context</t>
  </si>
  <si>
    <t>Rule</t>
  </si>
  <si>
    <t>Statement of actions?</t>
  </si>
  <si>
    <t>Select the big questions</t>
  </si>
  <si>
    <t>Indicate the impact number</t>
  </si>
  <si>
    <t>Identify the time factor</t>
  </si>
  <si>
    <t>Avalrem =</t>
  </si>
  <si>
    <t>(a - (x*y))</t>
  </si>
  <si>
    <t xml:space="preserve">Avalrem </t>
  </si>
  <si>
    <t>There are 12 tables of this type with different weight depending on a particular circumstance of a user.</t>
  </si>
  <si>
    <t>General by row/User by column</t>
  </si>
  <si>
    <t>To identify the x impact, user must locate the general table first and then look for the</t>
  </si>
  <si>
    <t>column in response to the action statement before identifying the weight figure.</t>
  </si>
  <si>
    <t>Indicate the time factor that best reflects the impact of the statement of action.</t>
  </si>
  <si>
    <t>Select the impact figure based on the leval and relevance of the action to be performed.</t>
  </si>
  <si>
    <t>Applying all variables selected to the formula to get the result of Avalrem value.</t>
  </si>
  <si>
    <t>∑</t>
  </si>
  <si>
    <t>)</t>
  </si>
  <si>
    <r>
      <rPr>
        <b/>
        <sz val="16"/>
        <color theme="1"/>
        <rFont val="Aptos Narrow"/>
        <family val="2"/>
      </rPr>
      <t>Kdm</t>
    </r>
    <r>
      <rPr>
        <sz val="24"/>
        <color theme="1"/>
        <rFont val="Aptos Narrow"/>
        <family val="2"/>
      </rPr>
      <t xml:space="preserve"> * ∑ (</t>
    </r>
  </si>
  <si>
    <r>
      <t>C</t>
    </r>
    <r>
      <rPr>
        <b/>
        <vertAlign val="superscript"/>
        <sz val="18"/>
        <color theme="1"/>
        <rFont val="Tahoma"/>
        <family val="2"/>
        <scheme val="minor"/>
      </rPr>
      <t>n</t>
    </r>
  </si>
  <si>
    <r>
      <t>(a - i)</t>
    </r>
    <r>
      <rPr>
        <b/>
        <vertAlign val="superscript"/>
        <sz val="18"/>
        <color theme="1"/>
        <rFont val="Tahoma"/>
        <family val="2"/>
        <scheme val="minor"/>
      </rPr>
      <t>n</t>
    </r>
  </si>
  <si>
    <t>n=1</t>
  </si>
  <si>
    <t>C/(x*y)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</si>
</sst>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87" formatCode="_-* #,##0_-;\-* #,##0_-;_-* &quot;-&quot;??_-;_-@_-"/>
    <numFmt numFmtId="188" formatCode="0.000"/>
    <numFmt numFmtId="189" formatCode="0.0000"/>
    <numFmt numFmtId="190" formatCode="_-* #,##0.0000_-;\-* #,##0.0000_-;_-* &quot;-&quot;??_-;_-@_-"/>
    <numFmt numFmtId="191" formatCode="B1d\-mmm\-yy"/>
    <numFmt numFmtId="192" formatCode="0.0%"/>
    <numFmt numFmtId="193" formatCode="_-* #,##0.000_-;\-* #,##0.000_-;_-* &quot;-&quot;??_-;_-@_-"/>
  </numFmts>
  <fonts count="7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8"/>
      <color theme="7" tint="-0.499984740745262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1"/>
      <color theme="0"/>
      <name val="Tahoma"/>
      <family val="2"/>
      <scheme val="minor"/>
    </font>
    <font>
      <b/>
      <sz val="11"/>
      <color rgb="FF0070C0"/>
      <name val="Tahoma"/>
      <family val="2"/>
      <scheme val="minor"/>
    </font>
    <font>
      <b/>
      <sz val="11"/>
      <color rgb="FF002060"/>
      <name val="Tahoma"/>
      <family val="2"/>
      <scheme val="minor"/>
    </font>
    <font>
      <b/>
      <sz val="12"/>
      <color theme="1"/>
      <name val="Tahoma"/>
      <family val="2"/>
      <scheme val="minor"/>
    </font>
    <font>
      <b/>
      <sz val="14"/>
      <color rgb="FFFF0000"/>
      <name val="Tahoma"/>
      <family val="2"/>
      <scheme val="minor"/>
    </font>
    <font>
      <b/>
      <i/>
      <sz val="11"/>
      <color theme="1"/>
      <name val="Tahoma"/>
      <family val="2"/>
      <scheme val="minor"/>
    </font>
    <font>
      <b/>
      <sz val="12"/>
      <color rgb="FF0070C0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7"/>
      <name val="Tahoma"/>
      <family val="2"/>
      <scheme val="minor"/>
    </font>
    <font>
      <b/>
      <sz val="11"/>
      <color rgb="FFE907C9"/>
      <name val="Tahoma"/>
      <family val="2"/>
      <scheme val="minor"/>
    </font>
    <font>
      <b/>
      <sz val="11"/>
      <color rgb="FFFF0000"/>
      <name val="Tahoma"/>
      <family val="2"/>
      <scheme val="minor"/>
    </font>
    <font>
      <b/>
      <sz val="11"/>
      <color rgb="FF7030A0"/>
      <name val="Tahoma"/>
      <family val="2"/>
      <scheme val="minor"/>
    </font>
    <font>
      <b/>
      <sz val="11"/>
      <color rgb="FF00B050"/>
      <name val="Tahoma"/>
      <family val="2"/>
      <scheme val="minor"/>
    </font>
    <font>
      <b/>
      <strike/>
      <sz val="11"/>
      <color theme="1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4"/>
      <color rgb="FF0070C0"/>
      <name val="Tahoma"/>
      <family val="2"/>
      <scheme val="minor"/>
    </font>
    <font>
      <b/>
      <i/>
      <sz val="11"/>
      <color rgb="FF7030A0"/>
      <name val="Tahoma"/>
      <family val="2"/>
      <scheme val="minor"/>
    </font>
    <font>
      <b/>
      <i/>
      <sz val="11"/>
      <color rgb="FFE907C9"/>
      <name val="Tahoma"/>
      <family val="2"/>
      <scheme val="minor"/>
    </font>
    <font>
      <b/>
      <sz val="14"/>
      <color rgb="FFE907C9"/>
      <name val="Tahoma"/>
      <family val="2"/>
      <scheme val="minor"/>
    </font>
    <font>
      <b/>
      <sz val="11"/>
      <color rgb="FFFFC000"/>
      <name val="Tahoma"/>
      <family val="2"/>
      <scheme val="minor"/>
    </font>
    <font>
      <b/>
      <sz val="22"/>
      <color theme="1"/>
      <name val="Tahoma"/>
      <family val="2"/>
      <scheme val="minor"/>
    </font>
    <font>
      <sz val="11"/>
      <color rgb="FF0070C0"/>
      <name val="Tahoma"/>
      <family val="2"/>
      <charset val="222"/>
      <scheme val="minor"/>
    </font>
    <font>
      <sz val="11"/>
      <color rgb="FF0070C0"/>
      <name val="Tahoma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Tahoma"/>
      <family val="2"/>
      <scheme val="minor"/>
    </font>
    <font>
      <b/>
      <sz val="18"/>
      <color theme="1"/>
      <name val="Tahoma"/>
      <family val="2"/>
      <scheme val="minor"/>
    </font>
    <font>
      <sz val="12"/>
      <color theme="1"/>
      <name val="Tahoma"/>
      <family val="2"/>
      <scheme val="minor"/>
    </font>
    <font>
      <b/>
      <sz val="18"/>
      <color rgb="FFFF00FF"/>
      <name val="Tahoma"/>
      <family val="2"/>
      <scheme val="minor"/>
    </font>
    <font>
      <b/>
      <sz val="18"/>
      <color rgb="FF002060"/>
      <name val="Tahoma"/>
      <family val="2"/>
      <scheme val="minor"/>
    </font>
    <font>
      <b/>
      <sz val="20"/>
      <color rgb="FF002060"/>
      <name val="Tahoma"/>
      <family val="2"/>
      <scheme val="minor"/>
    </font>
    <font>
      <b/>
      <sz val="16"/>
      <color theme="0"/>
      <name val="Tahoma"/>
      <family val="2"/>
      <scheme val="minor"/>
    </font>
    <font>
      <b/>
      <sz val="18"/>
      <name val="Tahoma"/>
      <family val="2"/>
      <scheme val="minor"/>
    </font>
    <font>
      <b/>
      <sz val="14"/>
      <color theme="0"/>
      <name val="Tahoma"/>
      <family val="2"/>
      <scheme val="minor"/>
    </font>
    <font>
      <b/>
      <sz val="18"/>
      <color theme="0"/>
      <name val="Tahoma"/>
      <family val="2"/>
      <scheme val="minor"/>
    </font>
    <font>
      <b/>
      <sz val="20"/>
      <color theme="0"/>
      <name val="Tahoma"/>
      <family val="2"/>
      <scheme val="minor"/>
    </font>
    <font>
      <b/>
      <sz val="22"/>
      <color theme="0"/>
      <name val="Tahoma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rgb="FF0000FF"/>
      <name val="Tahoma"/>
      <family val="2"/>
      <scheme val="minor"/>
    </font>
    <font>
      <b/>
      <sz val="11"/>
      <color rgb="FFFF00FF"/>
      <name val="Tahoma"/>
      <family val="2"/>
      <scheme val="minor"/>
    </font>
    <font>
      <sz val="11"/>
      <color theme="1"/>
      <name val="Tahoma"/>
      <family val="2"/>
      <scheme val="minor"/>
    </font>
    <font>
      <sz val="20"/>
      <color theme="1"/>
      <name val="Tahoma"/>
      <family val="2"/>
      <charset val="222"/>
      <scheme val="minor"/>
    </font>
    <font>
      <sz val="16"/>
      <color theme="1"/>
      <name val="Tahoma"/>
      <family val="2"/>
      <scheme val="minor"/>
    </font>
    <font>
      <b/>
      <vertAlign val="subscript"/>
      <sz val="16"/>
      <color theme="1"/>
      <name val="Tahoma"/>
      <family val="2"/>
      <scheme val="minor"/>
    </font>
    <font>
      <b/>
      <vertAlign val="subscript"/>
      <sz val="20"/>
      <color theme="1"/>
      <name val="Tahoma"/>
      <family val="2"/>
      <scheme val="minor"/>
    </font>
    <font>
      <b/>
      <sz val="16"/>
      <color rgb="FF0000FF"/>
      <name val="Tahoma"/>
      <family val="2"/>
      <scheme val="minor"/>
    </font>
    <font>
      <sz val="8"/>
      <name val="Tahoma"/>
      <family val="2"/>
      <charset val="222"/>
      <scheme val="minor"/>
    </font>
    <font>
      <b/>
      <u/>
      <sz val="11"/>
      <color theme="1"/>
      <name val="Tahoma"/>
      <family val="2"/>
      <scheme val="minor"/>
    </font>
    <font>
      <sz val="14"/>
      <color theme="1"/>
      <name val="Tahoma"/>
      <family val="2"/>
      <scheme val="minor"/>
    </font>
    <font>
      <sz val="28"/>
      <color theme="1"/>
      <name val="Tahoma"/>
      <family val="2"/>
      <charset val="222"/>
      <scheme val="minor"/>
    </font>
    <font>
      <sz val="20"/>
      <color theme="1"/>
      <name val="Tahoma"/>
      <family val="2"/>
      <scheme val="minor"/>
    </font>
    <font>
      <sz val="11"/>
      <color rgb="FF0000FF"/>
      <name val="Tahoma"/>
      <family val="2"/>
      <charset val="222"/>
      <scheme val="minor"/>
    </font>
    <font>
      <b/>
      <sz val="11"/>
      <name val="Tahoma"/>
      <family val="2"/>
      <scheme val="minor"/>
    </font>
    <font>
      <b/>
      <sz val="24"/>
      <color rgb="FF0000FF"/>
      <name val="Tahoma"/>
      <family val="2"/>
      <scheme val="minor"/>
    </font>
    <font>
      <sz val="11"/>
      <name val="Tahoma"/>
      <family val="2"/>
      <scheme val="minor"/>
    </font>
    <font>
      <sz val="11"/>
      <color theme="0"/>
      <name val="Tahoma"/>
      <family val="2"/>
      <charset val="222"/>
      <scheme val="minor"/>
    </font>
    <font>
      <u val="singleAccounting"/>
      <sz val="11"/>
      <color theme="1"/>
      <name val="Tahoma"/>
      <family val="2"/>
      <charset val="22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4"/>
      <color theme="9" tint="-0.249977111117893"/>
      <name val="Tahoma"/>
      <family val="2"/>
      <scheme val="minor"/>
    </font>
    <font>
      <b/>
      <sz val="14"/>
      <color rgb="FF0000FF"/>
      <name val="Tahoma"/>
      <family val="2"/>
      <scheme val="minor"/>
    </font>
    <font>
      <sz val="11"/>
      <color theme="1"/>
      <name val="Aptos Narrow"/>
      <family val="2"/>
    </font>
    <font>
      <b/>
      <sz val="16"/>
      <color theme="1"/>
      <name val="Aptos Narrow"/>
      <family val="2"/>
    </font>
    <font>
      <sz val="24"/>
      <color theme="1"/>
      <name val="Aptos Narrow"/>
      <family val="2"/>
    </font>
    <font>
      <sz val="22"/>
      <color theme="1"/>
      <name val="Tahoma"/>
      <family val="2"/>
      <scheme val="minor"/>
    </font>
    <font>
      <b/>
      <vertAlign val="superscript"/>
      <sz val="18"/>
      <color theme="1"/>
      <name val="Tahoma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E907C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42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0" fillId="2" borderId="0" xfId="0" applyNumberFormat="1" applyFill="1"/>
    <xf numFmtId="1" fontId="3" fillId="3" borderId="0" xfId="0" applyNumberFormat="1" applyFont="1" applyFill="1" applyAlignment="1">
      <alignment horizontal="center"/>
    </xf>
    <xf numFmtId="1" fontId="3" fillId="4" borderId="0" xfId="0" applyNumberFormat="1" applyFont="1" applyFill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/>
    </xf>
    <xf numFmtId="1" fontId="3" fillId="5" borderId="3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4" fillId="6" borderId="4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7" borderId="9" xfId="0" applyNumberFormat="1" applyFont="1" applyFill="1" applyBorder="1" applyAlignment="1">
      <alignment horizontal="center"/>
    </xf>
    <xf numFmtId="1" fontId="3" fillId="5" borderId="10" xfId="0" applyNumberFormat="1" applyFont="1" applyFill="1" applyBorder="1" applyAlignment="1">
      <alignment horizontal="center"/>
    </xf>
    <xf numFmtId="1" fontId="3" fillId="5" borderId="11" xfId="0" applyNumberFormat="1" applyFont="1" applyFill="1" applyBorder="1" applyAlignment="1">
      <alignment horizontal="center"/>
    </xf>
    <xf numFmtId="1" fontId="3" fillId="5" borderId="12" xfId="0" applyNumberFormat="1" applyFont="1" applyFill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2" fontId="3" fillId="8" borderId="14" xfId="0" applyNumberFormat="1" applyFont="1" applyFill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1" fontId="3" fillId="0" borderId="9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" fillId="7" borderId="10" xfId="0" applyNumberFormat="1" applyFont="1" applyFill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8" borderId="15" xfId="0" applyNumberFormat="1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2" fontId="3" fillId="8" borderId="16" xfId="0" applyNumberFormat="1" applyFont="1" applyFill="1" applyBorder="1" applyAlignment="1">
      <alignment horizontal="center"/>
    </xf>
    <xf numFmtId="1" fontId="3" fillId="0" borderId="17" xfId="0" applyNumberFormat="1" applyFont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1" fontId="3" fillId="5" borderId="19" xfId="0" applyNumberFormat="1" applyFont="1" applyFill="1" applyBorder="1" applyAlignment="1">
      <alignment horizontal="center"/>
    </xf>
    <xf numFmtId="2" fontId="3" fillId="8" borderId="20" xfId="0" applyNumberFormat="1" applyFont="1" applyFill="1" applyBorder="1" applyAlignment="1">
      <alignment horizontal="center"/>
    </xf>
    <xf numFmtId="2" fontId="3" fillId="0" borderId="18" xfId="0" applyNumberFormat="1" applyFont="1" applyBorder="1" applyAlignment="1">
      <alignment horizontal="center"/>
    </xf>
    <xf numFmtId="2" fontId="3" fillId="0" borderId="19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2" fontId="3" fillId="0" borderId="20" xfId="0" applyNumberFormat="1" applyFont="1" applyBorder="1" applyAlignment="1">
      <alignment horizontal="center"/>
    </xf>
    <xf numFmtId="2" fontId="3" fillId="8" borderId="18" xfId="0" applyNumberFormat="1" applyFont="1" applyFill="1" applyBorder="1" applyAlignment="1">
      <alignment horizontal="center"/>
    </xf>
    <xf numFmtId="2" fontId="3" fillId="8" borderId="19" xfId="0" applyNumberFormat="1" applyFont="1" applyFill="1" applyBorder="1" applyAlignment="1">
      <alignment horizontal="center"/>
    </xf>
    <xf numFmtId="1" fontId="3" fillId="0" borderId="21" xfId="0" applyNumberFormat="1" applyFont="1" applyBorder="1" applyAlignment="1">
      <alignment horizontal="center"/>
    </xf>
    <xf numFmtId="1" fontId="3" fillId="5" borderId="22" xfId="0" applyNumberFormat="1" applyFont="1" applyFill="1" applyBorder="1" applyAlignment="1">
      <alignment horizontal="center"/>
    </xf>
    <xf numFmtId="1" fontId="3" fillId="5" borderId="23" xfId="0" applyNumberFormat="1" applyFont="1" applyFill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2" fontId="3" fillId="8" borderId="25" xfId="0" applyNumberFormat="1" applyFont="1" applyFill="1" applyBorder="1" applyAlignment="1">
      <alignment horizontal="center"/>
    </xf>
    <xf numFmtId="2" fontId="3" fillId="0" borderId="22" xfId="0" applyNumberFormat="1" applyFont="1" applyBorder="1" applyAlignment="1">
      <alignment horizontal="center"/>
    </xf>
    <xf numFmtId="2" fontId="3" fillId="0" borderId="23" xfId="0" applyNumberFormat="1" applyFont="1" applyBorder="1" applyAlignment="1">
      <alignment horizontal="center"/>
    </xf>
    <xf numFmtId="2" fontId="3" fillId="0" borderId="25" xfId="0" applyNumberFormat="1" applyFont="1" applyBorder="1" applyAlignment="1">
      <alignment horizontal="center"/>
    </xf>
    <xf numFmtId="2" fontId="3" fillId="8" borderId="22" xfId="0" applyNumberFormat="1" applyFont="1" applyFill="1" applyBorder="1" applyAlignment="1">
      <alignment horizontal="center"/>
    </xf>
    <xf numFmtId="2" fontId="3" fillId="8" borderId="23" xfId="0" applyNumberFormat="1" applyFont="1" applyFill="1" applyBorder="1" applyAlignment="1">
      <alignment horizontal="center"/>
    </xf>
    <xf numFmtId="1" fontId="3" fillId="5" borderId="26" xfId="0" applyNumberFormat="1" applyFont="1" applyFill="1" applyBorder="1" applyAlignment="1">
      <alignment horizontal="center"/>
    </xf>
    <xf numFmtId="1" fontId="3" fillId="0" borderId="27" xfId="0" applyNumberFormat="1" applyFont="1" applyBorder="1" applyAlignment="1">
      <alignment horizontal="center"/>
    </xf>
    <xf numFmtId="1" fontId="3" fillId="5" borderId="27" xfId="0" applyNumberFormat="1" applyFont="1" applyFill="1" applyBorder="1" applyAlignment="1">
      <alignment horizontal="center"/>
    </xf>
    <xf numFmtId="1" fontId="3" fillId="5" borderId="28" xfId="0" applyNumberFormat="1" applyFont="1" applyFill="1" applyBorder="1" applyAlignment="1">
      <alignment horizontal="center"/>
    </xf>
    <xf numFmtId="2" fontId="0" fillId="0" borderId="0" xfId="0" applyNumberFormat="1"/>
    <xf numFmtId="1" fontId="3" fillId="9" borderId="1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9" borderId="2" xfId="0" applyNumberFormat="1" applyFont="1" applyFill="1" applyBorder="1" applyAlignment="1">
      <alignment horizontal="center"/>
    </xf>
    <xf numFmtId="1" fontId="3" fillId="9" borderId="3" xfId="0" applyNumberFormat="1" applyFont="1" applyFill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1" fontId="3" fillId="9" borderId="8" xfId="0" applyNumberFormat="1" applyFont="1" applyFill="1" applyBorder="1" applyAlignment="1">
      <alignment horizontal="center"/>
    </xf>
    <xf numFmtId="1" fontId="3" fillId="9" borderId="12" xfId="0" applyNumberFormat="1" applyFont="1" applyFill="1" applyBorder="1" applyAlignment="1">
      <alignment horizontal="center"/>
    </xf>
    <xf numFmtId="1" fontId="3" fillId="7" borderId="13" xfId="0" applyNumberFormat="1" applyFont="1" applyFill="1" applyBorder="1" applyAlignment="1">
      <alignment horizontal="center"/>
    </xf>
    <xf numFmtId="2" fontId="3" fillId="4" borderId="29" xfId="0" applyNumberFormat="1" applyFont="1" applyFill="1" applyBorder="1" applyAlignment="1">
      <alignment horizontal="center"/>
    </xf>
    <xf numFmtId="2" fontId="3" fillId="4" borderId="30" xfId="0" applyNumberFormat="1" applyFont="1" applyFill="1" applyBorder="1" applyAlignment="1">
      <alignment horizontal="center"/>
    </xf>
    <xf numFmtId="2" fontId="3" fillId="4" borderId="31" xfId="0" applyNumberFormat="1" applyFont="1" applyFill="1" applyBorder="1" applyAlignment="1">
      <alignment horizontal="center"/>
    </xf>
    <xf numFmtId="1" fontId="3" fillId="0" borderId="22" xfId="0" applyNumberFormat="1" applyFont="1" applyBorder="1" applyAlignment="1">
      <alignment horizontal="center"/>
    </xf>
    <xf numFmtId="1" fontId="3" fillId="0" borderId="23" xfId="0" applyNumberFormat="1" applyFont="1" applyBorder="1" applyAlignment="1">
      <alignment horizontal="center"/>
    </xf>
    <xf numFmtId="1" fontId="3" fillId="7" borderId="24" xfId="0" applyNumberFormat="1" applyFont="1" applyFill="1" applyBorder="1" applyAlignment="1">
      <alignment horizontal="center"/>
    </xf>
    <xf numFmtId="1" fontId="3" fillId="9" borderId="26" xfId="0" applyNumberFormat="1" applyFont="1" applyFill="1" applyBorder="1" applyAlignment="1">
      <alignment horizontal="center"/>
    </xf>
    <xf numFmtId="1" fontId="3" fillId="9" borderId="27" xfId="0" applyNumberFormat="1" applyFont="1" applyFill="1" applyBorder="1" applyAlignment="1">
      <alignment horizontal="center"/>
    </xf>
    <xf numFmtId="1" fontId="3" fillId="9" borderId="28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 wrapText="1"/>
    </xf>
    <xf numFmtId="1" fontId="3" fillId="7" borderId="32" xfId="0" applyNumberFormat="1" applyFont="1" applyFill="1" applyBorder="1" applyAlignment="1">
      <alignment horizontal="center"/>
    </xf>
    <xf numFmtId="1" fontId="4" fillId="6" borderId="7" xfId="0" applyNumberFormat="1" applyFont="1" applyFill="1" applyBorder="1" applyAlignment="1">
      <alignment horizontal="center"/>
    </xf>
    <xf numFmtId="1" fontId="3" fillId="10" borderId="33" xfId="0" applyNumberFormat="1" applyFont="1" applyFill="1" applyBorder="1" applyAlignment="1">
      <alignment horizontal="center"/>
    </xf>
    <xf numFmtId="1" fontId="3" fillId="10" borderId="34" xfId="0" applyNumberFormat="1" applyFont="1" applyFill="1" applyBorder="1" applyAlignment="1">
      <alignment horizontal="center"/>
    </xf>
    <xf numFmtId="2" fontId="3" fillId="8" borderId="33" xfId="0" applyNumberFormat="1" applyFont="1" applyFill="1" applyBorder="1"/>
    <xf numFmtId="2" fontId="3" fillId="8" borderId="35" xfId="0" applyNumberFormat="1" applyFont="1" applyFill="1" applyBorder="1"/>
    <xf numFmtId="2" fontId="3" fillId="8" borderId="34" xfId="0" applyNumberFormat="1" applyFont="1" applyFill="1" applyBorder="1"/>
    <xf numFmtId="2" fontId="3" fillId="0" borderId="6" xfId="0" applyNumberFormat="1" applyFont="1" applyBorder="1"/>
    <xf numFmtId="1" fontId="3" fillId="8" borderId="18" xfId="0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1" fontId="5" fillId="0" borderId="9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6" fillId="0" borderId="36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87" fontId="3" fillId="0" borderId="37" xfId="1" applyNumberFormat="1" applyFont="1" applyBorder="1"/>
    <xf numFmtId="187" fontId="3" fillId="0" borderId="15" xfId="1" applyNumberFormat="1" applyFont="1" applyBorder="1"/>
    <xf numFmtId="187" fontId="3" fillId="0" borderId="16" xfId="1" applyNumberFormat="1" applyFont="1" applyBorder="1"/>
    <xf numFmtId="1" fontId="3" fillId="0" borderId="38" xfId="0" applyNumberFormat="1" applyFont="1" applyBorder="1" applyAlignment="1">
      <alignment horizontal="center"/>
    </xf>
    <xf numFmtId="1" fontId="6" fillId="0" borderId="39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87" fontId="3" fillId="0" borderId="17" xfId="1" applyNumberFormat="1" applyFont="1" applyBorder="1"/>
    <xf numFmtId="187" fontId="3" fillId="0" borderId="18" xfId="1" applyNumberFormat="1" applyFont="1" applyBorder="1"/>
    <xf numFmtId="1" fontId="3" fillId="0" borderId="40" xfId="0" applyNumberFormat="1" applyFont="1" applyBorder="1" applyAlignment="1">
      <alignment horizontal="center"/>
    </xf>
    <xf numFmtId="1" fontId="3" fillId="0" borderId="0" xfId="0" applyNumberFormat="1" applyFont="1"/>
    <xf numFmtId="1" fontId="3" fillId="0" borderId="41" xfId="0" applyNumberFormat="1" applyFont="1" applyBorder="1" applyAlignment="1">
      <alignment horizontal="center"/>
    </xf>
    <xf numFmtId="187" fontId="3" fillId="0" borderId="18" xfId="1" applyNumberFormat="1" applyFont="1" applyFill="1" applyBorder="1"/>
    <xf numFmtId="1" fontId="5" fillId="7" borderId="17" xfId="0" applyNumberFormat="1" applyFont="1" applyFill="1" applyBorder="1" applyAlignment="1">
      <alignment horizontal="center"/>
    </xf>
    <xf numFmtId="1" fontId="3" fillId="7" borderId="40" xfId="0" applyNumberFormat="1" applyFont="1" applyFill="1" applyBorder="1" applyAlignment="1">
      <alignment horizontal="center"/>
    </xf>
    <xf numFmtId="1" fontId="6" fillId="0" borderId="42" xfId="0" applyNumberFormat="1" applyFont="1" applyBorder="1" applyAlignment="1">
      <alignment horizontal="center"/>
    </xf>
    <xf numFmtId="1" fontId="3" fillId="0" borderId="43" xfId="0" applyNumberFormat="1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1" fontId="6" fillId="0" borderId="43" xfId="0" applyNumberFormat="1" applyFont="1" applyBorder="1" applyAlignment="1">
      <alignment horizontal="center"/>
    </xf>
    <xf numFmtId="187" fontId="3" fillId="0" borderId="21" xfId="1" applyNumberFormat="1" applyFont="1" applyBorder="1"/>
    <xf numFmtId="187" fontId="3" fillId="0" borderId="22" xfId="1" applyNumberFormat="1" applyFont="1" applyBorder="1"/>
    <xf numFmtId="187" fontId="3" fillId="0" borderId="0" xfId="1" applyNumberFormat="1" applyFont="1" applyBorder="1"/>
    <xf numFmtId="2" fontId="3" fillId="11" borderId="33" xfId="0" applyNumberFormat="1" applyFont="1" applyFill="1" applyBorder="1"/>
    <xf numFmtId="2" fontId="3" fillId="11" borderId="35" xfId="0" applyNumberFormat="1" applyFont="1" applyFill="1" applyBorder="1"/>
    <xf numFmtId="2" fontId="3" fillId="11" borderId="34" xfId="0" applyNumberFormat="1" applyFont="1" applyFill="1" applyBorder="1"/>
    <xf numFmtId="1" fontId="3" fillId="7" borderId="19" xfId="0" applyNumberFormat="1" applyFont="1" applyFill="1" applyBorder="1" applyAlignment="1">
      <alignment horizontal="center"/>
    </xf>
    <xf numFmtId="1" fontId="3" fillId="7" borderId="16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7" borderId="17" xfId="0" applyNumberFormat="1" applyFont="1" applyFill="1" applyBorder="1" applyAlignment="1">
      <alignment horizontal="center"/>
    </xf>
    <xf numFmtId="1" fontId="3" fillId="7" borderId="18" xfId="0" applyNumberFormat="1" applyFont="1" applyFill="1" applyBorder="1" applyAlignment="1">
      <alignment horizontal="center"/>
    </xf>
    <xf numFmtId="1" fontId="3" fillId="5" borderId="17" xfId="0" applyNumberFormat="1" applyFont="1" applyFill="1" applyBorder="1" applyAlignment="1">
      <alignment horizontal="center"/>
    </xf>
    <xf numFmtId="1" fontId="3" fillId="5" borderId="21" xfId="0" applyNumberFormat="1" applyFont="1" applyFill="1" applyBorder="1" applyAlignment="1">
      <alignment horizontal="center"/>
    </xf>
    <xf numFmtId="2" fontId="3" fillId="0" borderId="29" xfId="0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2" fontId="3" fillId="0" borderId="31" xfId="0" applyNumberFormat="1" applyFont="1" applyBorder="1" applyAlignment="1">
      <alignment horizontal="center"/>
    </xf>
    <xf numFmtId="2" fontId="3" fillId="4" borderId="20" xfId="0" applyNumberFormat="1" applyFont="1" applyFill="1" applyBorder="1" applyAlignment="1">
      <alignment horizontal="center"/>
    </xf>
    <xf numFmtId="2" fontId="3" fillId="4" borderId="18" xfId="0" applyNumberFormat="1" applyFont="1" applyFill="1" applyBorder="1" applyAlignment="1">
      <alignment horizontal="center"/>
    </xf>
    <xf numFmtId="2" fontId="3" fillId="4" borderId="19" xfId="0" applyNumberFormat="1" applyFont="1" applyFill="1" applyBorder="1" applyAlignment="1">
      <alignment horizontal="center"/>
    </xf>
    <xf numFmtId="1" fontId="5" fillId="7" borderId="9" xfId="0" applyNumberFormat="1" applyFont="1" applyFill="1" applyBorder="1" applyAlignment="1">
      <alignment horizontal="center"/>
    </xf>
    <xf numFmtId="1" fontId="5" fillId="7" borderId="21" xfId="0" applyNumberFormat="1" applyFont="1" applyFill="1" applyBorder="1" applyAlignment="1">
      <alignment horizontal="center"/>
    </xf>
    <xf numFmtId="1" fontId="3" fillId="7" borderId="23" xfId="0" applyNumberFormat="1" applyFont="1" applyFill="1" applyBorder="1" applyAlignment="1">
      <alignment horizontal="center"/>
    </xf>
    <xf numFmtId="1" fontId="3" fillId="7" borderId="21" xfId="0" applyNumberFormat="1" applyFont="1" applyFill="1" applyBorder="1" applyAlignment="1">
      <alignment horizontal="center"/>
    </xf>
    <xf numFmtId="1" fontId="3" fillId="7" borderId="22" xfId="0" applyNumberFormat="1" applyFont="1" applyFill="1" applyBorder="1" applyAlignment="1">
      <alignment horizontal="center"/>
    </xf>
    <xf numFmtId="2" fontId="3" fillId="4" borderId="25" xfId="0" applyNumberFormat="1" applyFont="1" applyFill="1" applyBorder="1" applyAlignment="1">
      <alignment horizontal="center"/>
    </xf>
    <xf numFmtId="2" fontId="3" fillId="4" borderId="22" xfId="0" applyNumberFormat="1" applyFont="1" applyFill="1" applyBorder="1" applyAlignment="1">
      <alignment horizontal="center"/>
    </xf>
    <xf numFmtId="2" fontId="3" fillId="4" borderId="23" xfId="0" applyNumberFormat="1" applyFont="1" applyFill="1" applyBorder="1" applyAlignment="1">
      <alignment horizontal="center"/>
    </xf>
    <xf numFmtId="1" fontId="0" fillId="12" borderId="0" xfId="0" applyNumberFormat="1" applyFill="1"/>
    <xf numFmtId="1" fontId="0" fillId="12" borderId="0" xfId="0" applyNumberFormat="1" applyFill="1" applyAlignment="1">
      <alignment horizontal="center"/>
    </xf>
    <xf numFmtId="0" fontId="3" fillId="0" borderId="0" xfId="0" applyFont="1"/>
    <xf numFmtId="1" fontId="3" fillId="3" borderId="18" xfId="0" applyNumberFormat="1" applyFont="1" applyFill="1" applyBorder="1" applyAlignment="1">
      <alignment horizontal="center" wrapText="1"/>
    </xf>
    <xf numFmtId="0" fontId="8" fillId="0" borderId="0" xfId="0" applyFont="1"/>
    <xf numFmtId="0" fontId="9" fillId="0" borderId="18" xfId="0" applyFont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9" fillId="7" borderId="1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1" fontId="3" fillId="7" borderId="18" xfId="0" applyNumberFormat="1" applyFont="1" applyFill="1" applyBorder="1" applyAlignment="1">
      <alignment horizontal="center" wrapText="1"/>
    </xf>
    <xf numFmtId="1" fontId="3" fillId="7" borderId="17" xfId="0" applyNumberFormat="1" applyFont="1" applyFill="1" applyBorder="1" applyAlignment="1">
      <alignment horizontal="center" wrapText="1"/>
    </xf>
    <xf numFmtId="1" fontId="3" fillId="0" borderId="44" xfId="0" applyNumberFormat="1" applyFont="1" applyBorder="1" applyAlignment="1">
      <alignment horizontal="center"/>
    </xf>
    <xf numFmtId="1" fontId="4" fillId="6" borderId="5" xfId="0" applyNumberFormat="1" applyFont="1" applyFill="1" applyBorder="1" applyAlignment="1">
      <alignment horizontal="center"/>
    </xf>
    <xf numFmtId="1" fontId="3" fillId="7" borderId="41" xfId="0" applyNumberFormat="1" applyFont="1" applyFill="1" applyBorder="1" applyAlignment="1">
      <alignment horizontal="center"/>
    </xf>
    <xf numFmtId="0" fontId="10" fillId="0" borderId="0" xfId="0" applyFont="1"/>
    <xf numFmtId="0" fontId="7" fillId="0" borderId="0" xfId="0" applyFont="1" applyAlignment="1">
      <alignment horizontal="center"/>
    </xf>
    <xf numFmtId="1" fontId="3" fillId="7" borderId="20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0" fillId="5" borderId="0" xfId="0" applyNumberFormat="1" applyFill="1"/>
    <xf numFmtId="2" fontId="3" fillId="10" borderId="14" xfId="0" applyNumberFormat="1" applyFont="1" applyFill="1" applyBorder="1" applyAlignment="1">
      <alignment horizontal="center"/>
    </xf>
    <xf numFmtId="2" fontId="3" fillId="10" borderId="20" xfId="0" applyNumberFormat="1" applyFont="1" applyFill="1" applyBorder="1" applyAlignment="1">
      <alignment horizontal="center"/>
    </xf>
    <xf numFmtId="2" fontId="3" fillId="10" borderId="25" xfId="0" applyNumberFormat="1" applyFont="1" applyFill="1" applyBorder="1" applyAlignment="1">
      <alignment horizontal="center"/>
    </xf>
    <xf numFmtId="2" fontId="0" fillId="5" borderId="0" xfId="0" applyNumberFormat="1" applyFill="1"/>
    <xf numFmtId="1" fontId="3" fillId="0" borderId="4" xfId="0" applyNumberFormat="1" applyFont="1" applyBorder="1" applyAlignment="1">
      <alignment horizontal="center"/>
    </xf>
    <xf numFmtId="1" fontId="3" fillId="0" borderId="45" xfId="0" applyNumberFormat="1" applyFont="1" applyBorder="1" applyAlignment="1">
      <alignment horizontal="center" wrapText="1"/>
    </xf>
    <xf numFmtId="1" fontId="3" fillId="0" borderId="46" xfId="0" applyNumberFormat="1" applyFont="1" applyBorder="1" applyAlignment="1">
      <alignment horizontal="center" wrapText="1"/>
    </xf>
    <xf numFmtId="1" fontId="3" fillId="0" borderId="47" xfId="0" applyNumberFormat="1" applyFont="1" applyBorder="1" applyAlignment="1">
      <alignment horizontal="center" wrapText="1"/>
    </xf>
    <xf numFmtId="2" fontId="0" fillId="5" borderId="0" xfId="0" applyNumberFormat="1" applyFill="1" applyAlignment="1">
      <alignment horizontal="center"/>
    </xf>
    <xf numFmtId="1" fontId="3" fillId="5" borderId="0" xfId="0" applyNumberFormat="1" applyFont="1" applyFill="1"/>
    <xf numFmtId="1" fontId="0" fillId="5" borderId="0" xfId="0" applyNumberFormat="1" applyFill="1" applyAlignment="1">
      <alignment horizontal="center"/>
    </xf>
    <xf numFmtId="1" fontId="3" fillId="5" borderId="33" xfId="0" applyNumberFormat="1" applyFont="1" applyFill="1" applyBorder="1" applyAlignment="1">
      <alignment horizontal="center"/>
    </xf>
    <xf numFmtId="1" fontId="3" fillId="5" borderId="48" xfId="0" applyNumberFormat="1" applyFont="1" applyFill="1" applyBorder="1" applyAlignment="1">
      <alignment horizontal="center" wrapText="1"/>
    </xf>
    <xf numFmtId="1" fontId="3" fillId="5" borderId="46" xfId="0" applyNumberFormat="1" applyFont="1" applyFill="1" applyBorder="1" applyAlignment="1">
      <alignment horizontal="center" wrapText="1"/>
    </xf>
    <xf numFmtId="1" fontId="3" fillId="5" borderId="47" xfId="0" applyNumberFormat="1" applyFont="1" applyFill="1" applyBorder="1" applyAlignment="1">
      <alignment horizontal="center" wrapText="1"/>
    </xf>
    <xf numFmtId="2" fontId="0" fillId="0" borderId="0" xfId="0" applyNumberFormat="1" applyAlignment="1">
      <alignment horizontal="right"/>
    </xf>
    <xf numFmtId="188" fontId="0" fillId="0" borderId="0" xfId="0" applyNumberFormat="1"/>
    <xf numFmtId="189" fontId="0" fillId="0" borderId="0" xfId="0" applyNumberFormat="1"/>
    <xf numFmtId="190" fontId="3" fillId="0" borderId="17" xfId="1" applyNumberFormat="1" applyFont="1" applyBorder="1" applyAlignment="1">
      <alignment horizontal="center"/>
    </xf>
    <xf numFmtId="190" fontId="3" fillId="0" borderId="18" xfId="1" applyNumberFormat="1" applyFont="1" applyBorder="1" applyAlignment="1">
      <alignment horizontal="center"/>
    </xf>
    <xf numFmtId="190" fontId="3" fillId="0" borderId="19" xfId="1" applyNumberFormat="1" applyFont="1" applyBorder="1" applyAlignment="1">
      <alignment horizontal="center"/>
    </xf>
    <xf numFmtId="188" fontId="3" fillId="7" borderId="4" xfId="0" applyNumberFormat="1" applyFont="1" applyFill="1" applyBorder="1" applyAlignment="1">
      <alignment horizontal="center"/>
    </xf>
    <xf numFmtId="188" fontId="3" fillId="0" borderId="49" xfId="0" applyNumberFormat="1" applyFont="1" applyBorder="1" applyAlignment="1">
      <alignment horizontal="center"/>
    </xf>
    <xf numFmtId="188" fontId="3" fillId="0" borderId="39" xfId="0" applyNumberFormat="1" applyFont="1" applyBorder="1" applyAlignment="1">
      <alignment horizontal="center"/>
    </xf>
    <xf numFmtId="1" fontId="3" fillId="0" borderId="21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 wrapText="1"/>
    </xf>
    <xf numFmtId="0" fontId="3" fillId="5" borderId="0" xfId="0" applyFont="1" applyFill="1"/>
    <xf numFmtId="0" fontId="0" fillId="5" borderId="0" xfId="0" applyFill="1"/>
    <xf numFmtId="0" fontId="9" fillId="5" borderId="18" xfId="0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 wrapText="1"/>
    </xf>
    <xf numFmtId="0" fontId="9" fillId="5" borderId="41" xfId="0" applyFont="1" applyFill="1" applyBorder="1" applyAlignment="1">
      <alignment horizontal="center"/>
    </xf>
    <xf numFmtId="1" fontId="3" fillId="5" borderId="4" xfId="0" applyNumberFormat="1" applyFont="1" applyFill="1" applyBorder="1" applyAlignment="1">
      <alignment horizontal="center"/>
    </xf>
    <xf numFmtId="1" fontId="3" fillId="5" borderId="33" xfId="0" applyNumberFormat="1" applyFont="1" applyFill="1" applyBorder="1" applyAlignment="1">
      <alignment horizontal="center" wrapText="1"/>
    </xf>
    <xf numFmtId="1" fontId="3" fillId="5" borderId="35" xfId="0" applyNumberFormat="1" applyFont="1" applyFill="1" applyBorder="1" applyAlignment="1">
      <alignment horizontal="center" wrapText="1"/>
    </xf>
    <xf numFmtId="1" fontId="3" fillId="5" borderId="34" xfId="0" applyNumberFormat="1" applyFont="1" applyFill="1" applyBorder="1" applyAlignment="1">
      <alignment horizontal="center" wrapText="1"/>
    </xf>
    <xf numFmtId="1" fontId="3" fillId="5" borderId="45" xfId="0" applyNumberFormat="1" applyFont="1" applyFill="1" applyBorder="1" applyAlignment="1">
      <alignment horizontal="center" wrapText="1"/>
    </xf>
    <xf numFmtId="1" fontId="3" fillId="5" borderId="32" xfId="0" applyNumberFormat="1" applyFont="1" applyFill="1" applyBorder="1" applyAlignment="1">
      <alignment horizontal="center"/>
    </xf>
    <xf numFmtId="1" fontId="3" fillId="5" borderId="49" xfId="0" applyNumberFormat="1" applyFont="1" applyFill="1" applyBorder="1" applyAlignment="1">
      <alignment horizontal="center"/>
    </xf>
    <xf numFmtId="1" fontId="3" fillId="5" borderId="39" xfId="0" applyNumberFormat="1" applyFont="1" applyFill="1" applyBorder="1" applyAlignment="1">
      <alignment horizontal="center"/>
    </xf>
    <xf numFmtId="1" fontId="3" fillId="5" borderId="43" xfId="0" applyNumberFormat="1" applyFont="1" applyFill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3" fillId="0" borderId="25" xfId="0" applyNumberFormat="1" applyFont="1" applyBorder="1" applyAlignment="1">
      <alignment horizontal="center"/>
    </xf>
    <xf numFmtId="1" fontId="3" fillId="5" borderId="48" xfId="0" applyNumberFormat="1" applyFont="1" applyFill="1" applyBorder="1" applyAlignment="1">
      <alignment horizontal="center"/>
    </xf>
    <xf numFmtId="1" fontId="3" fillId="0" borderId="53" xfId="0" applyNumberFormat="1" applyFont="1" applyBorder="1" applyAlignment="1">
      <alignment horizontal="center"/>
    </xf>
    <xf numFmtId="1" fontId="3" fillId="0" borderId="49" xfId="0" applyNumberFormat="1" applyFont="1" applyBorder="1" applyAlignment="1">
      <alignment horizontal="center"/>
    </xf>
    <xf numFmtId="1" fontId="3" fillId="5" borderId="51" xfId="0" applyNumberFormat="1" applyFont="1" applyFill="1" applyBorder="1" applyAlignment="1">
      <alignment horizontal="center"/>
    </xf>
    <xf numFmtId="1" fontId="3" fillId="5" borderId="50" xfId="0" applyNumberFormat="1" applyFont="1" applyFill="1" applyBorder="1" applyAlignment="1">
      <alignment horizontal="center"/>
    </xf>
    <xf numFmtId="1" fontId="3" fillId="5" borderId="52" xfId="0" applyNumberFormat="1" applyFont="1" applyFill="1" applyBorder="1" applyAlignment="1">
      <alignment horizontal="center"/>
    </xf>
    <xf numFmtId="1" fontId="3" fillId="0" borderId="51" xfId="0" applyNumberFormat="1" applyFont="1" applyBorder="1" applyAlignment="1">
      <alignment horizontal="center"/>
    </xf>
    <xf numFmtId="1" fontId="3" fillId="0" borderId="50" xfId="0" applyNumberFormat="1" applyFont="1" applyBorder="1" applyAlignment="1">
      <alignment horizontal="center"/>
    </xf>
    <xf numFmtId="1" fontId="3" fillId="0" borderId="52" xfId="0" applyNumberFormat="1" applyFont="1" applyBorder="1" applyAlignment="1">
      <alignment horizontal="center"/>
    </xf>
    <xf numFmtId="0" fontId="12" fillId="0" borderId="0" xfId="0" applyFont="1"/>
    <xf numFmtId="0" fontId="0" fillId="7" borderId="0" xfId="0" applyFill="1"/>
    <xf numFmtId="0" fontId="3" fillId="7" borderId="0" xfId="0" applyFont="1" applyFill="1" applyAlignment="1">
      <alignment horizontal="center"/>
    </xf>
    <xf numFmtId="0" fontId="12" fillId="7" borderId="0" xfId="0" applyFont="1" applyFill="1"/>
    <xf numFmtId="0" fontId="13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5" fillId="7" borderId="0" xfId="0" applyFont="1" applyFill="1"/>
    <xf numFmtId="0" fontId="14" fillId="7" borderId="0" xfId="0" applyFont="1" applyFill="1"/>
    <xf numFmtId="0" fontId="16" fillId="0" borderId="0" xfId="0" applyFont="1"/>
    <xf numFmtId="0" fontId="16" fillId="7" borderId="0" xfId="0" applyFont="1" applyFill="1"/>
    <xf numFmtId="0" fontId="17" fillId="0" borderId="0" xfId="0" applyFont="1" applyAlignment="1">
      <alignment horizontal="center"/>
    </xf>
    <xf numFmtId="0" fontId="13" fillId="7" borderId="0" xfId="0" applyFont="1" applyFill="1"/>
    <xf numFmtId="0" fontId="18" fillId="0" borderId="1" xfId="0" applyFont="1" applyBorder="1"/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3" xfId="0" applyBorder="1"/>
    <xf numFmtId="0" fontId="0" fillId="0" borderId="8" xfId="0" applyBorder="1"/>
    <xf numFmtId="0" fontId="0" fillId="0" borderId="12" xfId="0" applyBorder="1"/>
    <xf numFmtId="0" fontId="19" fillId="0" borderId="0" xfId="0" applyFont="1"/>
    <xf numFmtId="0" fontId="3" fillId="0" borderId="0" xfId="0" quotePrefix="1" applyFont="1" applyAlignment="1">
      <alignment horizontal="right"/>
    </xf>
    <xf numFmtId="0" fontId="20" fillId="0" borderId="0" xfId="0" applyFont="1"/>
    <xf numFmtId="0" fontId="21" fillId="0" borderId="0" xfId="0" applyFont="1"/>
    <xf numFmtId="0" fontId="0" fillId="6" borderId="0" xfId="0" applyFill="1"/>
    <xf numFmtId="0" fontId="3" fillId="0" borderId="4" xfId="0" applyFont="1" applyBorder="1" applyAlignment="1">
      <alignment horizontal="center"/>
    </xf>
    <xf numFmtId="0" fontId="0" fillId="13" borderId="0" xfId="0" applyFill="1"/>
    <xf numFmtId="0" fontId="3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3" fillId="0" borderId="0" xfId="0" quotePrefix="1" applyFont="1"/>
    <xf numFmtId="0" fontId="20" fillId="7" borderId="0" xfId="0" applyFont="1" applyFill="1"/>
    <xf numFmtId="0" fontId="3" fillId="14" borderId="0" xfId="0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0" fontId="22" fillId="0" borderId="0" xfId="0" applyFont="1"/>
    <xf numFmtId="0" fontId="3" fillId="7" borderId="18" xfId="0" applyFont="1" applyFill="1" applyBorder="1" applyAlignment="1">
      <alignment horizontal="center"/>
    </xf>
    <xf numFmtId="0" fontId="0" fillId="0" borderId="18" xfId="0" applyBorder="1"/>
    <xf numFmtId="0" fontId="5" fillId="0" borderId="32" xfId="0" applyFont="1" applyBorder="1" applyAlignment="1">
      <alignment horizontal="center"/>
    </xf>
    <xf numFmtId="0" fontId="9" fillId="7" borderId="0" xfId="0" applyFont="1" applyFill="1"/>
    <xf numFmtId="0" fontId="3" fillId="7" borderId="0" xfId="0" applyFont="1" applyFill="1"/>
    <xf numFmtId="0" fontId="0" fillId="7" borderId="12" xfId="0" applyFill="1" applyBorder="1"/>
    <xf numFmtId="0" fontId="0" fillId="0" borderId="18" xfId="0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0" fillId="4" borderId="0" xfId="0" applyFill="1"/>
    <xf numFmtId="0" fontId="9" fillId="4" borderId="0" xfId="0" applyFont="1" applyFill="1"/>
    <xf numFmtId="0" fontId="3" fillId="4" borderId="0" xfId="0" applyFont="1" applyFill="1"/>
    <xf numFmtId="0" fontId="0" fillId="4" borderId="12" xfId="0" applyFill="1" applyBorder="1"/>
    <xf numFmtId="0" fontId="0" fillId="3" borderId="0" xfId="0" applyFill="1"/>
    <xf numFmtId="0" fontId="9" fillId="3" borderId="0" xfId="0" applyFont="1" applyFill="1"/>
    <xf numFmtId="0" fontId="3" fillId="3" borderId="0" xfId="0" applyFont="1" applyFill="1"/>
    <xf numFmtId="0" fontId="0" fillId="3" borderId="12" xfId="0" applyFill="1" applyBorder="1"/>
    <xf numFmtId="0" fontId="9" fillId="13" borderId="0" xfId="0" applyFont="1" applyFill="1"/>
    <xf numFmtId="0" fontId="3" fillId="13" borderId="0" xfId="0" applyFont="1" applyFill="1"/>
    <xf numFmtId="0" fontId="0" fillId="13" borderId="12" xfId="0" applyFill="1" applyBorder="1"/>
    <xf numFmtId="0" fontId="23" fillId="0" borderId="0" xfId="0" applyFont="1"/>
    <xf numFmtId="0" fontId="9" fillId="6" borderId="0" xfId="0" applyFont="1" applyFill="1"/>
    <xf numFmtId="0" fontId="3" fillId="6" borderId="0" xfId="0" applyFont="1" applyFill="1"/>
    <xf numFmtId="0" fontId="0" fillId="6" borderId="12" xfId="0" applyFill="1" applyBorder="1"/>
    <xf numFmtId="0" fontId="6" fillId="0" borderId="0" xfId="0" applyFont="1"/>
    <xf numFmtId="0" fontId="3" fillId="7" borderId="0" xfId="0" applyFont="1" applyFill="1" applyAlignment="1">
      <alignment horizontal="left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3" xfId="0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4" fillId="3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5" fillId="7" borderId="0" xfId="0" applyFont="1" applyFill="1" applyAlignment="1">
      <alignment horizontal="center"/>
    </xf>
    <xf numFmtId="0" fontId="25" fillId="0" borderId="0" xfId="0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11" fillId="0" borderId="0" xfId="0" applyFont="1"/>
    <xf numFmtId="0" fontId="5" fillId="10" borderId="4" xfId="0" applyFont="1" applyFill="1" applyBorder="1" applyAlignment="1">
      <alignment horizontal="left"/>
    </xf>
    <xf numFmtId="0" fontId="5" fillId="10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10" borderId="0" xfId="0" applyFont="1" applyFill="1" applyAlignment="1">
      <alignment horizontal="center"/>
    </xf>
    <xf numFmtId="0" fontId="0" fillId="0" borderId="26" xfId="0" applyBorder="1"/>
    <xf numFmtId="0" fontId="0" fillId="0" borderId="27" xfId="0" applyBorder="1"/>
    <xf numFmtId="0" fontId="3" fillId="0" borderId="27" xfId="0" applyFont="1" applyBorder="1" applyAlignment="1">
      <alignment horizontal="center"/>
    </xf>
    <xf numFmtId="0" fontId="0" fillId="0" borderId="28" xfId="0" applyBorder="1"/>
    <xf numFmtId="0" fontId="0" fillId="4" borderId="27" xfId="0" applyFill="1" applyBorder="1"/>
    <xf numFmtId="0" fontId="9" fillId="4" borderId="27" xfId="0" applyFont="1" applyFill="1" applyBorder="1"/>
    <xf numFmtId="0" fontId="3" fillId="4" borderId="27" xfId="0" applyFont="1" applyFill="1" applyBorder="1"/>
    <xf numFmtId="0" fontId="0" fillId="4" borderId="28" xfId="0" applyFill="1" applyBorder="1"/>
    <xf numFmtId="0" fontId="3" fillId="6" borderId="0" xfId="0" applyFont="1" applyFill="1" applyAlignment="1">
      <alignment horizontal="center"/>
    </xf>
    <xf numFmtId="0" fontId="3" fillId="1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16" borderId="1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7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1" fontId="3" fillId="7" borderId="0" xfId="0" applyNumberFormat="1" applyFont="1" applyFill="1" applyAlignment="1">
      <alignment horizontal="center"/>
    </xf>
    <xf numFmtId="1" fontId="3" fillId="0" borderId="48" xfId="0" applyNumberFormat="1" applyFont="1" applyBorder="1" applyAlignment="1">
      <alignment horizontal="center" wrapText="1"/>
    </xf>
    <xf numFmtId="1" fontId="3" fillId="6" borderId="0" xfId="0" applyNumberFormat="1" applyFont="1" applyFill="1" applyAlignment="1">
      <alignment horizontal="center"/>
    </xf>
    <xf numFmtId="1" fontId="3" fillId="16" borderId="0" xfId="0" applyNumberFormat="1" applyFont="1" applyFill="1" applyAlignment="1">
      <alignment horizontal="center"/>
    </xf>
    <xf numFmtId="1" fontId="3" fillId="3" borderId="13" xfId="0" applyNumberFormat="1" applyFont="1" applyFill="1" applyBorder="1" applyAlignment="1">
      <alignment horizontal="center"/>
    </xf>
    <xf numFmtId="1" fontId="3" fillId="6" borderId="13" xfId="0" applyNumberFormat="1" applyFont="1" applyFill="1" applyBorder="1" applyAlignment="1">
      <alignment horizontal="center"/>
    </xf>
    <xf numFmtId="1" fontId="3" fillId="16" borderId="13" xfId="0" applyNumberFormat="1" applyFont="1" applyFill="1" applyBorder="1" applyAlignment="1">
      <alignment horizontal="center"/>
    </xf>
    <xf numFmtId="1" fontId="3" fillId="4" borderId="13" xfId="0" applyNumberFormat="1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1" fontId="3" fillId="4" borderId="24" xfId="0" applyNumberFormat="1" applyFont="1" applyFill="1" applyBorder="1" applyAlignment="1">
      <alignment horizontal="center"/>
    </xf>
    <xf numFmtId="0" fontId="0" fillId="5" borderId="8" xfId="0" applyFill="1" applyBorder="1"/>
    <xf numFmtId="0" fontId="7" fillId="5" borderId="0" xfId="0" applyFont="1" applyFill="1" applyAlignment="1">
      <alignment horizontal="center"/>
    </xf>
    <xf numFmtId="0" fontId="0" fillId="5" borderId="12" xfId="0" applyFill="1" applyBorder="1"/>
    <xf numFmtId="0" fontId="18" fillId="5" borderId="8" xfId="0" applyFont="1" applyFill="1" applyBorder="1" applyAlignment="1">
      <alignment horizontal="center" vertical="center"/>
    </xf>
    <xf numFmtId="0" fontId="0" fillId="5" borderId="26" xfId="0" applyFill="1" applyBorder="1"/>
    <xf numFmtId="0" fontId="0" fillId="5" borderId="27" xfId="0" applyFill="1" applyBorder="1"/>
    <xf numFmtId="0" fontId="7" fillId="5" borderId="27" xfId="0" applyFont="1" applyFill="1" applyBorder="1" applyAlignment="1">
      <alignment horizontal="center"/>
    </xf>
    <xf numFmtId="0" fontId="0" fillId="5" borderId="28" xfId="0" applyFill="1" applyBorder="1"/>
    <xf numFmtId="0" fontId="29" fillId="0" borderId="0" xfId="0" applyFont="1"/>
    <xf numFmtId="187" fontId="30" fillId="5" borderId="0" xfId="1" applyNumberFormat="1" applyFont="1" applyFill="1" applyBorder="1" applyAlignment="1">
      <alignment horizontal="center" vertical="center"/>
    </xf>
    <xf numFmtId="1" fontId="7" fillId="0" borderId="9" xfId="0" applyNumberFormat="1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21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1" fontId="18" fillId="5" borderId="2" xfId="0" applyNumberFormat="1" applyFont="1" applyFill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/>
    </xf>
    <xf numFmtId="1" fontId="3" fillId="9" borderId="3" xfId="0" applyNumberFormat="1" applyFont="1" applyFill="1" applyBorder="1" applyAlignment="1">
      <alignment horizontal="center" vertical="center"/>
    </xf>
    <xf numFmtId="1" fontId="18" fillId="9" borderId="2" xfId="0" applyNumberFormat="1" applyFont="1" applyFill="1" applyBorder="1" applyAlignment="1">
      <alignment horizontal="center" vertical="center"/>
    </xf>
    <xf numFmtId="1" fontId="18" fillId="9" borderId="8" xfId="0" applyNumberFormat="1" applyFont="1" applyFill="1" applyBorder="1" applyAlignment="1">
      <alignment horizontal="center"/>
    </xf>
    <xf numFmtId="188" fontId="3" fillId="16" borderId="4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5" fillId="0" borderId="1" xfId="0" applyFont="1" applyBorder="1"/>
    <xf numFmtId="188" fontId="0" fillId="0" borderId="2" xfId="0" applyNumberFormat="1" applyBorder="1"/>
    <xf numFmtId="0" fontId="0" fillId="0" borderId="2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3" fillId="0" borderId="27" xfId="0" applyFont="1" applyBorder="1"/>
    <xf numFmtId="0" fontId="30" fillId="5" borderId="4" xfId="0" applyFont="1" applyFill="1" applyBorder="1" applyAlignment="1">
      <alignment horizontal="center" vertical="center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3" xfId="0" applyFill="1" applyBorder="1"/>
    <xf numFmtId="0" fontId="0" fillId="17" borderId="27" xfId="0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0" fontId="0" fillId="17" borderId="8" xfId="0" applyFill="1" applyBorder="1"/>
    <xf numFmtId="0" fontId="0" fillId="17" borderId="0" xfId="0" applyFill="1"/>
    <xf numFmtId="0" fontId="0" fillId="17" borderId="26" xfId="0" applyFill="1" applyBorder="1"/>
    <xf numFmtId="0" fontId="0" fillId="0" borderId="19" xfId="0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56" xfId="0" applyBorder="1" applyAlignment="1">
      <alignment horizontal="center"/>
    </xf>
    <xf numFmtId="0" fontId="0" fillId="7" borderId="4" xfId="0" applyFill="1" applyBorder="1" applyAlignment="1">
      <alignment horizontal="center"/>
    </xf>
    <xf numFmtId="191" fontId="0" fillId="0" borderId="1" xfId="0" applyNumberForma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9" fillId="5" borderId="0" xfId="0" applyFont="1" applyFill="1"/>
    <xf numFmtId="0" fontId="0" fillId="5" borderId="0" xfId="0" applyFill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1" fontId="3" fillId="0" borderId="33" xfId="0" applyNumberFormat="1" applyFont="1" applyBorder="1" applyAlignment="1">
      <alignment horizontal="center" wrapText="1"/>
    </xf>
    <xf numFmtId="1" fontId="3" fillId="0" borderId="35" xfId="0" applyNumberFormat="1" applyFont="1" applyBorder="1" applyAlignment="1">
      <alignment horizontal="center" wrapText="1"/>
    </xf>
    <xf numFmtId="1" fontId="3" fillId="0" borderId="34" xfId="0" applyNumberFormat="1" applyFont="1" applyBorder="1" applyAlignment="1">
      <alignment horizontal="center" wrapText="1"/>
    </xf>
    <xf numFmtId="1" fontId="3" fillId="0" borderId="57" xfId="0" applyNumberFormat="1" applyFont="1" applyBorder="1" applyAlignment="1">
      <alignment horizontal="center"/>
    </xf>
    <xf numFmtId="1" fontId="3" fillId="0" borderId="54" xfId="0" applyNumberFormat="1" applyFont="1" applyBorder="1" applyAlignment="1">
      <alignment horizontal="center"/>
    </xf>
    <xf numFmtId="1" fontId="3" fillId="0" borderId="55" xfId="0" applyNumberFormat="1" applyFont="1" applyBorder="1" applyAlignment="1">
      <alignment horizontal="center"/>
    </xf>
    <xf numFmtId="1" fontId="3" fillId="0" borderId="48" xfId="0" applyNumberFormat="1" applyFont="1" applyBorder="1" applyAlignment="1">
      <alignment horizontal="center"/>
    </xf>
    <xf numFmtId="1" fontId="3" fillId="0" borderId="46" xfId="0" applyNumberFormat="1" applyFont="1" applyBorder="1" applyAlignment="1">
      <alignment horizontal="center"/>
    </xf>
    <xf numFmtId="1" fontId="3" fillId="0" borderId="47" xfId="0" applyNumberFormat="1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190" fontId="14" fillId="0" borderId="17" xfId="0" applyNumberFormat="1" applyFont="1" applyBorder="1" applyAlignment="1">
      <alignment horizontal="center"/>
    </xf>
    <xf numFmtId="190" fontId="14" fillId="0" borderId="18" xfId="0" applyNumberFormat="1" applyFont="1" applyBorder="1" applyAlignment="1">
      <alignment horizontal="center"/>
    </xf>
    <xf numFmtId="190" fontId="14" fillId="0" borderId="19" xfId="0" applyNumberFormat="1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190" fontId="14" fillId="0" borderId="21" xfId="0" applyNumberFormat="1" applyFont="1" applyBorder="1" applyAlignment="1">
      <alignment horizontal="center"/>
    </xf>
    <xf numFmtId="190" fontId="14" fillId="0" borderId="22" xfId="0" applyNumberFormat="1" applyFont="1" applyBorder="1" applyAlignment="1">
      <alignment horizontal="center"/>
    </xf>
    <xf numFmtId="190" fontId="14" fillId="0" borderId="23" xfId="0" applyNumberFormat="1" applyFont="1" applyBorder="1" applyAlignment="1">
      <alignment horizontal="center"/>
    </xf>
    <xf numFmtId="188" fontId="3" fillId="0" borderId="42" xfId="0" applyNumberFormat="1" applyFont="1" applyBorder="1" applyAlignment="1">
      <alignment horizontal="center"/>
    </xf>
    <xf numFmtId="190" fontId="14" fillId="0" borderId="39" xfId="0" applyNumberFormat="1" applyFont="1" applyBorder="1"/>
    <xf numFmtId="188" fontId="14" fillId="0" borderId="43" xfId="0" applyNumberFormat="1" applyFont="1" applyBorder="1" applyAlignment="1">
      <alignment horizontal="center"/>
    </xf>
    <xf numFmtId="188" fontId="14" fillId="0" borderId="42" xfId="0" applyNumberFormat="1" applyFont="1" applyBorder="1" applyAlignment="1">
      <alignment horizontal="center"/>
    </xf>
    <xf numFmtId="190" fontId="3" fillId="0" borderId="39" xfId="0" applyNumberFormat="1" applyFont="1" applyBorder="1"/>
    <xf numFmtId="190" fontId="14" fillId="0" borderId="43" xfId="0" applyNumberFormat="1" applyFont="1" applyBorder="1"/>
    <xf numFmtId="0" fontId="34" fillId="5" borderId="8" xfId="0" applyFont="1" applyFill="1" applyBorder="1" applyAlignment="1">
      <alignment vertical="center"/>
    </xf>
    <xf numFmtId="0" fontId="33" fillId="5" borderId="0" xfId="0" applyFont="1" applyFill="1" applyAlignment="1">
      <alignment vertical="center"/>
    </xf>
    <xf numFmtId="0" fontId="34" fillId="5" borderId="8" xfId="0" applyFont="1" applyFill="1" applyBorder="1"/>
    <xf numFmtId="187" fontId="32" fillId="5" borderId="4" xfId="1" applyNumberFormat="1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/>
    </xf>
    <xf numFmtId="1" fontId="37" fillId="17" borderId="2" xfId="0" applyNumberFormat="1" applyFont="1" applyFill="1" applyBorder="1" applyAlignment="1">
      <alignment horizontal="center" vertical="center"/>
    </xf>
    <xf numFmtId="1" fontId="4" fillId="17" borderId="26" xfId="0" applyNumberFormat="1" applyFont="1" applyFill="1" applyBorder="1" applyAlignment="1">
      <alignment horizontal="center"/>
    </xf>
    <xf numFmtId="1" fontId="3" fillId="17" borderId="27" xfId="0" applyNumberFormat="1" applyFont="1" applyFill="1" applyBorder="1" applyAlignment="1">
      <alignment horizontal="center"/>
    </xf>
    <xf numFmtId="0" fontId="35" fillId="5" borderId="5" xfId="0" applyFont="1" applyFill="1" applyBorder="1" applyAlignment="1">
      <alignment horizontal="center" vertical="center"/>
    </xf>
    <xf numFmtId="0" fontId="3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0" fontId="7" fillId="5" borderId="2" xfId="0" applyFont="1" applyFill="1" applyBorder="1" applyAlignment="1">
      <alignment horizontal="center"/>
    </xf>
    <xf numFmtId="0" fontId="0" fillId="5" borderId="3" xfId="0" applyFill="1" applyBorder="1"/>
    <xf numFmtId="0" fontId="31" fillId="5" borderId="0" xfId="0" applyFont="1" applyFill="1"/>
    <xf numFmtId="0" fontId="30" fillId="5" borderId="0" xfId="0" applyFont="1" applyFill="1"/>
    <xf numFmtId="0" fontId="8" fillId="5" borderId="27" xfId="0" applyFont="1" applyFill="1" applyBorder="1" applyAlignment="1">
      <alignment vertical="center"/>
    </xf>
    <xf numFmtId="187" fontId="32" fillId="5" borderId="12" xfId="1" applyNumberFormat="1" applyFont="1" applyFill="1" applyBorder="1" applyAlignment="1">
      <alignment horizontal="center" vertical="center"/>
    </xf>
    <xf numFmtId="1" fontId="7" fillId="17" borderId="0" xfId="0" applyNumberFormat="1" applyFont="1" applyFill="1" applyAlignment="1">
      <alignment horizontal="center" vertical="center"/>
    </xf>
    <xf numFmtId="1" fontId="18" fillId="5" borderId="3" xfId="0" applyNumberFormat="1" applyFont="1" applyFill="1" applyBorder="1" applyAlignment="1">
      <alignment horizontal="center" vertical="center"/>
    </xf>
    <xf numFmtId="0" fontId="29" fillId="5" borderId="0" xfId="0" applyFont="1" applyFill="1" applyAlignment="1">
      <alignment vertical="center"/>
    </xf>
    <xf numFmtId="1" fontId="30" fillId="0" borderId="9" xfId="0" applyNumberFormat="1" applyFont="1" applyBorder="1" applyAlignment="1">
      <alignment horizontal="center" vertical="center"/>
    </xf>
    <xf numFmtId="1" fontId="30" fillId="0" borderId="10" xfId="0" applyNumberFormat="1" applyFont="1" applyBorder="1" applyAlignment="1">
      <alignment horizontal="center" vertical="center"/>
    </xf>
    <xf numFmtId="1" fontId="30" fillId="0" borderId="11" xfId="0" applyNumberFormat="1" applyFont="1" applyBorder="1" applyAlignment="1">
      <alignment horizontal="center" vertical="center"/>
    </xf>
    <xf numFmtId="1" fontId="30" fillId="0" borderId="17" xfId="0" applyNumberFormat="1" applyFont="1" applyBorder="1" applyAlignment="1">
      <alignment horizontal="center" vertical="center"/>
    </xf>
    <xf numFmtId="1" fontId="30" fillId="0" borderId="18" xfId="0" applyNumberFormat="1" applyFont="1" applyBorder="1" applyAlignment="1">
      <alignment horizontal="center" vertical="center"/>
    </xf>
    <xf numFmtId="1" fontId="30" fillId="0" borderId="19" xfId="0" applyNumberFormat="1" applyFont="1" applyBorder="1" applyAlignment="1">
      <alignment horizontal="center" vertical="center"/>
    </xf>
    <xf numFmtId="1" fontId="30" fillId="0" borderId="21" xfId="0" applyNumberFormat="1" applyFont="1" applyBorder="1" applyAlignment="1">
      <alignment horizontal="center" vertical="center"/>
    </xf>
    <xf numFmtId="1" fontId="30" fillId="0" borderId="22" xfId="0" applyNumberFormat="1" applyFont="1" applyBorder="1" applyAlignment="1">
      <alignment horizontal="center" vertical="center"/>
    </xf>
    <xf numFmtId="1" fontId="30" fillId="0" borderId="23" xfId="0" applyNumberFormat="1" applyFont="1" applyBorder="1" applyAlignment="1">
      <alignment horizontal="center" vertical="center"/>
    </xf>
    <xf numFmtId="1" fontId="38" fillId="17" borderId="2" xfId="0" applyNumberFormat="1" applyFont="1" applyFill="1" applyBorder="1" applyAlignment="1">
      <alignment horizontal="center" vertical="center"/>
    </xf>
    <xf numFmtId="1" fontId="38" fillId="17" borderId="8" xfId="0" applyNumberFormat="1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5" fillId="5" borderId="3" xfId="0" applyFont="1" applyFill="1" applyBorder="1" applyAlignment="1">
      <alignment horizontal="center" vertical="center"/>
    </xf>
    <xf numFmtId="0" fontId="30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41" fillId="0" borderId="18" xfId="0" applyFont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18" fillId="0" borderId="3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41" fillId="0" borderId="9" xfId="0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42" fillId="0" borderId="19" xfId="0" applyFont="1" applyBorder="1" applyAlignment="1">
      <alignment horizontal="center"/>
    </xf>
    <xf numFmtId="0" fontId="41" fillId="0" borderId="21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1" fillId="0" borderId="22" xfId="0" applyFont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42" fillId="0" borderId="10" xfId="0" applyFont="1" applyBorder="1" applyAlignment="1">
      <alignment horizontal="left"/>
    </xf>
    <xf numFmtId="0" fontId="42" fillId="0" borderId="18" xfId="0" applyFont="1" applyBorder="1" applyAlignment="1">
      <alignment horizontal="left"/>
    </xf>
    <xf numFmtId="0" fontId="42" fillId="0" borderId="22" xfId="0" applyFont="1" applyBorder="1" applyAlignment="1">
      <alignment horizontal="left"/>
    </xf>
    <xf numFmtId="0" fontId="41" fillId="0" borderId="37" xfId="0" applyFont="1" applyBorder="1" applyAlignment="1">
      <alignment horizontal="center"/>
    </xf>
    <xf numFmtId="0" fontId="42" fillId="0" borderId="15" xfId="0" applyFont="1" applyBorder="1" applyAlignment="1">
      <alignment horizontal="left"/>
    </xf>
    <xf numFmtId="0" fontId="42" fillId="0" borderId="16" xfId="0" applyFont="1" applyBorder="1" applyAlignment="1">
      <alignment horizontal="center"/>
    </xf>
    <xf numFmtId="2" fontId="3" fillId="3" borderId="39" xfId="0" applyNumberFormat="1" applyFont="1" applyFill="1" applyBorder="1" applyAlignment="1">
      <alignment horizontal="center"/>
    </xf>
    <xf numFmtId="2" fontId="3" fillId="0" borderId="39" xfId="0" applyNumberFormat="1" applyFont="1" applyBorder="1" applyAlignment="1">
      <alignment horizontal="center"/>
    </xf>
    <xf numFmtId="0" fontId="43" fillId="9" borderId="0" xfId="0" applyFont="1" applyFill="1" applyAlignment="1">
      <alignment horizontal="center"/>
    </xf>
    <xf numFmtId="0" fontId="44" fillId="0" borderId="0" xfId="0" applyFont="1"/>
    <xf numFmtId="0" fontId="43" fillId="0" borderId="0" xfId="0" applyFont="1"/>
    <xf numFmtId="1" fontId="3" fillId="3" borderId="18" xfId="0" applyNumberFormat="1" applyFont="1" applyFill="1" applyBorder="1" applyAlignment="1">
      <alignment horizontal="center"/>
    </xf>
    <xf numFmtId="1" fontId="3" fillId="6" borderId="18" xfId="0" applyNumberFormat="1" applyFont="1" applyFill="1" applyBorder="1" applyAlignment="1">
      <alignment horizontal="center" wrapText="1"/>
    </xf>
    <xf numFmtId="1" fontId="3" fillId="6" borderId="18" xfId="0" applyNumberFormat="1" applyFont="1" applyFill="1" applyBorder="1" applyAlignment="1">
      <alignment horizontal="center"/>
    </xf>
    <xf numFmtId="1" fontId="3" fillId="16" borderId="18" xfId="0" applyNumberFormat="1" applyFont="1" applyFill="1" applyBorder="1" applyAlignment="1">
      <alignment horizontal="center" wrapText="1"/>
    </xf>
    <xf numFmtId="1" fontId="3" fillId="16" borderId="18" xfId="0" applyNumberFormat="1" applyFont="1" applyFill="1" applyBorder="1" applyAlignment="1">
      <alignment horizontal="center"/>
    </xf>
    <xf numFmtId="1" fontId="3" fillId="4" borderId="18" xfId="0" applyNumberFormat="1" applyFont="1" applyFill="1" applyBorder="1" applyAlignment="1">
      <alignment horizontal="center"/>
    </xf>
    <xf numFmtId="0" fontId="7" fillId="0" borderId="0" xfId="0" applyFont="1"/>
    <xf numFmtId="43" fontId="7" fillId="0" borderId="0" xfId="1" applyFont="1"/>
    <xf numFmtId="0" fontId="7" fillId="0" borderId="33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43" fontId="7" fillId="0" borderId="34" xfId="1" applyFont="1" applyBorder="1" applyAlignment="1">
      <alignment horizontal="center"/>
    </xf>
    <xf numFmtId="0" fontId="7" fillId="0" borderId="18" xfId="0" applyFont="1" applyBorder="1"/>
    <xf numFmtId="0" fontId="7" fillId="0" borderId="17" xfId="0" applyFont="1" applyBorder="1" applyAlignment="1">
      <alignment horizontal="center"/>
    </xf>
    <xf numFmtId="43" fontId="7" fillId="0" borderId="19" xfId="1" applyFont="1" applyBorder="1"/>
    <xf numFmtId="0" fontId="7" fillId="0" borderId="21" xfId="0" applyFont="1" applyBorder="1" applyAlignment="1">
      <alignment horizontal="center"/>
    </xf>
    <xf numFmtId="0" fontId="7" fillId="0" borderId="22" xfId="0" applyFont="1" applyBorder="1"/>
    <xf numFmtId="43" fontId="7" fillId="0" borderId="23" xfId="1" applyFont="1" applyBorder="1"/>
    <xf numFmtId="1" fontId="3" fillId="5" borderId="0" xfId="0" applyNumberFormat="1" applyFont="1" applyFill="1" applyAlignment="1">
      <alignment horizontal="center" wrapText="1"/>
    </xf>
    <xf numFmtId="0" fontId="3" fillId="5" borderId="0" xfId="0" applyFont="1" applyFill="1" applyAlignment="1">
      <alignment horizontal="center"/>
    </xf>
    <xf numFmtId="0" fontId="3" fillId="5" borderId="3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" fillId="5" borderId="2" xfId="0" applyFont="1" applyFill="1" applyBorder="1"/>
    <xf numFmtId="188" fontId="3" fillId="5" borderId="49" xfId="0" applyNumberFormat="1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188" fontId="3" fillId="5" borderId="39" xfId="0" applyNumberFormat="1" applyFont="1" applyFill="1" applyBorder="1" applyAlignment="1">
      <alignment horizontal="center"/>
    </xf>
    <xf numFmtId="188" fontId="3" fillId="5" borderId="42" xfId="0" applyNumberFormat="1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/>
    </xf>
    <xf numFmtId="0" fontId="3" fillId="5" borderId="27" xfId="0" applyFont="1" applyFill="1" applyBorder="1"/>
    <xf numFmtId="188" fontId="3" fillId="5" borderId="43" xfId="0" applyNumberFormat="1" applyFont="1" applyFill="1" applyBorder="1" applyAlignment="1">
      <alignment horizontal="center"/>
    </xf>
    <xf numFmtId="43" fontId="0" fillId="0" borderId="0" xfId="0" applyNumberFormat="1"/>
    <xf numFmtId="0" fontId="3" fillId="5" borderId="8" xfId="0" applyFont="1" applyFill="1" applyBorder="1"/>
    <xf numFmtId="0" fontId="3" fillId="5" borderId="8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3" fillId="5" borderId="26" xfId="0" applyFont="1" applyFill="1" applyBorder="1"/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43" fontId="0" fillId="0" borderId="0" xfId="1" applyFont="1"/>
    <xf numFmtId="187" fontId="0" fillId="0" borderId="0" xfId="1" applyNumberFormat="1" applyFont="1"/>
    <xf numFmtId="9" fontId="0" fillId="0" borderId="0" xfId="0" applyNumberFormat="1"/>
    <xf numFmtId="0" fontId="3" fillId="3" borderId="32" xfId="0" applyFont="1" applyFill="1" applyBorder="1"/>
    <xf numFmtId="0" fontId="3" fillId="3" borderId="13" xfId="0" applyFont="1" applyFill="1" applyBorder="1"/>
    <xf numFmtId="0" fontId="3" fillId="7" borderId="13" xfId="0" applyFont="1" applyFill="1" applyBorder="1"/>
    <xf numFmtId="0" fontId="3" fillId="6" borderId="13" xfId="0" applyFont="1" applyFill="1" applyBorder="1"/>
    <xf numFmtId="0" fontId="3" fillId="13" borderId="13" xfId="0" applyFont="1" applyFill="1" applyBorder="1"/>
    <xf numFmtId="0" fontId="3" fillId="4" borderId="13" xfId="0" applyFont="1" applyFill="1" applyBorder="1"/>
    <xf numFmtId="0" fontId="3" fillId="4" borderId="24" xfId="0" applyFont="1" applyFill="1" applyBorder="1"/>
    <xf numFmtId="0" fontId="3" fillId="7" borderId="0" xfId="0" applyFont="1" applyFill="1" applyAlignment="1">
      <alignment horizontal="center" vertical="center"/>
    </xf>
    <xf numFmtId="0" fontId="3" fillId="7" borderId="27" xfId="0" applyFont="1" applyFill="1" applyBorder="1" applyAlignment="1">
      <alignment horizontal="center"/>
    </xf>
    <xf numFmtId="0" fontId="3" fillId="5" borderId="1" xfId="0" applyFont="1" applyFill="1" applyBorder="1"/>
    <xf numFmtId="17" fontId="0" fillId="18" borderId="0" xfId="0" quotePrefix="1" applyNumberFormat="1" applyFill="1" applyAlignment="1">
      <alignment horizontal="center"/>
    </xf>
    <xf numFmtId="0" fontId="0" fillId="19" borderId="0" xfId="0" applyFill="1"/>
    <xf numFmtId="0" fontId="45" fillId="5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0" fillId="5" borderId="12" xfId="0" applyNumberForma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3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/>
    </xf>
    <xf numFmtId="10" fontId="0" fillId="18" borderId="0" xfId="0" applyNumberFormat="1" applyFill="1" applyAlignment="1">
      <alignment horizontal="center"/>
    </xf>
    <xf numFmtId="43" fontId="0" fillId="5" borderId="12" xfId="1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43" fontId="0" fillId="5" borderId="27" xfId="1" applyFont="1" applyFill="1" applyBorder="1" applyAlignment="1">
      <alignment horizontal="center"/>
    </xf>
    <xf numFmtId="0" fontId="47" fillId="5" borderId="0" xfId="0" applyFont="1" applyFill="1" applyAlignment="1">
      <alignment horizontal="center"/>
    </xf>
    <xf numFmtId="0" fontId="46" fillId="5" borderId="0" xfId="0" applyFont="1" applyFill="1"/>
    <xf numFmtId="0" fontId="47" fillId="5" borderId="0" xfId="0" applyFont="1" applyFill="1"/>
    <xf numFmtId="0" fontId="50" fillId="0" borderId="0" xfId="0" applyFont="1"/>
    <xf numFmtId="43" fontId="45" fillId="5" borderId="0" xfId="1" applyFont="1" applyFill="1" applyBorder="1" applyAlignment="1"/>
    <xf numFmtId="43" fontId="45" fillId="5" borderId="12" xfId="1" applyFont="1" applyFill="1" applyBorder="1" applyAlignment="1"/>
    <xf numFmtId="43" fontId="0" fillId="5" borderId="0" xfId="1" applyFont="1" applyFill="1" applyBorder="1" applyAlignment="1"/>
    <xf numFmtId="43" fontId="0" fillId="5" borderId="12" xfId="1" applyFont="1" applyFill="1" applyBorder="1" applyAlignment="1"/>
    <xf numFmtId="9" fontId="0" fillId="5" borderId="0" xfId="0" applyNumberFormat="1" applyFill="1"/>
    <xf numFmtId="192" fontId="0" fillId="5" borderId="0" xfId="0" applyNumberFormat="1" applyFill="1"/>
    <xf numFmtId="10" fontId="0" fillId="5" borderId="12" xfId="0" applyNumberFormat="1" applyFill="1" applyBorder="1"/>
    <xf numFmtId="0" fontId="52" fillId="5" borderId="2" xfId="0" applyFont="1" applyFill="1" applyBorder="1" applyAlignment="1">
      <alignment horizontal="right"/>
    </xf>
    <xf numFmtId="0" fontId="52" fillId="5" borderId="3" xfId="0" applyFont="1" applyFill="1" applyBorder="1" applyAlignment="1">
      <alignment horizontal="right"/>
    </xf>
    <xf numFmtId="0" fontId="45" fillId="5" borderId="0" xfId="0" applyFont="1" applyFill="1" applyAlignment="1">
      <alignment horizontal="right"/>
    </xf>
    <xf numFmtId="0" fontId="45" fillId="5" borderId="12" xfId="0" applyFont="1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12" xfId="0" applyFill="1" applyBorder="1" applyAlignment="1">
      <alignment horizontal="right"/>
    </xf>
    <xf numFmtId="43" fontId="45" fillId="5" borderId="0" xfId="1" applyFont="1" applyFill="1" applyAlignment="1">
      <alignment horizontal="right"/>
    </xf>
    <xf numFmtId="43" fontId="45" fillId="5" borderId="12" xfId="1" applyFont="1" applyFill="1" applyBorder="1" applyAlignment="1">
      <alignment horizontal="right"/>
    </xf>
    <xf numFmtId="10" fontId="0" fillId="5" borderId="0" xfId="0" applyNumberFormat="1" applyFill="1" applyAlignment="1">
      <alignment horizontal="right"/>
    </xf>
    <xf numFmtId="9" fontId="0" fillId="5" borderId="0" xfId="0" applyNumberFormat="1" applyFill="1" applyAlignment="1">
      <alignment horizontal="right"/>
    </xf>
    <xf numFmtId="9" fontId="0" fillId="5" borderId="12" xfId="0" applyNumberFormat="1" applyFill="1" applyBorder="1" applyAlignment="1">
      <alignment horizontal="right"/>
    </xf>
    <xf numFmtId="43" fontId="0" fillId="5" borderId="0" xfId="1" applyFont="1" applyFill="1" applyBorder="1" applyAlignment="1">
      <alignment horizontal="right"/>
    </xf>
    <xf numFmtId="43" fontId="0" fillId="5" borderId="12" xfId="1" applyFont="1" applyFill="1" applyBorder="1" applyAlignment="1">
      <alignment horizontal="right"/>
    </xf>
    <xf numFmtId="0" fontId="3" fillId="18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18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52" fillId="5" borderId="0" xfId="0" applyFont="1" applyFill="1" applyAlignment="1">
      <alignment horizontal="center" vertical="center" wrapText="1"/>
    </xf>
    <xf numFmtId="0" fontId="52" fillId="5" borderId="12" xfId="0" applyFont="1" applyFill="1" applyBorder="1" applyAlignment="1">
      <alignment horizontal="center" vertical="center" wrapText="1"/>
    </xf>
    <xf numFmtId="0" fontId="52" fillId="5" borderId="0" xfId="0" applyFont="1" applyFill="1" applyAlignment="1">
      <alignment horizontal="center"/>
    </xf>
    <xf numFmtId="0" fontId="52" fillId="5" borderId="12" xfId="0" applyFont="1" applyFill="1" applyBorder="1" applyAlignment="1">
      <alignment horizontal="center"/>
    </xf>
    <xf numFmtId="0" fontId="53" fillId="5" borderId="0" xfId="0" applyFont="1" applyFill="1"/>
    <xf numFmtId="0" fontId="54" fillId="5" borderId="0" xfId="0" applyFont="1" applyFill="1" applyAlignment="1">
      <alignment horizontal="right"/>
    </xf>
    <xf numFmtId="0" fontId="53" fillId="5" borderId="0" xfId="0" applyFont="1" applyFill="1" applyAlignment="1">
      <alignment horizontal="center" vertical="top"/>
    </xf>
    <xf numFmtId="0" fontId="53" fillId="5" borderId="0" xfId="0" applyFont="1" applyFill="1" applyAlignment="1">
      <alignment horizontal="center"/>
    </xf>
    <xf numFmtId="0" fontId="53" fillId="5" borderId="12" xfId="0" applyFont="1" applyFill="1" applyBorder="1" applyAlignment="1">
      <alignment vertical="center"/>
    </xf>
    <xf numFmtId="0" fontId="55" fillId="5" borderId="0" xfId="0" applyFont="1" applyFill="1" applyAlignment="1">
      <alignment horizontal="right"/>
    </xf>
    <xf numFmtId="0" fontId="0" fillId="20" borderId="0" xfId="0" applyFill="1"/>
    <xf numFmtId="0" fontId="3" fillId="20" borderId="0" xfId="0" applyFont="1" applyFill="1"/>
    <xf numFmtId="0" fontId="3" fillId="0" borderId="49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56" fillId="0" borderId="0" xfId="0" applyFont="1"/>
    <xf numFmtId="0" fontId="0" fillId="20" borderId="1" xfId="0" applyFill="1" applyBorder="1"/>
    <xf numFmtId="0" fontId="0" fillId="20" borderId="3" xfId="0" applyFill="1" applyBorder="1"/>
    <xf numFmtId="0" fontId="0" fillId="20" borderId="8" xfId="0" applyFill="1" applyBorder="1"/>
    <xf numFmtId="0" fontId="0" fillId="20" borderId="12" xfId="0" applyFill="1" applyBorder="1"/>
    <xf numFmtId="0" fontId="0" fillId="20" borderId="26" xfId="0" applyFill="1" applyBorder="1"/>
    <xf numFmtId="0" fontId="0" fillId="20" borderId="28" xfId="0" applyFill="1" applyBorder="1"/>
    <xf numFmtId="0" fontId="0" fillId="20" borderId="7" xfId="0" applyFill="1" applyBorder="1"/>
    <xf numFmtId="0" fontId="0" fillId="20" borderId="6" xfId="0" applyFill="1" applyBorder="1"/>
    <xf numFmtId="0" fontId="3" fillId="0" borderId="6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  <xf numFmtId="190" fontId="3" fillId="0" borderId="46" xfId="1" applyNumberFormat="1" applyFont="1" applyBorder="1" applyAlignment="1">
      <alignment horizontal="center"/>
    </xf>
    <xf numFmtId="190" fontId="3" fillId="0" borderId="48" xfId="1" applyNumberFormat="1" applyFont="1" applyBorder="1" applyAlignment="1">
      <alignment horizontal="center"/>
    </xf>
    <xf numFmtId="190" fontId="3" fillId="0" borderId="47" xfId="1" applyNumberFormat="1" applyFont="1" applyBorder="1" applyAlignment="1">
      <alignment horizontal="center"/>
    </xf>
    <xf numFmtId="0" fontId="3" fillId="21" borderId="49" xfId="0" applyFont="1" applyFill="1" applyBorder="1" applyAlignment="1">
      <alignment horizontal="center"/>
    </xf>
    <xf numFmtId="0" fontId="3" fillId="21" borderId="39" xfId="0" applyFont="1" applyFill="1" applyBorder="1" applyAlignment="1">
      <alignment horizontal="center"/>
    </xf>
    <xf numFmtId="0" fontId="3" fillId="22" borderId="39" xfId="0" applyFont="1" applyFill="1" applyBorder="1" applyAlignment="1">
      <alignment horizontal="center"/>
    </xf>
    <xf numFmtId="0" fontId="3" fillId="21" borderId="43" xfId="0" applyFont="1" applyFill="1" applyBorder="1" applyAlignment="1">
      <alignment horizontal="center"/>
    </xf>
    <xf numFmtId="190" fontId="3" fillId="0" borderId="49" xfId="1" applyNumberFormat="1" applyFont="1" applyFill="1" applyBorder="1" applyAlignment="1">
      <alignment horizontal="center"/>
    </xf>
    <xf numFmtId="190" fontId="3" fillId="0" borderId="39" xfId="1" applyNumberFormat="1" applyFont="1" applyFill="1" applyBorder="1" applyAlignment="1">
      <alignment horizontal="center"/>
    </xf>
    <xf numFmtId="190" fontId="3" fillId="0" borderId="43" xfId="1" applyNumberFormat="1" applyFont="1" applyFill="1" applyBorder="1" applyAlignment="1">
      <alignment horizontal="center"/>
    </xf>
    <xf numFmtId="193" fontId="3" fillId="7" borderId="4" xfId="1" applyNumberFormat="1" applyFont="1" applyFill="1" applyBorder="1"/>
    <xf numFmtId="0" fontId="3" fillId="7" borderId="7" xfId="0" applyFont="1" applyFill="1" applyBorder="1"/>
    <xf numFmtId="0" fontId="0" fillId="7" borderId="6" xfId="0" applyFill="1" applyBorder="1"/>
    <xf numFmtId="0" fontId="3" fillId="23" borderId="4" xfId="0" applyFont="1" applyFill="1" applyBorder="1"/>
    <xf numFmtId="0" fontId="0" fillId="0" borderId="1" xfId="0" applyBorder="1"/>
    <xf numFmtId="0" fontId="14" fillId="0" borderId="36" xfId="0" applyFont="1" applyBorder="1" applyAlignment="1">
      <alignment horizontal="center"/>
    </xf>
    <xf numFmtId="190" fontId="14" fillId="0" borderId="37" xfId="0" applyNumberFormat="1" applyFont="1" applyBorder="1" applyAlignment="1">
      <alignment horizontal="center"/>
    </xf>
    <xf numFmtId="190" fontId="14" fillId="0" borderId="15" xfId="0" applyNumberFormat="1" applyFont="1" applyBorder="1" applyAlignment="1">
      <alignment horizontal="center"/>
    </xf>
    <xf numFmtId="190" fontId="14" fillId="0" borderId="16" xfId="0" applyNumberFormat="1" applyFont="1" applyBorder="1" applyAlignment="1">
      <alignment horizontal="center"/>
    </xf>
    <xf numFmtId="190" fontId="14" fillId="0" borderId="36" xfId="0" applyNumberFormat="1" applyFont="1" applyBorder="1"/>
    <xf numFmtId="0" fontId="3" fillId="0" borderId="43" xfId="0" applyFont="1" applyBorder="1" applyAlignment="1">
      <alignment horizontal="center"/>
    </xf>
    <xf numFmtId="190" fontId="3" fillId="0" borderId="58" xfId="1" applyNumberFormat="1" applyFont="1" applyBorder="1" applyAlignment="1">
      <alignment horizontal="center"/>
    </xf>
    <xf numFmtId="190" fontId="3" fillId="0" borderId="59" xfId="1" applyNumberFormat="1" applyFont="1" applyBorder="1" applyAlignment="1">
      <alignment horizontal="center"/>
    </xf>
    <xf numFmtId="190" fontId="3" fillId="0" borderId="60" xfId="1" applyNumberFormat="1" applyFont="1" applyBorder="1" applyAlignment="1">
      <alignment horizontal="center"/>
    </xf>
    <xf numFmtId="190" fontId="3" fillId="0" borderId="43" xfId="0" applyNumberFormat="1" applyFont="1" applyBorder="1"/>
    <xf numFmtId="0" fontId="0" fillId="0" borderId="5" xfId="0" applyBorder="1"/>
    <xf numFmtId="0" fontId="0" fillId="0" borderId="6" xfId="0" applyBorder="1"/>
    <xf numFmtId="0" fontId="3" fillId="22" borderId="49" xfId="0" applyFont="1" applyFill="1" applyBorder="1" applyAlignment="1">
      <alignment horizontal="center"/>
    </xf>
    <xf numFmtId="0" fontId="3" fillId="22" borderId="43" xfId="0" applyFont="1" applyFill="1" applyBorder="1" applyAlignment="1">
      <alignment horizontal="center"/>
    </xf>
    <xf numFmtId="0" fontId="3" fillId="21" borderId="24" xfId="0" applyFont="1" applyFill="1" applyBorder="1" applyAlignment="1">
      <alignment horizontal="center"/>
    </xf>
    <xf numFmtId="43" fontId="30" fillId="5" borderId="4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5" borderId="12" xfId="0" applyFont="1" applyFill="1" applyBorder="1"/>
    <xf numFmtId="0" fontId="9" fillId="5" borderId="0" xfId="0" applyFont="1" applyFill="1"/>
    <xf numFmtId="0" fontId="45" fillId="5" borderId="8" xfId="0" applyFont="1" applyFill="1" applyBorder="1" applyAlignment="1">
      <alignment horizontal="center" vertical="center"/>
    </xf>
    <xf numFmtId="0" fontId="45" fillId="5" borderId="0" xfId="0" applyFont="1" applyFill="1" applyAlignment="1">
      <alignment vertical="center"/>
    </xf>
    <xf numFmtId="0" fontId="45" fillId="5" borderId="0" xfId="0" applyFont="1" applyFill="1"/>
    <xf numFmtId="0" fontId="45" fillId="5" borderId="12" xfId="0" applyFont="1" applyFill="1" applyBorder="1"/>
    <xf numFmtId="0" fontId="45" fillId="5" borderId="8" xfId="0" applyFont="1" applyFill="1" applyBorder="1"/>
    <xf numFmtId="0" fontId="59" fillId="5" borderId="0" xfId="0" applyFont="1" applyFill="1" applyAlignment="1">
      <alignment vertical="center"/>
    </xf>
    <xf numFmtId="0" fontId="45" fillId="5" borderId="26" xfId="0" applyFont="1" applyFill="1" applyBorder="1"/>
    <xf numFmtId="0" fontId="45" fillId="5" borderId="27" xfId="0" applyFont="1" applyFill="1" applyBorder="1"/>
    <xf numFmtId="0" fontId="45" fillId="5" borderId="28" xfId="0" applyFont="1" applyFill="1" applyBorder="1"/>
    <xf numFmtId="0" fontId="18" fillId="5" borderId="0" xfId="0" applyFont="1" applyFill="1" applyAlignment="1">
      <alignment horizontal="center"/>
    </xf>
    <xf numFmtId="0" fontId="0" fillId="5" borderId="18" xfId="0" applyFill="1" applyBorder="1" applyAlignment="1">
      <alignment horizontal="center"/>
    </xf>
    <xf numFmtId="16" fontId="0" fillId="5" borderId="0" xfId="0" quotePrefix="1" applyNumberFormat="1" applyFill="1"/>
    <xf numFmtId="0" fontId="0" fillId="5" borderId="0" xfId="0" quotePrefix="1" applyFill="1"/>
    <xf numFmtId="0" fontId="3" fillId="5" borderId="18" xfId="0" applyFont="1" applyFill="1" applyBorder="1" applyAlignment="1">
      <alignment horizontal="center"/>
    </xf>
    <xf numFmtId="1" fontId="0" fillId="5" borderId="18" xfId="0" applyNumberFormat="1" applyFill="1" applyBorder="1" applyAlignment="1">
      <alignment horizontal="center"/>
    </xf>
    <xf numFmtId="43" fontId="0" fillId="5" borderId="18" xfId="1" applyFont="1" applyFill="1" applyBorder="1"/>
    <xf numFmtId="0" fontId="0" fillId="5" borderId="18" xfId="0" applyFill="1" applyBorder="1"/>
    <xf numFmtId="43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43" fontId="3" fillId="7" borderId="4" xfId="1" applyFont="1" applyFill="1" applyBorder="1" applyAlignment="1">
      <alignment horizontal="center"/>
    </xf>
    <xf numFmtId="0" fontId="18" fillId="5" borderId="0" xfId="0" applyFont="1" applyFill="1"/>
    <xf numFmtId="43" fontId="18" fillId="7" borderId="34" xfId="1" applyFont="1" applyFill="1" applyBorder="1"/>
    <xf numFmtId="43" fontId="36" fillId="5" borderId="4" xfId="1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/>
    </xf>
    <xf numFmtId="43" fontId="53" fillId="5" borderId="11" xfId="0" applyNumberFormat="1" applyFont="1" applyFill="1" applyBorder="1" applyAlignment="1">
      <alignment horizontal="center"/>
    </xf>
    <xf numFmtId="0" fontId="53" fillId="5" borderId="19" xfId="0" applyFont="1" applyFill="1" applyBorder="1" applyAlignment="1">
      <alignment horizontal="center"/>
    </xf>
    <xf numFmtId="43" fontId="53" fillId="5" borderId="23" xfId="0" applyNumberFormat="1" applyFont="1" applyFill="1" applyBorder="1" applyAlignment="1">
      <alignment horizontal="center"/>
    </xf>
    <xf numFmtId="190" fontId="3" fillId="0" borderId="42" xfId="1" applyNumberFormat="1" applyFont="1" applyFill="1" applyBorder="1" applyAlignment="1">
      <alignment horizontal="center"/>
    </xf>
    <xf numFmtId="190" fontId="3" fillId="0" borderId="36" xfId="1" applyNumberFormat="1" applyFont="1" applyFill="1" applyBorder="1" applyAlignment="1">
      <alignment horizontal="center"/>
    </xf>
    <xf numFmtId="0" fontId="0" fillId="5" borderId="7" xfId="0" applyFill="1" applyBorder="1"/>
    <xf numFmtId="188" fontId="0" fillId="5" borderId="0" xfId="0" applyNumberFormat="1" applyFill="1"/>
    <xf numFmtId="187" fontId="61" fillId="0" borderId="0" xfId="1" applyNumberFormat="1" applyFont="1"/>
    <xf numFmtId="0" fontId="0" fillId="0" borderId="0" xfId="0" quotePrefix="1"/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vertical="center" wrapText="1"/>
    </xf>
    <xf numFmtId="0" fontId="14" fillId="0" borderId="39" xfId="0" applyFont="1" applyBorder="1" applyAlignment="1">
      <alignment horizontal="center" wrapText="1"/>
    </xf>
    <xf numFmtId="16" fontId="0" fillId="0" borderId="0" xfId="0" quotePrefix="1" applyNumberFormat="1" applyAlignment="1">
      <alignment horizontal="center"/>
    </xf>
    <xf numFmtId="0" fontId="60" fillId="2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62" fillId="0" borderId="4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 vertical="center"/>
    </xf>
    <xf numFmtId="0" fontId="62" fillId="0" borderId="7" xfId="0" applyFont="1" applyBorder="1" applyAlignment="1">
      <alignment horizontal="center" vertical="center" wrapText="1"/>
    </xf>
    <xf numFmtId="0" fontId="62" fillId="0" borderId="4" xfId="0" applyFont="1" applyBorder="1" applyAlignment="1">
      <alignment horizontal="center" vertical="center" wrapText="1"/>
    </xf>
    <xf numFmtId="0" fontId="64" fillId="0" borderId="32" xfId="0" applyFont="1" applyBorder="1" applyAlignment="1">
      <alignment horizontal="center"/>
    </xf>
    <xf numFmtId="0" fontId="62" fillId="3" borderId="0" xfId="0" applyFont="1" applyFill="1" applyAlignment="1">
      <alignment horizontal="center"/>
    </xf>
    <xf numFmtId="0" fontId="62" fillId="3" borderId="32" xfId="0" applyFont="1" applyFill="1" applyBorder="1" applyAlignment="1">
      <alignment horizontal="center"/>
    </xf>
    <xf numFmtId="0" fontId="63" fillId="0" borderId="49" xfId="0" applyFont="1" applyBorder="1" applyAlignment="1">
      <alignment horizontal="center"/>
    </xf>
    <xf numFmtId="0" fontId="62" fillId="0" borderId="14" xfId="0" applyFont="1" applyBorder="1" applyAlignment="1">
      <alignment horizontal="center"/>
    </xf>
    <xf numFmtId="0" fontId="62" fillId="0" borderId="15" xfId="0" applyFont="1" applyBorder="1" applyAlignment="1">
      <alignment horizontal="center"/>
    </xf>
    <xf numFmtId="1" fontId="62" fillId="0" borderId="15" xfId="0" applyNumberFormat="1" applyFont="1" applyBorder="1" applyAlignment="1">
      <alignment horizontal="center"/>
    </xf>
    <xf numFmtId="43" fontId="62" fillId="0" borderId="15" xfId="1" applyFont="1" applyFill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2" fillId="3" borderId="13" xfId="0" applyFont="1" applyFill="1" applyBorder="1" applyAlignment="1">
      <alignment horizontal="center"/>
    </xf>
    <xf numFmtId="0" fontId="63" fillId="0" borderId="39" xfId="0" applyFont="1" applyBorder="1" applyAlignment="1">
      <alignment horizontal="center"/>
    </xf>
    <xf numFmtId="0" fontId="62" fillId="0" borderId="20" xfId="0" applyFont="1" applyBorder="1" applyAlignment="1">
      <alignment horizontal="center"/>
    </xf>
    <xf numFmtId="0" fontId="62" fillId="0" borderId="18" xfId="0" applyFont="1" applyBorder="1" applyAlignment="1">
      <alignment horizontal="center"/>
    </xf>
    <xf numFmtId="1" fontId="62" fillId="0" borderId="18" xfId="0" applyNumberFormat="1" applyFont="1" applyBorder="1" applyAlignment="1">
      <alignment horizontal="center"/>
    </xf>
    <xf numFmtId="43" fontId="62" fillId="0" borderId="18" xfId="1" applyFont="1" applyFill="1" applyBorder="1" applyAlignment="1">
      <alignment horizontal="center"/>
    </xf>
    <xf numFmtId="0" fontId="63" fillId="0" borderId="43" xfId="0" applyFont="1" applyBorder="1" applyAlignment="1">
      <alignment horizontal="center"/>
    </xf>
    <xf numFmtId="0" fontId="62" fillId="0" borderId="64" xfId="0" applyFont="1" applyBorder="1" applyAlignment="1">
      <alignment horizontal="center"/>
    </xf>
    <xf numFmtId="0" fontId="62" fillId="0" borderId="56" xfId="0" applyFont="1" applyBorder="1" applyAlignment="1">
      <alignment horizontal="center"/>
    </xf>
    <xf numFmtId="1" fontId="62" fillId="0" borderId="56" xfId="0" applyNumberFormat="1" applyFont="1" applyBorder="1" applyAlignment="1">
      <alignment horizontal="center"/>
    </xf>
    <xf numFmtId="43" fontId="62" fillId="0" borderId="56" xfId="1" applyFont="1" applyFill="1" applyBorder="1" applyAlignment="1">
      <alignment horizontal="center"/>
    </xf>
    <xf numFmtId="0" fontId="63" fillId="0" borderId="32" xfId="0" applyFont="1" applyBorder="1" applyAlignment="1">
      <alignment horizontal="center"/>
    </xf>
    <xf numFmtId="0" fontId="62" fillId="0" borderId="33" xfId="0" applyFont="1" applyBorder="1" applyAlignment="1">
      <alignment horizontal="center"/>
    </xf>
    <xf numFmtId="0" fontId="62" fillId="0" borderId="35" xfId="0" applyFont="1" applyBorder="1" applyAlignment="1">
      <alignment horizontal="center"/>
    </xf>
    <xf numFmtId="0" fontId="62" fillId="0" borderId="35" xfId="0" applyFont="1" applyBorder="1" applyAlignment="1">
      <alignment horizontal="center" wrapText="1"/>
    </xf>
    <xf numFmtId="0" fontId="62" fillId="0" borderId="34" xfId="0" applyFont="1" applyBorder="1" applyAlignment="1">
      <alignment horizontal="center" wrapText="1"/>
    </xf>
    <xf numFmtId="0" fontId="62" fillId="7" borderId="0" xfId="0" applyFont="1" applyFill="1" applyAlignment="1">
      <alignment horizontal="center"/>
    </xf>
    <xf numFmtId="0" fontId="62" fillId="7" borderId="13" xfId="0" applyFont="1" applyFill="1" applyBorder="1" applyAlignment="1">
      <alignment horizontal="center"/>
    </xf>
    <xf numFmtId="0" fontId="62" fillId="0" borderId="0" xfId="0" applyFont="1" applyAlignment="1">
      <alignment horizontal="center"/>
    </xf>
    <xf numFmtId="0" fontId="62" fillId="0" borderId="40" xfId="0" applyFont="1" applyBorder="1" applyAlignment="1">
      <alignment horizontal="center"/>
    </xf>
    <xf numFmtId="43" fontId="62" fillId="0" borderId="14" xfId="1" applyFont="1" applyFill="1" applyBorder="1" applyAlignment="1">
      <alignment horizontal="center"/>
    </xf>
    <xf numFmtId="0" fontId="62" fillId="0" borderId="41" xfId="0" applyFont="1" applyBorder="1" applyAlignment="1">
      <alignment horizontal="center"/>
    </xf>
    <xf numFmtId="43" fontId="62" fillId="0" borderId="20" xfId="1" applyFont="1" applyFill="1" applyBorder="1" applyAlignment="1">
      <alignment horizontal="center"/>
    </xf>
    <xf numFmtId="0" fontId="62" fillId="0" borderId="65" xfId="0" applyFont="1" applyBorder="1" applyAlignment="1">
      <alignment horizontal="center"/>
    </xf>
    <xf numFmtId="0" fontId="62" fillId="6" borderId="0" xfId="0" applyFont="1" applyFill="1" applyAlignment="1">
      <alignment horizontal="center"/>
    </xf>
    <xf numFmtId="0" fontId="62" fillId="6" borderId="13" xfId="0" applyFont="1" applyFill="1" applyBorder="1" applyAlignment="1">
      <alignment horizontal="center"/>
    </xf>
    <xf numFmtId="1" fontId="62" fillId="0" borderId="36" xfId="0" applyNumberFormat="1" applyFont="1" applyBorder="1" applyAlignment="1">
      <alignment horizontal="center"/>
    </xf>
    <xf numFmtId="1" fontId="62" fillId="0" borderId="39" xfId="0" applyNumberFormat="1" applyFont="1" applyBorder="1" applyAlignment="1">
      <alignment horizontal="center"/>
    </xf>
    <xf numFmtId="0" fontId="62" fillId="0" borderId="22" xfId="0" applyFont="1" applyBorder="1" applyAlignment="1">
      <alignment horizontal="center"/>
    </xf>
    <xf numFmtId="1" fontId="62" fillId="0" borderId="43" xfId="0" applyNumberFormat="1" applyFont="1" applyBorder="1" applyAlignment="1">
      <alignment horizontal="center"/>
    </xf>
    <xf numFmtId="0" fontId="62" fillId="0" borderId="62" xfId="0" applyFont="1" applyBorder="1" applyAlignment="1">
      <alignment horizontal="center"/>
    </xf>
    <xf numFmtId="0" fontId="62" fillId="16" borderId="0" xfId="0" applyFont="1" applyFill="1" applyAlignment="1">
      <alignment horizontal="center"/>
    </xf>
    <xf numFmtId="0" fontId="62" fillId="16" borderId="13" xfId="0" applyFont="1" applyFill="1" applyBorder="1" applyAlignment="1">
      <alignment horizontal="center"/>
    </xf>
    <xf numFmtId="0" fontId="62" fillId="0" borderId="51" xfId="0" applyFont="1" applyBorder="1" applyAlignment="1">
      <alignment horizontal="center"/>
    </xf>
    <xf numFmtId="0" fontId="62" fillId="0" borderId="30" xfId="0" applyFont="1" applyBorder="1" applyAlignment="1">
      <alignment horizontal="center"/>
    </xf>
    <xf numFmtId="0" fontId="62" fillId="0" borderId="50" xfId="0" applyFont="1" applyBorder="1" applyAlignment="1">
      <alignment horizontal="center"/>
    </xf>
    <xf numFmtId="0" fontId="62" fillId="0" borderId="63" xfId="0" applyFont="1" applyBorder="1" applyAlignment="1">
      <alignment horizontal="center"/>
    </xf>
    <xf numFmtId="43" fontId="62" fillId="0" borderId="64" xfId="1" applyFont="1" applyFill="1" applyBorder="1" applyAlignment="1">
      <alignment horizontal="center"/>
    </xf>
    <xf numFmtId="0" fontId="62" fillId="4" borderId="0" xfId="0" applyFont="1" applyFill="1" applyAlignment="1">
      <alignment horizontal="center"/>
    </xf>
    <xf numFmtId="0" fontId="62" fillId="4" borderId="13" xfId="0" applyFont="1" applyFill="1" applyBorder="1" applyAlignment="1">
      <alignment horizontal="center"/>
    </xf>
    <xf numFmtId="0" fontId="64" fillId="0" borderId="24" xfId="0" applyFont="1" applyBorder="1" applyAlignment="1">
      <alignment horizontal="center"/>
    </xf>
    <xf numFmtId="187" fontId="61" fillId="7" borderId="0" xfId="1" applyNumberFormat="1" applyFont="1" applyFill="1"/>
    <xf numFmtId="187" fontId="61" fillId="7" borderId="0" xfId="0" applyNumberFormat="1" applyFont="1" applyFill="1"/>
    <xf numFmtId="2" fontId="0" fillId="7" borderId="0" xfId="0" applyNumberFormat="1" applyFill="1"/>
    <xf numFmtId="43" fontId="0" fillId="7" borderId="0" xfId="0" applyNumberFormat="1" applyFill="1"/>
    <xf numFmtId="187" fontId="61" fillId="4" borderId="0" xfId="0" applyNumberFormat="1" applyFont="1" applyFill="1"/>
    <xf numFmtId="2" fontId="0" fillId="4" borderId="0" xfId="0" applyNumberFormat="1" applyFill="1"/>
    <xf numFmtId="43" fontId="0" fillId="4" borderId="0" xfId="0" applyNumberFormat="1" applyFill="1"/>
    <xf numFmtId="16" fontId="0" fillId="0" borderId="0" xfId="0" quotePrefix="1" applyNumberForma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3" fillId="21" borderId="36" xfId="0" applyFont="1" applyFill="1" applyBorder="1" applyAlignment="1">
      <alignment horizontal="center"/>
    </xf>
    <xf numFmtId="0" fontId="3" fillId="22" borderId="24" xfId="0" applyFont="1" applyFill="1" applyBorder="1" applyAlignment="1">
      <alignment horizontal="center"/>
    </xf>
    <xf numFmtId="0" fontId="3" fillId="20" borderId="9" xfId="0" applyFont="1" applyFill="1" applyBorder="1" applyAlignment="1">
      <alignment horizontal="center" vertical="center"/>
    </xf>
    <xf numFmtId="0" fontId="3" fillId="20" borderId="10" xfId="0" applyFont="1" applyFill="1" applyBorder="1" applyAlignment="1">
      <alignment horizontal="center" vertical="center"/>
    </xf>
    <xf numFmtId="0" fontId="3" fillId="20" borderId="21" xfId="0" applyFont="1" applyFill="1" applyBorder="1" applyAlignment="1">
      <alignment horizontal="center" vertical="center"/>
    </xf>
    <xf numFmtId="0" fontId="3" fillId="20" borderId="22" xfId="0" applyFont="1" applyFill="1" applyBorder="1" applyAlignment="1">
      <alignment horizontal="center" vertical="center"/>
    </xf>
    <xf numFmtId="190" fontId="3" fillId="0" borderId="4" xfId="1" applyNumberFormat="1" applyFont="1" applyFill="1" applyBorder="1" applyAlignment="1">
      <alignment horizontal="center" vertical="center"/>
    </xf>
    <xf numFmtId="190" fontId="3" fillId="0" borderId="43" xfId="1" applyNumberFormat="1" applyFont="1" applyFill="1" applyBorder="1" applyAlignment="1">
      <alignment horizontal="center" vertical="center"/>
    </xf>
    <xf numFmtId="190" fontId="3" fillId="0" borderId="24" xfId="1" applyNumberFormat="1" applyFont="1" applyFill="1" applyBorder="1" applyAlignment="1">
      <alignment horizontal="center" vertical="center"/>
    </xf>
    <xf numFmtId="0" fontId="3" fillId="20" borderId="44" xfId="0" applyFont="1" applyFill="1" applyBorder="1" applyAlignment="1">
      <alignment horizontal="center" vertical="center"/>
    </xf>
    <xf numFmtId="0" fontId="3" fillId="21" borderId="26" xfId="0" applyFont="1" applyFill="1" applyBorder="1" applyAlignment="1">
      <alignment horizontal="center"/>
    </xf>
    <xf numFmtId="193" fontId="3" fillId="7" borderId="24" xfId="1" applyNumberFormat="1" applyFont="1" applyFill="1" applyBorder="1" applyAlignment="1">
      <alignment vertical="center"/>
    </xf>
    <xf numFmtId="0" fontId="3" fillId="20" borderId="38" xfId="0" applyFont="1" applyFill="1" applyBorder="1" applyAlignment="1">
      <alignment horizontal="center" vertical="center"/>
    </xf>
    <xf numFmtId="190" fontId="3" fillId="0" borderId="52" xfId="1" applyNumberFormat="1" applyFont="1" applyFill="1" applyBorder="1" applyAlignment="1">
      <alignment horizontal="center" vertical="center"/>
    </xf>
    <xf numFmtId="0" fontId="56" fillId="0" borderId="0" xfId="0" applyFont="1" applyAlignment="1">
      <alignment horizontal="center" vertical="center" wrapText="1"/>
    </xf>
    <xf numFmtId="190" fontId="3" fillId="0" borderId="0" xfId="1" applyNumberFormat="1" applyFont="1" applyFill="1" applyBorder="1" applyAlignment="1">
      <alignment horizontal="center" vertical="center"/>
    </xf>
    <xf numFmtId="193" fontId="3" fillId="7" borderId="0" xfId="1" applyNumberFormat="1" applyFont="1" applyFill="1" applyBorder="1" applyAlignment="1">
      <alignment vertical="center"/>
    </xf>
    <xf numFmtId="0" fontId="3" fillId="21" borderId="4" xfId="0" applyFont="1" applyFill="1" applyBorder="1" applyAlignment="1">
      <alignment horizontal="center"/>
    </xf>
    <xf numFmtId="0" fontId="3" fillId="22" borderId="4" xfId="0" applyFont="1" applyFill="1" applyBorder="1" applyAlignment="1">
      <alignment horizontal="center"/>
    </xf>
    <xf numFmtId="193" fontId="3" fillId="0" borderId="0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190" fontId="3" fillId="7" borderId="4" xfId="0" applyNumberFormat="1" applyFont="1" applyFill="1" applyBorder="1" applyAlignment="1">
      <alignment horizontal="center" vertical="center"/>
    </xf>
    <xf numFmtId="0" fontId="0" fillId="25" borderId="4" xfId="0" applyFill="1" applyBorder="1"/>
    <xf numFmtId="0" fontId="65" fillId="0" borderId="0" xfId="0" applyFont="1"/>
    <xf numFmtId="0" fontId="66" fillId="0" borderId="0" xfId="0" applyFont="1" applyAlignment="1">
      <alignment horizontal="center"/>
    </xf>
    <xf numFmtId="0" fontId="66" fillId="0" borderId="1" xfId="0" applyFont="1" applyBorder="1" applyAlignment="1">
      <alignment horizontal="center"/>
    </xf>
    <xf numFmtId="0" fontId="66" fillId="0" borderId="8" xfId="0" applyFont="1" applyBorder="1" applyAlignment="1">
      <alignment horizontal="center"/>
    </xf>
    <xf numFmtId="0" fontId="66" fillId="0" borderId="26" xfId="0" applyFont="1" applyBorder="1" applyAlignment="1">
      <alignment horizontal="center"/>
    </xf>
    <xf numFmtId="0" fontId="0" fillId="0" borderId="41" xfId="0" applyBorder="1"/>
    <xf numFmtId="0" fontId="3" fillId="0" borderId="66" xfId="0" applyFont="1" applyBorder="1"/>
    <xf numFmtId="0" fontId="67" fillId="0" borderId="0" xfId="0" applyFont="1"/>
    <xf numFmtId="0" fontId="7" fillId="0" borderId="2" xfId="0" applyFont="1" applyBorder="1" applyAlignment="1">
      <alignment horizontal="center"/>
    </xf>
    <xf numFmtId="0" fontId="3" fillId="0" borderId="27" xfId="0" applyFont="1" applyBorder="1" applyAlignment="1">
      <alignment horizontal="center" vertical="top"/>
    </xf>
    <xf numFmtId="0" fontId="18" fillId="5" borderId="7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0" fontId="18" fillId="5" borderId="51" xfId="0" applyFont="1" applyFill="1" applyBorder="1" applyAlignment="1">
      <alignment horizontal="center"/>
    </xf>
    <xf numFmtId="0" fontId="18" fillId="5" borderId="53" xfId="0" applyFont="1" applyFill="1" applyBorder="1" applyAlignment="1">
      <alignment horizontal="center"/>
    </xf>
    <xf numFmtId="0" fontId="18" fillId="5" borderId="50" xfId="0" applyFont="1" applyFill="1" applyBorder="1" applyAlignment="1">
      <alignment horizontal="center"/>
    </xf>
    <xf numFmtId="0" fontId="18" fillId="5" borderId="20" xfId="0" applyFont="1" applyFill="1" applyBorder="1" applyAlignment="1">
      <alignment horizontal="center"/>
    </xf>
    <xf numFmtId="0" fontId="18" fillId="5" borderId="52" xfId="0" applyFont="1" applyFill="1" applyBorder="1" applyAlignment="1">
      <alignment horizontal="center"/>
    </xf>
    <xf numFmtId="0" fontId="18" fillId="5" borderId="25" xfId="0" applyFont="1" applyFill="1" applyBorder="1" applyAlignment="1">
      <alignment horizontal="center"/>
    </xf>
    <xf numFmtId="0" fontId="18" fillId="5" borderId="6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left" vertical="center"/>
    </xf>
    <xf numFmtId="0" fontId="39" fillId="17" borderId="7" xfId="0" applyFont="1" applyFill="1" applyBorder="1" applyAlignment="1">
      <alignment horizontal="center" vertical="center"/>
    </xf>
    <xf numFmtId="0" fontId="39" fillId="17" borderId="5" xfId="0" applyFont="1" applyFill="1" applyBorder="1" applyAlignment="1">
      <alignment horizontal="center" vertical="center"/>
    </xf>
    <xf numFmtId="0" fontId="39" fillId="17" borderId="6" xfId="0" applyFont="1" applyFill="1" applyBorder="1" applyAlignment="1">
      <alignment horizontal="center" vertical="center"/>
    </xf>
    <xf numFmtId="0" fontId="40" fillId="17" borderId="7" xfId="0" applyFont="1" applyFill="1" applyBorder="1" applyAlignment="1">
      <alignment horizontal="center" vertical="center"/>
    </xf>
    <xf numFmtId="0" fontId="40" fillId="17" borderId="5" xfId="0" applyFont="1" applyFill="1" applyBorder="1" applyAlignment="1">
      <alignment horizontal="center" vertical="center"/>
    </xf>
    <xf numFmtId="0" fontId="40" fillId="17" borderId="6" xfId="0" applyFont="1" applyFill="1" applyBorder="1" applyAlignment="1">
      <alignment horizontal="center" vertical="center"/>
    </xf>
    <xf numFmtId="0" fontId="58" fillId="7" borderId="7" xfId="0" applyFont="1" applyFill="1" applyBorder="1" applyAlignment="1">
      <alignment horizontal="center" vertical="center"/>
    </xf>
    <xf numFmtId="0" fontId="58" fillId="7" borderId="5" xfId="0" applyFont="1" applyFill="1" applyBorder="1" applyAlignment="1">
      <alignment horizontal="center" vertical="center"/>
    </xf>
    <xf numFmtId="0" fontId="58" fillId="7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3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25" borderId="0" xfId="0" applyFill="1" applyAlignment="1">
      <alignment horizontal="center"/>
    </xf>
    <xf numFmtId="0" fontId="0" fillId="25" borderId="12" xfId="0" applyFill="1" applyBorder="1" applyAlignment="1">
      <alignment horizontal="center"/>
    </xf>
    <xf numFmtId="0" fontId="0" fillId="25" borderId="26" xfId="0" applyFill="1" applyBorder="1" applyAlignment="1">
      <alignment horizontal="center"/>
    </xf>
    <xf numFmtId="0" fontId="0" fillId="25" borderId="27" xfId="0" applyFill="1" applyBorder="1" applyAlignment="1">
      <alignment horizontal="center"/>
    </xf>
    <xf numFmtId="0" fontId="0" fillId="25" borderId="28" xfId="0" applyFill="1" applyBorder="1" applyAlignment="1">
      <alignment horizontal="center"/>
    </xf>
    <xf numFmtId="0" fontId="0" fillId="25" borderId="32" xfId="0" applyFill="1" applyBorder="1" applyAlignment="1">
      <alignment horizontal="center"/>
    </xf>
    <xf numFmtId="0" fontId="0" fillId="25" borderId="13" xfId="0" applyFill="1" applyBorder="1" applyAlignment="1">
      <alignment horizontal="center"/>
    </xf>
    <xf numFmtId="0" fontId="0" fillId="25" borderId="24" xfId="0" applyFill="1" applyBorder="1" applyAlignment="1">
      <alignment horizontal="center"/>
    </xf>
    <xf numFmtId="0" fontId="69" fillId="0" borderId="0" xfId="0" applyFont="1" applyAlignment="1">
      <alignment horizontal="right" vertical="center"/>
    </xf>
    <xf numFmtId="0" fontId="70" fillId="0" borderId="12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1" fontId="3" fillId="0" borderId="18" xfId="0" applyNumberFormat="1" applyFont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0" borderId="0" xfId="0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emf"/><Relationship Id="rId1" Type="http://schemas.openxmlformats.org/officeDocument/2006/relationships/image" Target="../media/image3.png"/><Relationship Id="rId5" Type="http://schemas.openxmlformats.org/officeDocument/2006/relationships/image" Target="../media/image7.emf"/><Relationship Id="rId4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15</xdr:row>
      <xdr:rowOff>28575</xdr:rowOff>
    </xdr:from>
    <xdr:to>
      <xdr:col>2</xdr:col>
      <xdr:colOff>247651</xdr:colOff>
      <xdr:row>18</xdr:row>
      <xdr:rowOff>47625</xdr:rowOff>
    </xdr:to>
    <xdr:sp macro="" textlink="">
      <xdr:nvSpPr>
        <xdr:cNvPr id="8" name="Left Bracket 7">
          <a:extLst>
            <a:ext uri="{FF2B5EF4-FFF2-40B4-BE49-F238E27FC236}">
              <a16:creationId xmlns:a16="http://schemas.microsoft.com/office/drawing/2014/main" id="{10C64CCC-E5A1-4C64-BACE-EE8D74750AAE}"/>
            </a:ext>
          </a:extLst>
        </xdr:cNvPr>
        <xdr:cNvSpPr/>
      </xdr:nvSpPr>
      <xdr:spPr>
        <a:xfrm>
          <a:off x="2695576" y="3848100"/>
          <a:ext cx="190500" cy="9144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19051</xdr:colOff>
      <xdr:row>15</xdr:row>
      <xdr:rowOff>47625</xdr:rowOff>
    </xdr:from>
    <xdr:to>
      <xdr:col>4</xdr:col>
      <xdr:colOff>209551</xdr:colOff>
      <xdr:row>18</xdr:row>
      <xdr:rowOff>66675</xdr:rowOff>
    </xdr:to>
    <xdr:sp macro="" textlink="">
      <xdr:nvSpPr>
        <xdr:cNvPr id="9" name="Left Bracket 8">
          <a:extLst>
            <a:ext uri="{FF2B5EF4-FFF2-40B4-BE49-F238E27FC236}">
              <a16:creationId xmlns:a16="http://schemas.microsoft.com/office/drawing/2014/main" id="{93A14BC1-DB90-4FC3-8821-81E977FFAAB7}"/>
            </a:ext>
          </a:extLst>
        </xdr:cNvPr>
        <xdr:cNvSpPr/>
      </xdr:nvSpPr>
      <xdr:spPr>
        <a:xfrm rot="10800000">
          <a:off x="3981451" y="3867150"/>
          <a:ext cx="190500" cy="9144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20</xdr:col>
      <xdr:colOff>9525</xdr:colOff>
      <xdr:row>36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F81D3D-3297-BDC8-CD4A-3106C7C02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904875"/>
          <a:ext cx="109823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514350</xdr:colOff>
      <xdr:row>160</xdr:row>
      <xdr:rowOff>19050</xdr:rowOff>
    </xdr:from>
    <xdr:to>
      <xdr:col>39</xdr:col>
      <xdr:colOff>704850</xdr:colOff>
      <xdr:row>160</xdr:row>
      <xdr:rowOff>171450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B1E38FEB-DD7F-42B2-825B-AAFBAB6EE02F}"/>
            </a:ext>
          </a:extLst>
        </xdr:cNvPr>
        <xdr:cNvSpPr/>
      </xdr:nvSpPr>
      <xdr:spPr>
        <a:xfrm>
          <a:off x="18497550" y="11811000"/>
          <a:ext cx="190500" cy="152400"/>
        </a:xfrm>
        <a:prstGeom prst="noSmoking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514350</xdr:colOff>
      <xdr:row>160</xdr:row>
      <xdr:rowOff>19050</xdr:rowOff>
    </xdr:from>
    <xdr:to>
      <xdr:col>18</xdr:col>
      <xdr:colOff>704850</xdr:colOff>
      <xdr:row>160</xdr:row>
      <xdr:rowOff>171450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BA05D7C6-6CF2-40A9-9F05-F7D11FCA7C34}"/>
            </a:ext>
          </a:extLst>
        </xdr:cNvPr>
        <xdr:cNvSpPr/>
      </xdr:nvSpPr>
      <xdr:spPr>
        <a:xfrm>
          <a:off x="12087225" y="11811000"/>
          <a:ext cx="190500" cy="152400"/>
        </a:xfrm>
        <a:prstGeom prst="noSmoking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514350</xdr:colOff>
      <xdr:row>160</xdr:row>
      <xdr:rowOff>19050</xdr:rowOff>
    </xdr:from>
    <xdr:to>
      <xdr:col>25</xdr:col>
      <xdr:colOff>704850</xdr:colOff>
      <xdr:row>160</xdr:row>
      <xdr:rowOff>171450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714A5349-96E7-4CF5-B743-348E7BFEA8D8}"/>
            </a:ext>
          </a:extLst>
        </xdr:cNvPr>
        <xdr:cNvSpPr/>
      </xdr:nvSpPr>
      <xdr:spPr>
        <a:xfrm>
          <a:off x="18497550" y="11811000"/>
          <a:ext cx="190500" cy="152400"/>
        </a:xfrm>
        <a:prstGeom prst="noSmoking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21</xdr:row>
      <xdr:rowOff>28575</xdr:rowOff>
    </xdr:from>
    <xdr:to>
      <xdr:col>3</xdr:col>
      <xdr:colOff>247651</xdr:colOff>
      <xdr:row>24</xdr:row>
      <xdr:rowOff>47625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7A6F9F27-3482-2BE1-0A76-B9CA18545FBF}"/>
            </a:ext>
          </a:extLst>
        </xdr:cNvPr>
        <xdr:cNvSpPr/>
      </xdr:nvSpPr>
      <xdr:spPr>
        <a:xfrm>
          <a:off x="2695576" y="3848100"/>
          <a:ext cx="190500" cy="9144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19051</xdr:colOff>
      <xdr:row>21</xdr:row>
      <xdr:rowOff>47625</xdr:rowOff>
    </xdr:from>
    <xdr:to>
      <xdr:col>5</xdr:col>
      <xdr:colOff>209551</xdr:colOff>
      <xdr:row>24</xdr:row>
      <xdr:rowOff>66675</xdr:rowOff>
    </xdr:to>
    <xdr:sp macro="" textlink="">
      <xdr:nvSpPr>
        <xdr:cNvPr id="3" name="Left Bracket 2">
          <a:extLst>
            <a:ext uri="{FF2B5EF4-FFF2-40B4-BE49-F238E27FC236}">
              <a16:creationId xmlns:a16="http://schemas.microsoft.com/office/drawing/2014/main" id="{60072A65-105B-4941-923D-5AB668E594FB}"/>
            </a:ext>
          </a:extLst>
        </xdr:cNvPr>
        <xdr:cNvSpPr/>
      </xdr:nvSpPr>
      <xdr:spPr>
        <a:xfrm rot="10800000">
          <a:off x="3829051" y="3867150"/>
          <a:ext cx="190500" cy="914400"/>
        </a:xfrm>
        <a:prstGeom prst="leftBracket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13</xdr:row>
      <xdr:rowOff>57150</xdr:rowOff>
    </xdr:from>
    <xdr:to>
      <xdr:col>6</xdr:col>
      <xdr:colOff>274516</xdr:colOff>
      <xdr:row>23</xdr:row>
      <xdr:rowOff>39779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63C878-9A9E-56A4-020B-164178808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409825"/>
          <a:ext cx="2255716" cy="1792379"/>
        </a:xfrm>
        <a:prstGeom prst="rect">
          <a:avLst/>
        </a:prstGeom>
      </xdr:spPr>
    </xdr:pic>
    <xdr:clientData/>
  </xdr:twoCellAnchor>
  <xdr:twoCellAnchor>
    <xdr:from>
      <xdr:col>6</xdr:col>
      <xdr:colOff>274516</xdr:colOff>
      <xdr:row>10</xdr:row>
      <xdr:rowOff>95250</xdr:rowOff>
    </xdr:from>
    <xdr:to>
      <xdr:col>7</xdr:col>
      <xdr:colOff>609600</xdr:colOff>
      <xdr:row>18</xdr:row>
      <xdr:rowOff>48465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D40C697-A10B-9CBE-D5C7-2ADC29D972D5}"/>
            </a:ext>
          </a:extLst>
        </xdr:cNvPr>
        <xdr:cNvCxnSpPr>
          <a:stCxn id="3" idx="3"/>
        </xdr:cNvCxnSpPr>
      </xdr:nvCxnSpPr>
      <xdr:spPr>
        <a:xfrm flipV="1">
          <a:off x="4389316" y="1905000"/>
          <a:ext cx="1020884" cy="14010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11</xdr:row>
      <xdr:rowOff>142875</xdr:rowOff>
    </xdr:from>
    <xdr:to>
      <xdr:col>7</xdr:col>
      <xdr:colOff>628650</xdr:colOff>
      <xdr:row>18</xdr:row>
      <xdr:rowOff>48465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8B04B84-C39D-4EB0-8C14-1E72E7C0D079}"/>
            </a:ext>
          </a:extLst>
        </xdr:cNvPr>
        <xdr:cNvCxnSpPr>
          <a:stCxn id="3" idx="3"/>
        </xdr:cNvCxnSpPr>
      </xdr:nvCxnSpPr>
      <xdr:spPr>
        <a:xfrm flipV="1">
          <a:off x="4389316" y="2133600"/>
          <a:ext cx="1039934" cy="11724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12</xdr:row>
      <xdr:rowOff>152400</xdr:rowOff>
    </xdr:from>
    <xdr:to>
      <xdr:col>7</xdr:col>
      <xdr:colOff>638175</xdr:colOff>
      <xdr:row>18</xdr:row>
      <xdr:rowOff>48465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65F2618-3B13-4416-84F0-B7A02F5C0249}"/>
            </a:ext>
          </a:extLst>
        </xdr:cNvPr>
        <xdr:cNvCxnSpPr>
          <a:stCxn id="3" idx="3"/>
        </xdr:cNvCxnSpPr>
      </xdr:nvCxnSpPr>
      <xdr:spPr>
        <a:xfrm flipV="1">
          <a:off x="4389316" y="2324100"/>
          <a:ext cx="1049459" cy="9819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14</xdr:row>
      <xdr:rowOff>95250</xdr:rowOff>
    </xdr:from>
    <xdr:to>
      <xdr:col>7</xdr:col>
      <xdr:colOff>638175</xdr:colOff>
      <xdr:row>18</xdr:row>
      <xdr:rowOff>48465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859BE7A-05FD-4057-8CCF-1487A905FE0B}"/>
            </a:ext>
          </a:extLst>
        </xdr:cNvPr>
        <xdr:cNvCxnSpPr>
          <a:stCxn id="3" idx="3"/>
        </xdr:cNvCxnSpPr>
      </xdr:nvCxnSpPr>
      <xdr:spPr>
        <a:xfrm flipV="1">
          <a:off x="4389316" y="2628900"/>
          <a:ext cx="1049459" cy="6771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15</xdr:row>
      <xdr:rowOff>114300</xdr:rowOff>
    </xdr:from>
    <xdr:to>
      <xdr:col>7</xdr:col>
      <xdr:colOff>657225</xdr:colOff>
      <xdr:row>18</xdr:row>
      <xdr:rowOff>48465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673071E-5EF0-4DD8-9706-1EA5003C6044}"/>
            </a:ext>
          </a:extLst>
        </xdr:cNvPr>
        <xdr:cNvCxnSpPr>
          <a:stCxn id="3" idx="3"/>
        </xdr:cNvCxnSpPr>
      </xdr:nvCxnSpPr>
      <xdr:spPr>
        <a:xfrm flipV="1">
          <a:off x="4389316" y="2828925"/>
          <a:ext cx="1068509" cy="4770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16</xdr:row>
      <xdr:rowOff>104775</xdr:rowOff>
    </xdr:from>
    <xdr:to>
      <xdr:col>7</xdr:col>
      <xdr:colOff>657225</xdr:colOff>
      <xdr:row>18</xdr:row>
      <xdr:rowOff>48465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D8801F1-6DAD-4C93-8E18-40AFD33903A6}"/>
            </a:ext>
          </a:extLst>
        </xdr:cNvPr>
        <xdr:cNvCxnSpPr>
          <a:stCxn id="3" idx="3"/>
        </xdr:cNvCxnSpPr>
      </xdr:nvCxnSpPr>
      <xdr:spPr>
        <a:xfrm flipV="1">
          <a:off x="4389316" y="3000375"/>
          <a:ext cx="1068509" cy="3056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647700</xdr:colOff>
      <xdr:row>18</xdr:row>
      <xdr:rowOff>133350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C3C1B762-16FA-4DAE-A83D-F95A2AA7D221}"/>
            </a:ext>
          </a:extLst>
        </xdr:cNvPr>
        <xdr:cNvCxnSpPr>
          <a:stCxn id="3" idx="3"/>
        </xdr:cNvCxnSpPr>
      </xdr:nvCxnSpPr>
      <xdr:spPr>
        <a:xfrm>
          <a:off x="4389316" y="3306015"/>
          <a:ext cx="1058984" cy="8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638175</xdr:colOff>
      <xdr:row>19</xdr:row>
      <xdr:rowOff>104775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7E70BC7-A2A6-4071-81ED-38E20AACC7C3}"/>
            </a:ext>
          </a:extLst>
        </xdr:cNvPr>
        <xdr:cNvCxnSpPr>
          <a:stCxn id="3" idx="3"/>
        </xdr:cNvCxnSpPr>
      </xdr:nvCxnSpPr>
      <xdr:spPr>
        <a:xfrm>
          <a:off x="4389316" y="3306015"/>
          <a:ext cx="1049459" cy="2372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609600</xdr:colOff>
      <xdr:row>20</xdr:row>
      <xdr:rowOff>85725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C199800-2940-4108-995A-A9394B9BAE10}"/>
            </a:ext>
          </a:extLst>
        </xdr:cNvPr>
        <xdr:cNvCxnSpPr>
          <a:stCxn id="3" idx="3"/>
        </xdr:cNvCxnSpPr>
      </xdr:nvCxnSpPr>
      <xdr:spPr>
        <a:xfrm>
          <a:off x="4389316" y="3306015"/>
          <a:ext cx="1020884" cy="3992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628650</xdr:colOff>
      <xdr:row>22</xdr:row>
      <xdr:rowOff>85725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B6B3C1F-F3AA-4A68-8A96-6636BACCB447}"/>
            </a:ext>
          </a:extLst>
        </xdr:cNvPr>
        <xdr:cNvCxnSpPr>
          <a:stCxn id="3" idx="3"/>
        </xdr:cNvCxnSpPr>
      </xdr:nvCxnSpPr>
      <xdr:spPr>
        <a:xfrm>
          <a:off x="4389316" y="3306015"/>
          <a:ext cx="1039934" cy="7611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628650</xdr:colOff>
      <xdr:row>23</xdr:row>
      <xdr:rowOff>95250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91AB4D80-010E-4EBC-9BA2-0FBCD80BC0A6}"/>
            </a:ext>
          </a:extLst>
        </xdr:cNvPr>
        <xdr:cNvCxnSpPr>
          <a:stCxn id="3" idx="3"/>
        </xdr:cNvCxnSpPr>
      </xdr:nvCxnSpPr>
      <xdr:spPr>
        <a:xfrm>
          <a:off x="4389316" y="3306015"/>
          <a:ext cx="1039934" cy="9516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600075</xdr:colOff>
      <xdr:row>25</xdr:row>
      <xdr:rowOff>76200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DC2B3956-0770-4148-9FAA-DA38AE9C3BD1}"/>
            </a:ext>
          </a:extLst>
        </xdr:cNvPr>
        <xdr:cNvCxnSpPr>
          <a:stCxn id="3" idx="3"/>
        </xdr:cNvCxnSpPr>
      </xdr:nvCxnSpPr>
      <xdr:spPr>
        <a:xfrm>
          <a:off x="4389316" y="3306015"/>
          <a:ext cx="1011359" cy="12945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400050</xdr:colOff>
      <xdr:row>12</xdr:row>
      <xdr:rowOff>76200</xdr:rowOff>
    </xdr:from>
    <xdr:to>
      <xdr:col>19</xdr:col>
      <xdr:colOff>152400</xdr:colOff>
      <xdr:row>24</xdr:row>
      <xdr:rowOff>73847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F095F3D-AA83-D50F-EA8E-ADBD82B9F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2247900"/>
          <a:ext cx="4552950" cy="216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438150</xdr:colOff>
      <xdr:row>32</xdr:row>
      <xdr:rowOff>38100</xdr:rowOff>
    </xdr:from>
    <xdr:to>
      <xdr:col>19</xdr:col>
      <xdr:colOff>69726</xdr:colOff>
      <xdr:row>52</xdr:row>
      <xdr:rowOff>15552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B24AE3CA-CA0B-5F2F-F388-C500857D4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5829300"/>
          <a:ext cx="4432176" cy="3596952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10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111F384C-8B1A-A281-4950-4121413B2A1C}"/>
            </a:ext>
          </a:extLst>
        </xdr:cNvPr>
        <xdr:cNvCxnSpPr>
          <a:endCxn id="44" idx="1"/>
        </xdr:cNvCxnSpPr>
      </xdr:nvCxnSpPr>
      <xdr:spPr>
        <a:xfrm>
          <a:off x="7353300" y="1924050"/>
          <a:ext cx="1076325" cy="14085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11</xdr:row>
      <xdr:rowOff>133350</xdr:rowOff>
    </xdr:from>
    <xdr:to>
      <xdr:col>12</xdr:col>
      <xdr:colOff>400050</xdr:colOff>
      <xdr:row>18</xdr:row>
      <xdr:rowOff>75024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4853C26-30C5-41E2-BA4B-8937B15E29D1}"/>
            </a:ext>
          </a:extLst>
        </xdr:cNvPr>
        <xdr:cNvCxnSpPr>
          <a:endCxn id="44" idx="1"/>
        </xdr:cNvCxnSpPr>
      </xdr:nvCxnSpPr>
      <xdr:spPr>
        <a:xfrm>
          <a:off x="7372350" y="2124075"/>
          <a:ext cx="1057275" cy="1208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12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A8AB3774-015F-4D4B-A15E-4B9AF2A6E80D}"/>
            </a:ext>
          </a:extLst>
        </xdr:cNvPr>
        <xdr:cNvCxnSpPr>
          <a:endCxn id="44" idx="1"/>
        </xdr:cNvCxnSpPr>
      </xdr:nvCxnSpPr>
      <xdr:spPr>
        <a:xfrm>
          <a:off x="7372350" y="2286000"/>
          <a:ext cx="1057275" cy="10465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FC978D5-09DA-4BDA-B93C-A3DF1DFBCD53}"/>
            </a:ext>
          </a:extLst>
        </xdr:cNvPr>
        <xdr:cNvCxnSpPr>
          <a:endCxn id="44" idx="1"/>
        </xdr:cNvCxnSpPr>
      </xdr:nvCxnSpPr>
      <xdr:spPr>
        <a:xfrm>
          <a:off x="7343775" y="2647950"/>
          <a:ext cx="1085850" cy="6846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95250</xdr:rowOff>
    </xdr:from>
    <xdr:to>
      <xdr:col>12</xdr:col>
      <xdr:colOff>400050</xdr:colOff>
      <xdr:row>18</xdr:row>
      <xdr:rowOff>75024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C39E61EE-E337-4129-BBA3-0E6257BDB0E6}"/>
            </a:ext>
          </a:extLst>
        </xdr:cNvPr>
        <xdr:cNvCxnSpPr>
          <a:endCxn id="44" idx="1"/>
        </xdr:cNvCxnSpPr>
      </xdr:nvCxnSpPr>
      <xdr:spPr>
        <a:xfrm>
          <a:off x="7353300" y="2809875"/>
          <a:ext cx="1076325" cy="5226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75024</xdr:rowOff>
    </xdr:from>
    <xdr:to>
      <xdr:col>12</xdr:col>
      <xdr:colOff>400050</xdr:colOff>
      <xdr:row>18</xdr:row>
      <xdr:rowOff>114300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3C2A731A-D207-4525-834C-7C5CD22749FF}"/>
            </a:ext>
          </a:extLst>
        </xdr:cNvPr>
        <xdr:cNvCxnSpPr>
          <a:endCxn id="44" idx="1"/>
        </xdr:cNvCxnSpPr>
      </xdr:nvCxnSpPr>
      <xdr:spPr>
        <a:xfrm flipV="1">
          <a:off x="7343775" y="3332574"/>
          <a:ext cx="1085850" cy="392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F10CDB1C-FF73-4223-86D0-BD08DC67746F}"/>
            </a:ext>
          </a:extLst>
        </xdr:cNvPr>
        <xdr:cNvCxnSpPr>
          <a:endCxn id="44" idx="1"/>
        </xdr:cNvCxnSpPr>
      </xdr:nvCxnSpPr>
      <xdr:spPr>
        <a:xfrm>
          <a:off x="7343775" y="3009900"/>
          <a:ext cx="1085850" cy="3226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75024</xdr:rowOff>
    </xdr:from>
    <xdr:to>
      <xdr:col>12</xdr:col>
      <xdr:colOff>400050</xdr:colOff>
      <xdr:row>20</xdr:row>
      <xdr:rowOff>76200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70E3903-C266-402A-83E3-C6C8E5231126}"/>
            </a:ext>
          </a:extLst>
        </xdr:cNvPr>
        <xdr:cNvCxnSpPr>
          <a:endCxn id="44" idx="1"/>
        </xdr:cNvCxnSpPr>
      </xdr:nvCxnSpPr>
      <xdr:spPr>
        <a:xfrm flipV="1">
          <a:off x="7343775" y="3332574"/>
          <a:ext cx="1085850" cy="3631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18</xdr:row>
      <xdr:rowOff>75024</xdr:rowOff>
    </xdr:from>
    <xdr:to>
      <xdr:col>12</xdr:col>
      <xdr:colOff>400050</xdr:colOff>
      <xdr:row>22</xdr:row>
      <xdr:rowOff>66675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B570B015-5408-4C7A-9808-3A1F15DBF6E8}"/>
            </a:ext>
          </a:extLst>
        </xdr:cNvPr>
        <xdr:cNvCxnSpPr>
          <a:endCxn id="44" idx="1"/>
        </xdr:cNvCxnSpPr>
      </xdr:nvCxnSpPr>
      <xdr:spPr>
        <a:xfrm flipV="1">
          <a:off x="7391400" y="3332574"/>
          <a:ext cx="1038225" cy="7155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857250</xdr:colOff>
      <xdr:row>18</xdr:row>
      <xdr:rowOff>75024</xdr:rowOff>
    </xdr:from>
    <xdr:to>
      <xdr:col>12</xdr:col>
      <xdr:colOff>400050</xdr:colOff>
      <xdr:row>23</xdr:row>
      <xdr:rowOff>95250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7D854E0A-FEE3-4B6D-9DEC-9CFF4D3BAB5B}"/>
            </a:ext>
          </a:extLst>
        </xdr:cNvPr>
        <xdr:cNvCxnSpPr>
          <a:endCxn id="44" idx="1"/>
        </xdr:cNvCxnSpPr>
      </xdr:nvCxnSpPr>
      <xdr:spPr>
        <a:xfrm flipV="1">
          <a:off x="7334250" y="3332574"/>
          <a:ext cx="1095375" cy="9251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18</xdr:row>
      <xdr:rowOff>75024</xdr:rowOff>
    </xdr:from>
    <xdr:to>
      <xdr:col>12</xdr:col>
      <xdr:colOff>400050</xdr:colOff>
      <xdr:row>25</xdr:row>
      <xdr:rowOff>114300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712775E7-325C-444F-A63B-D454C9EB33BF}"/>
            </a:ext>
          </a:extLst>
        </xdr:cNvPr>
        <xdr:cNvCxnSpPr>
          <a:endCxn id="44" idx="1"/>
        </xdr:cNvCxnSpPr>
      </xdr:nvCxnSpPr>
      <xdr:spPr>
        <a:xfrm flipV="1">
          <a:off x="7353300" y="3332574"/>
          <a:ext cx="1076325" cy="13061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161926</xdr:colOff>
      <xdr:row>25</xdr:row>
      <xdr:rowOff>47625</xdr:rowOff>
    </xdr:from>
    <xdr:to>
      <xdr:col>16</xdr:col>
      <xdr:colOff>9526</xdr:colOff>
      <xdr:row>31</xdr:row>
      <xdr:rowOff>76200</xdr:rowOff>
    </xdr:to>
    <xdr:sp macro="" textlink="">
      <xdr:nvSpPr>
        <xdr:cNvPr id="84" name="Arrow: Up-Down 83">
          <a:extLst>
            <a:ext uri="{FF2B5EF4-FFF2-40B4-BE49-F238E27FC236}">
              <a16:creationId xmlns:a16="http://schemas.microsoft.com/office/drawing/2014/main" id="{71C99758-FE65-B49E-1B9B-309FB1B3EE3B}"/>
            </a:ext>
          </a:extLst>
        </xdr:cNvPr>
        <xdr:cNvSpPr/>
      </xdr:nvSpPr>
      <xdr:spPr>
        <a:xfrm>
          <a:off x="10934701" y="4572000"/>
          <a:ext cx="533400" cy="1114425"/>
        </a:xfrm>
        <a:prstGeom prst="upDownArrow">
          <a:avLst/>
        </a:prstGeom>
        <a:solidFill>
          <a:schemeClr val="tx1">
            <a:lumMod val="50000"/>
            <a:lumOff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8</xdr:col>
      <xdr:colOff>95249</xdr:colOff>
      <xdr:row>34</xdr:row>
      <xdr:rowOff>66676</xdr:rowOff>
    </xdr:from>
    <xdr:to>
      <xdr:col>10</xdr:col>
      <xdr:colOff>304799</xdr:colOff>
      <xdr:row>46</xdr:row>
      <xdr:rowOff>154269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C708CC4-6B4A-FC8C-5B64-E9C803D3B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49" y="6219826"/>
          <a:ext cx="2066925" cy="225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361950</xdr:colOff>
      <xdr:row>39</xdr:row>
      <xdr:rowOff>19050</xdr:rowOff>
    </xdr:from>
    <xdr:to>
      <xdr:col>12</xdr:col>
      <xdr:colOff>171450</xdr:colOff>
      <xdr:row>41</xdr:row>
      <xdr:rowOff>133350</xdr:rowOff>
    </xdr:to>
    <xdr:sp macro="" textlink="">
      <xdr:nvSpPr>
        <xdr:cNvPr id="87" name="Arrow: Right 86">
          <a:extLst>
            <a:ext uri="{FF2B5EF4-FFF2-40B4-BE49-F238E27FC236}">
              <a16:creationId xmlns:a16="http://schemas.microsoft.com/office/drawing/2014/main" id="{19DD4868-E203-3E8D-0C3D-CD7B557B7231}"/>
            </a:ext>
          </a:extLst>
        </xdr:cNvPr>
        <xdr:cNvSpPr/>
      </xdr:nvSpPr>
      <xdr:spPr>
        <a:xfrm rot="10800000">
          <a:off x="7705725" y="7077075"/>
          <a:ext cx="1181100" cy="4762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2</xdr:col>
      <xdr:colOff>613907</xdr:colOff>
      <xdr:row>36</xdr:row>
      <xdr:rowOff>161925</xdr:rowOff>
    </xdr:from>
    <xdr:to>
      <xdr:col>6</xdr:col>
      <xdr:colOff>295275</xdr:colOff>
      <xdr:row>44</xdr:row>
      <xdr:rowOff>104775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5EE21426-EA6B-8BC3-0AC2-69968748E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5507" y="6677025"/>
          <a:ext cx="2424568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147639</xdr:colOff>
      <xdr:row>24</xdr:row>
      <xdr:rowOff>90488</xdr:rowOff>
    </xdr:from>
    <xdr:to>
      <xdr:col>5</xdr:col>
      <xdr:colOff>128589</xdr:colOff>
      <xdr:row>34</xdr:row>
      <xdr:rowOff>123828</xdr:rowOff>
    </xdr:to>
    <xdr:sp macro="" textlink="">
      <xdr:nvSpPr>
        <xdr:cNvPr id="90" name="Arrow: Right 89">
          <a:extLst>
            <a:ext uri="{FF2B5EF4-FFF2-40B4-BE49-F238E27FC236}">
              <a16:creationId xmlns:a16="http://schemas.microsoft.com/office/drawing/2014/main" id="{3D855BD7-F594-4143-9D27-543EF121D548}"/>
            </a:ext>
          </a:extLst>
        </xdr:cNvPr>
        <xdr:cNvSpPr/>
      </xdr:nvSpPr>
      <xdr:spPr>
        <a:xfrm rot="5400000">
          <a:off x="2302669" y="5022058"/>
          <a:ext cx="1843090" cy="6667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400051</xdr:colOff>
      <xdr:row>39</xdr:row>
      <xdr:rowOff>28575</xdr:rowOff>
    </xdr:from>
    <xdr:to>
      <xdr:col>7</xdr:col>
      <xdr:colOff>476251</xdr:colOff>
      <xdr:row>41</xdr:row>
      <xdr:rowOff>104775</xdr:rowOff>
    </xdr:to>
    <xdr:sp macro="" textlink="">
      <xdr:nvSpPr>
        <xdr:cNvPr id="91" name="Arrow: Right 90">
          <a:extLst>
            <a:ext uri="{FF2B5EF4-FFF2-40B4-BE49-F238E27FC236}">
              <a16:creationId xmlns:a16="http://schemas.microsoft.com/office/drawing/2014/main" id="{AECC912B-789B-4F75-8C41-848E85BA2F69}"/>
            </a:ext>
          </a:extLst>
        </xdr:cNvPr>
        <xdr:cNvSpPr/>
      </xdr:nvSpPr>
      <xdr:spPr>
        <a:xfrm>
          <a:off x="4514851" y="7086600"/>
          <a:ext cx="762000" cy="4381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13</xdr:row>
      <xdr:rowOff>57150</xdr:rowOff>
    </xdr:from>
    <xdr:to>
      <xdr:col>6</xdr:col>
      <xdr:colOff>274516</xdr:colOff>
      <xdr:row>23</xdr:row>
      <xdr:rowOff>39779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DA347-416D-49A4-98E4-F9BF975AB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2409825"/>
          <a:ext cx="2255716" cy="1792379"/>
        </a:xfrm>
        <a:prstGeom prst="rect">
          <a:avLst/>
        </a:prstGeom>
      </xdr:spPr>
    </xdr:pic>
    <xdr:clientData/>
  </xdr:twoCellAnchor>
  <xdr:twoCellAnchor>
    <xdr:from>
      <xdr:col>6</xdr:col>
      <xdr:colOff>274516</xdr:colOff>
      <xdr:row>10</xdr:row>
      <xdr:rowOff>95250</xdr:rowOff>
    </xdr:from>
    <xdr:to>
      <xdr:col>7</xdr:col>
      <xdr:colOff>609600</xdr:colOff>
      <xdr:row>18</xdr:row>
      <xdr:rowOff>48465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F50F6B7-36BD-4D18-B986-F8773832E820}"/>
            </a:ext>
          </a:extLst>
        </xdr:cNvPr>
        <xdr:cNvCxnSpPr>
          <a:stCxn id="2" idx="3"/>
        </xdr:cNvCxnSpPr>
      </xdr:nvCxnSpPr>
      <xdr:spPr>
        <a:xfrm flipV="1">
          <a:off x="4389316" y="1905000"/>
          <a:ext cx="1020884" cy="14010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11</xdr:row>
      <xdr:rowOff>142875</xdr:rowOff>
    </xdr:from>
    <xdr:to>
      <xdr:col>7</xdr:col>
      <xdr:colOff>628650</xdr:colOff>
      <xdr:row>18</xdr:row>
      <xdr:rowOff>48465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4EBDBD3-371A-46B3-8454-DCC27B330B88}"/>
            </a:ext>
          </a:extLst>
        </xdr:cNvPr>
        <xdr:cNvCxnSpPr>
          <a:stCxn id="2" idx="3"/>
        </xdr:cNvCxnSpPr>
      </xdr:nvCxnSpPr>
      <xdr:spPr>
        <a:xfrm flipV="1">
          <a:off x="4389316" y="2133600"/>
          <a:ext cx="1039934" cy="11724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12</xdr:row>
      <xdr:rowOff>152400</xdr:rowOff>
    </xdr:from>
    <xdr:to>
      <xdr:col>7</xdr:col>
      <xdr:colOff>638175</xdr:colOff>
      <xdr:row>18</xdr:row>
      <xdr:rowOff>48465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05A6C88-9531-4920-9EC4-78DC9830D34B}"/>
            </a:ext>
          </a:extLst>
        </xdr:cNvPr>
        <xdr:cNvCxnSpPr>
          <a:stCxn id="2" idx="3"/>
        </xdr:cNvCxnSpPr>
      </xdr:nvCxnSpPr>
      <xdr:spPr>
        <a:xfrm flipV="1">
          <a:off x="4389316" y="2324100"/>
          <a:ext cx="1049459" cy="9819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14</xdr:row>
      <xdr:rowOff>95250</xdr:rowOff>
    </xdr:from>
    <xdr:to>
      <xdr:col>7</xdr:col>
      <xdr:colOff>638175</xdr:colOff>
      <xdr:row>18</xdr:row>
      <xdr:rowOff>48465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505F768-7AD8-4E82-808B-7BD8299D0CD5}"/>
            </a:ext>
          </a:extLst>
        </xdr:cNvPr>
        <xdr:cNvCxnSpPr>
          <a:stCxn id="2" idx="3"/>
        </xdr:cNvCxnSpPr>
      </xdr:nvCxnSpPr>
      <xdr:spPr>
        <a:xfrm flipV="1">
          <a:off x="4389316" y="2628900"/>
          <a:ext cx="1049459" cy="67711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15</xdr:row>
      <xdr:rowOff>114300</xdr:rowOff>
    </xdr:from>
    <xdr:to>
      <xdr:col>7</xdr:col>
      <xdr:colOff>657225</xdr:colOff>
      <xdr:row>18</xdr:row>
      <xdr:rowOff>48465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5DC02212-1CE8-4BDE-819F-46AA77E9D36D}"/>
            </a:ext>
          </a:extLst>
        </xdr:cNvPr>
        <xdr:cNvCxnSpPr>
          <a:stCxn id="2" idx="3"/>
        </xdr:cNvCxnSpPr>
      </xdr:nvCxnSpPr>
      <xdr:spPr>
        <a:xfrm flipV="1">
          <a:off x="4389316" y="2828925"/>
          <a:ext cx="1068509" cy="47709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16</xdr:row>
      <xdr:rowOff>104775</xdr:rowOff>
    </xdr:from>
    <xdr:to>
      <xdr:col>7</xdr:col>
      <xdr:colOff>657225</xdr:colOff>
      <xdr:row>18</xdr:row>
      <xdr:rowOff>48465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1BF153E-4D0C-4AD7-98B9-EF1F1326FE25}"/>
            </a:ext>
          </a:extLst>
        </xdr:cNvPr>
        <xdr:cNvCxnSpPr>
          <a:stCxn id="2" idx="3"/>
        </xdr:cNvCxnSpPr>
      </xdr:nvCxnSpPr>
      <xdr:spPr>
        <a:xfrm flipV="1">
          <a:off x="4389316" y="3000375"/>
          <a:ext cx="1068509" cy="30564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647700</xdr:colOff>
      <xdr:row>18</xdr:row>
      <xdr:rowOff>133350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5D76780F-D315-494F-8867-000BB9C7855B}"/>
            </a:ext>
          </a:extLst>
        </xdr:cNvPr>
        <xdr:cNvCxnSpPr>
          <a:stCxn id="2" idx="3"/>
        </xdr:cNvCxnSpPr>
      </xdr:nvCxnSpPr>
      <xdr:spPr>
        <a:xfrm>
          <a:off x="4389316" y="3306015"/>
          <a:ext cx="1058984" cy="848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638175</xdr:colOff>
      <xdr:row>19</xdr:row>
      <xdr:rowOff>104775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A2AC8293-DD64-4D1B-AA4F-7784BE63D82D}"/>
            </a:ext>
          </a:extLst>
        </xdr:cNvPr>
        <xdr:cNvCxnSpPr>
          <a:stCxn id="2" idx="3"/>
        </xdr:cNvCxnSpPr>
      </xdr:nvCxnSpPr>
      <xdr:spPr>
        <a:xfrm>
          <a:off x="4389316" y="3306015"/>
          <a:ext cx="1049459" cy="23728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609600</xdr:colOff>
      <xdr:row>20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BB15EF6-0A6F-4A20-B73A-7026EE6691CA}"/>
            </a:ext>
          </a:extLst>
        </xdr:cNvPr>
        <xdr:cNvCxnSpPr>
          <a:stCxn id="2" idx="3"/>
        </xdr:cNvCxnSpPr>
      </xdr:nvCxnSpPr>
      <xdr:spPr>
        <a:xfrm>
          <a:off x="4389316" y="3306015"/>
          <a:ext cx="1020884" cy="3992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628650</xdr:colOff>
      <xdr:row>22</xdr:row>
      <xdr:rowOff>85725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231F2656-1BED-4745-B319-A31FCBABF723}"/>
            </a:ext>
          </a:extLst>
        </xdr:cNvPr>
        <xdr:cNvCxnSpPr>
          <a:stCxn id="2" idx="3"/>
        </xdr:cNvCxnSpPr>
      </xdr:nvCxnSpPr>
      <xdr:spPr>
        <a:xfrm>
          <a:off x="4389316" y="3306015"/>
          <a:ext cx="1039934" cy="7611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628650</xdr:colOff>
      <xdr:row>23</xdr:row>
      <xdr:rowOff>95250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AC719398-340A-4AA4-8386-BDCD270589AF}"/>
            </a:ext>
          </a:extLst>
        </xdr:cNvPr>
        <xdr:cNvCxnSpPr>
          <a:stCxn id="2" idx="3"/>
        </xdr:cNvCxnSpPr>
      </xdr:nvCxnSpPr>
      <xdr:spPr>
        <a:xfrm>
          <a:off x="4389316" y="3306015"/>
          <a:ext cx="1039934" cy="9516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274516</xdr:colOff>
      <xdr:row>18</xdr:row>
      <xdr:rowOff>48465</xdr:rowOff>
    </xdr:from>
    <xdr:to>
      <xdr:col>7</xdr:col>
      <xdr:colOff>600075</xdr:colOff>
      <xdr:row>25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4E4C3AB-79F9-4718-B302-8181E9F536C8}"/>
            </a:ext>
          </a:extLst>
        </xdr:cNvPr>
        <xdr:cNvCxnSpPr>
          <a:stCxn id="2" idx="3"/>
        </xdr:cNvCxnSpPr>
      </xdr:nvCxnSpPr>
      <xdr:spPr>
        <a:xfrm>
          <a:off x="4389316" y="3306015"/>
          <a:ext cx="1011359" cy="129456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400050</xdr:colOff>
      <xdr:row>12</xdr:row>
      <xdr:rowOff>76200</xdr:rowOff>
    </xdr:from>
    <xdr:to>
      <xdr:col>19</xdr:col>
      <xdr:colOff>152400</xdr:colOff>
      <xdr:row>24</xdr:row>
      <xdr:rowOff>73847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7DBECD7-3392-45D0-87ED-5BABCF16B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2247900"/>
          <a:ext cx="4552950" cy="2169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438150</xdr:colOff>
      <xdr:row>32</xdr:row>
      <xdr:rowOff>38100</xdr:rowOff>
    </xdr:from>
    <xdr:to>
      <xdr:col>19</xdr:col>
      <xdr:colOff>69726</xdr:colOff>
      <xdr:row>52</xdr:row>
      <xdr:rowOff>15552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B5D05B-10D1-4E58-BDC5-03A3B424D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3525" y="5829300"/>
          <a:ext cx="4432176" cy="3596952"/>
        </a:xfrm>
        <a:prstGeom prst="rect">
          <a:avLst/>
        </a:prstGeom>
      </xdr:spPr>
    </xdr:pic>
    <xdr:clientData/>
  </xdr:twoCellAnchor>
  <xdr:twoCellAnchor>
    <xdr:from>
      <xdr:col>10</xdr:col>
      <xdr:colOff>9525</xdr:colOff>
      <xdr:row>10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612A07D-8430-46FA-805F-2571DE0A9B83}"/>
            </a:ext>
          </a:extLst>
        </xdr:cNvPr>
        <xdr:cNvCxnSpPr>
          <a:endCxn id="15" idx="1"/>
        </xdr:cNvCxnSpPr>
      </xdr:nvCxnSpPr>
      <xdr:spPr>
        <a:xfrm>
          <a:off x="7353300" y="1924050"/>
          <a:ext cx="1762125" cy="14085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11</xdr:row>
      <xdr:rowOff>133350</xdr:rowOff>
    </xdr:from>
    <xdr:to>
      <xdr:col>12</xdr:col>
      <xdr:colOff>400050</xdr:colOff>
      <xdr:row>18</xdr:row>
      <xdr:rowOff>75024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9EA2D8C-C9B0-4055-B4B8-FB95555204A9}"/>
            </a:ext>
          </a:extLst>
        </xdr:cNvPr>
        <xdr:cNvCxnSpPr>
          <a:endCxn id="15" idx="1"/>
        </xdr:cNvCxnSpPr>
      </xdr:nvCxnSpPr>
      <xdr:spPr>
        <a:xfrm>
          <a:off x="7372350" y="2124075"/>
          <a:ext cx="1743075" cy="12084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12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1CEF65B2-1E03-46FC-8C77-E5398D8529E6}"/>
            </a:ext>
          </a:extLst>
        </xdr:cNvPr>
        <xdr:cNvCxnSpPr>
          <a:endCxn id="15" idx="1"/>
        </xdr:cNvCxnSpPr>
      </xdr:nvCxnSpPr>
      <xdr:spPr>
        <a:xfrm>
          <a:off x="7372350" y="2286000"/>
          <a:ext cx="1743075" cy="10465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14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FBEF361-8B72-4C70-B9A4-E8990AB7C2C3}"/>
            </a:ext>
          </a:extLst>
        </xdr:cNvPr>
        <xdr:cNvCxnSpPr>
          <a:endCxn id="15" idx="1"/>
        </xdr:cNvCxnSpPr>
      </xdr:nvCxnSpPr>
      <xdr:spPr>
        <a:xfrm>
          <a:off x="7343775" y="2647950"/>
          <a:ext cx="1771650" cy="68462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15</xdr:row>
      <xdr:rowOff>95250</xdr:rowOff>
    </xdr:from>
    <xdr:to>
      <xdr:col>12</xdr:col>
      <xdr:colOff>400050</xdr:colOff>
      <xdr:row>18</xdr:row>
      <xdr:rowOff>75024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49462E4-6A0E-427D-A65C-1D789369736A}"/>
            </a:ext>
          </a:extLst>
        </xdr:cNvPr>
        <xdr:cNvCxnSpPr>
          <a:endCxn id="15" idx="1"/>
        </xdr:cNvCxnSpPr>
      </xdr:nvCxnSpPr>
      <xdr:spPr>
        <a:xfrm>
          <a:off x="7353300" y="2809875"/>
          <a:ext cx="1762125" cy="5226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75024</xdr:rowOff>
    </xdr:from>
    <xdr:to>
      <xdr:col>12</xdr:col>
      <xdr:colOff>400050</xdr:colOff>
      <xdr:row>18</xdr:row>
      <xdr:rowOff>114300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1571C79A-115E-456D-B219-20CF01CC4364}"/>
            </a:ext>
          </a:extLst>
        </xdr:cNvPr>
        <xdr:cNvCxnSpPr>
          <a:endCxn id="15" idx="1"/>
        </xdr:cNvCxnSpPr>
      </xdr:nvCxnSpPr>
      <xdr:spPr>
        <a:xfrm flipV="1">
          <a:off x="7343775" y="3332574"/>
          <a:ext cx="1771650" cy="3927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114300</xdr:rowOff>
    </xdr:from>
    <xdr:to>
      <xdr:col>12</xdr:col>
      <xdr:colOff>400050</xdr:colOff>
      <xdr:row>18</xdr:row>
      <xdr:rowOff>75024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EE6D2BE1-29A5-4B4A-B7BD-507FD4851A98}"/>
            </a:ext>
          </a:extLst>
        </xdr:cNvPr>
        <xdr:cNvCxnSpPr>
          <a:endCxn id="15" idx="1"/>
        </xdr:cNvCxnSpPr>
      </xdr:nvCxnSpPr>
      <xdr:spPr>
        <a:xfrm>
          <a:off x="7343775" y="3009900"/>
          <a:ext cx="1771650" cy="3226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18</xdr:row>
      <xdr:rowOff>75024</xdr:rowOff>
    </xdr:from>
    <xdr:to>
      <xdr:col>12</xdr:col>
      <xdr:colOff>400050</xdr:colOff>
      <xdr:row>20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258C2A3-5A1F-4DD0-9ED8-0DF49EF4F40B}"/>
            </a:ext>
          </a:extLst>
        </xdr:cNvPr>
        <xdr:cNvCxnSpPr>
          <a:endCxn id="15" idx="1"/>
        </xdr:cNvCxnSpPr>
      </xdr:nvCxnSpPr>
      <xdr:spPr>
        <a:xfrm flipV="1">
          <a:off x="7343775" y="3332574"/>
          <a:ext cx="1771650" cy="363126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</xdr:colOff>
      <xdr:row>18</xdr:row>
      <xdr:rowOff>75024</xdr:rowOff>
    </xdr:from>
    <xdr:to>
      <xdr:col>12</xdr:col>
      <xdr:colOff>400050</xdr:colOff>
      <xdr:row>22</xdr:row>
      <xdr:rowOff>66675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2CC7653-8029-4ECE-838C-55141FCE3C29}"/>
            </a:ext>
          </a:extLst>
        </xdr:cNvPr>
        <xdr:cNvCxnSpPr>
          <a:endCxn id="15" idx="1"/>
        </xdr:cNvCxnSpPr>
      </xdr:nvCxnSpPr>
      <xdr:spPr>
        <a:xfrm flipV="1">
          <a:off x="7391400" y="3332574"/>
          <a:ext cx="1724025" cy="7155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857250</xdr:colOff>
      <xdr:row>18</xdr:row>
      <xdr:rowOff>75024</xdr:rowOff>
    </xdr:from>
    <xdr:to>
      <xdr:col>12</xdr:col>
      <xdr:colOff>400050</xdr:colOff>
      <xdr:row>23</xdr:row>
      <xdr:rowOff>95250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456B612-EB27-4753-A828-8BA95375C35A}"/>
            </a:ext>
          </a:extLst>
        </xdr:cNvPr>
        <xdr:cNvCxnSpPr>
          <a:endCxn id="15" idx="1"/>
        </xdr:cNvCxnSpPr>
      </xdr:nvCxnSpPr>
      <xdr:spPr>
        <a:xfrm flipV="1">
          <a:off x="7334250" y="3332574"/>
          <a:ext cx="1781175" cy="9251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18</xdr:row>
      <xdr:rowOff>75024</xdr:rowOff>
    </xdr:from>
    <xdr:to>
      <xdr:col>12</xdr:col>
      <xdr:colOff>400050</xdr:colOff>
      <xdr:row>25</xdr:row>
      <xdr:rowOff>114300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AF0AE95-6D08-4667-9C14-3D2A7EEA5D76}"/>
            </a:ext>
          </a:extLst>
        </xdr:cNvPr>
        <xdr:cNvCxnSpPr>
          <a:endCxn id="15" idx="1"/>
        </xdr:cNvCxnSpPr>
      </xdr:nvCxnSpPr>
      <xdr:spPr>
        <a:xfrm flipV="1">
          <a:off x="7353300" y="3332574"/>
          <a:ext cx="1762125" cy="130610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161926</xdr:colOff>
      <xdr:row>25</xdr:row>
      <xdr:rowOff>47625</xdr:rowOff>
    </xdr:from>
    <xdr:to>
      <xdr:col>16</xdr:col>
      <xdr:colOff>9526</xdr:colOff>
      <xdr:row>31</xdr:row>
      <xdr:rowOff>76200</xdr:rowOff>
    </xdr:to>
    <xdr:sp macro="" textlink="">
      <xdr:nvSpPr>
        <xdr:cNvPr id="28" name="Arrow: Up-Down 27">
          <a:extLst>
            <a:ext uri="{FF2B5EF4-FFF2-40B4-BE49-F238E27FC236}">
              <a16:creationId xmlns:a16="http://schemas.microsoft.com/office/drawing/2014/main" id="{4E364725-A1D7-4A65-A80F-A30FCB748C6E}"/>
            </a:ext>
          </a:extLst>
        </xdr:cNvPr>
        <xdr:cNvSpPr/>
      </xdr:nvSpPr>
      <xdr:spPr>
        <a:xfrm>
          <a:off x="10934701" y="4572000"/>
          <a:ext cx="533400" cy="1114425"/>
        </a:xfrm>
        <a:prstGeom prst="upDownArrow">
          <a:avLst/>
        </a:prstGeom>
        <a:solidFill>
          <a:schemeClr val="tx1">
            <a:lumMod val="50000"/>
            <a:lumOff val="5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8</xdr:col>
      <xdr:colOff>95249</xdr:colOff>
      <xdr:row>34</xdr:row>
      <xdr:rowOff>66676</xdr:rowOff>
    </xdr:from>
    <xdr:to>
      <xdr:col>10</xdr:col>
      <xdr:colOff>304799</xdr:colOff>
      <xdr:row>46</xdr:row>
      <xdr:rowOff>154269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1ED6231-AEFF-4345-A257-6BA749ADF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49" y="6219826"/>
          <a:ext cx="2066925" cy="225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361950</xdr:colOff>
      <xdr:row>39</xdr:row>
      <xdr:rowOff>19050</xdr:rowOff>
    </xdr:from>
    <xdr:to>
      <xdr:col>12</xdr:col>
      <xdr:colOff>171450</xdr:colOff>
      <xdr:row>41</xdr:row>
      <xdr:rowOff>133350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654D55E3-3FB6-4EFC-81DA-AD12F94B8ABA}"/>
            </a:ext>
          </a:extLst>
        </xdr:cNvPr>
        <xdr:cNvSpPr/>
      </xdr:nvSpPr>
      <xdr:spPr>
        <a:xfrm rot="10800000">
          <a:off x="7705725" y="7077075"/>
          <a:ext cx="1181100" cy="4762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2</xdr:col>
      <xdr:colOff>613907</xdr:colOff>
      <xdr:row>36</xdr:row>
      <xdr:rowOff>161925</xdr:rowOff>
    </xdr:from>
    <xdr:to>
      <xdr:col>6</xdr:col>
      <xdr:colOff>295275</xdr:colOff>
      <xdr:row>44</xdr:row>
      <xdr:rowOff>104775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F801659-AFBE-4EA6-9126-BC45A178B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5507" y="6677025"/>
          <a:ext cx="2424568" cy="1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147639</xdr:colOff>
      <xdr:row>24</xdr:row>
      <xdr:rowOff>90488</xdr:rowOff>
    </xdr:from>
    <xdr:to>
      <xdr:col>5</xdr:col>
      <xdr:colOff>128589</xdr:colOff>
      <xdr:row>34</xdr:row>
      <xdr:rowOff>123828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C0216070-6CA4-4AEF-834D-0FB727E8F6AD}"/>
            </a:ext>
          </a:extLst>
        </xdr:cNvPr>
        <xdr:cNvSpPr/>
      </xdr:nvSpPr>
      <xdr:spPr>
        <a:xfrm rot="5400000">
          <a:off x="2302669" y="5022058"/>
          <a:ext cx="1843090" cy="6667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400051</xdr:colOff>
      <xdr:row>39</xdr:row>
      <xdr:rowOff>28575</xdr:rowOff>
    </xdr:from>
    <xdr:to>
      <xdr:col>7</xdr:col>
      <xdr:colOff>476251</xdr:colOff>
      <xdr:row>41</xdr:row>
      <xdr:rowOff>104775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6E21C146-79AB-46D8-806F-249BFEBF6385}"/>
            </a:ext>
          </a:extLst>
        </xdr:cNvPr>
        <xdr:cNvSpPr/>
      </xdr:nvSpPr>
      <xdr:spPr>
        <a:xfrm>
          <a:off x="4514851" y="7086600"/>
          <a:ext cx="762000" cy="438150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609600</xdr:colOff>
      <xdr:row>51</xdr:row>
      <xdr:rowOff>76200</xdr:rowOff>
    </xdr:from>
    <xdr:to>
      <xdr:col>10</xdr:col>
      <xdr:colOff>152400</xdr:colOff>
      <xdr:row>58</xdr:row>
      <xdr:rowOff>95250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B935655-AEC9-B479-97FE-9EF24BB96F0D}"/>
            </a:ext>
          </a:extLst>
        </xdr:cNvPr>
        <xdr:cNvSpPr/>
      </xdr:nvSpPr>
      <xdr:spPr>
        <a:xfrm>
          <a:off x="6096000" y="9305925"/>
          <a:ext cx="1400175" cy="128587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Multipler "Kdm"</a:t>
          </a:r>
          <a:endParaRPr lang="th-TH" sz="16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56</xdr:row>
      <xdr:rowOff>104775</xdr:rowOff>
    </xdr:from>
    <xdr:to>
      <xdr:col>8</xdr:col>
      <xdr:colOff>657225</xdr:colOff>
      <xdr:row>58</xdr:row>
      <xdr:rowOff>57150</xdr:rowOff>
    </xdr:to>
    <xdr:sp macro="" textlink="">
      <xdr:nvSpPr>
        <xdr:cNvPr id="2" name="Arrow: Notched Right 1">
          <a:extLst>
            <a:ext uri="{FF2B5EF4-FFF2-40B4-BE49-F238E27FC236}">
              <a16:creationId xmlns:a16="http://schemas.microsoft.com/office/drawing/2014/main" id="{92215679-0AE3-4020-948E-5160074F249D}"/>
            </a:ext>
          </a:extLst>
        </xdr:cNvPr>
        <xdr:cNvSpPr/>
      </xdr:nvSpPr>
      <xdr:spPr>
        <a:xfrm>
          <a:off x="4686300" y="105251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7</xdr:row>
      <xdr:rowOff>104775</xdr:rowOff>
    </xdr:from>
    <xdr:to>
      <xdr:col>8</xdr:col>
      <xdr:colOff>657225</xdr:colOff>
      <xdr:row>9</xdr:row>
      <xdr:rowOff>57150</xdr:rowOff>
    </xdr:to>
    <xdr:sp macro="" textlink="">
      <xdr:nvSpPr>
        <xdr:cNvPr id="3" name="Arrow: Notched Right 2">
          <a:extLst>
            <a:ext uri="{FF2B5EF4-FFF2-40B4-BE49-F238E27FC236}">
              <a16:creationId xmlns:a16="http://schemas.microsoft.com/office/drawing/2014/main" id="{989DA88F-5CEC-446C-A3C1-82C3BBD7287C}"/>
            </a:ext>
          </a:extLst>
        </xdr:cNvPr>
        <xdr:cNvSpPr/>
      </xdr:nvSpPr>
      <xdr:spPr>
        <a:xfrm>
          <a:off x="4686300" y="14954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104</xdr:row>
      <xdr:rowOff>104775</xdr:rowOff>
    </xdr:from>
    <xdr:to>
      <xdr:col>8</xdr:col>
      <xdr:colOff>657225</xdr:colOff>
      <xdr:row>106</xdr:row>
      <xdr:rowOff>57150</xdr:rowOff>
    </xdr:to>
    <xdr:sp macro="" textlink="">
      <xdr:nvSpPr>
        <xdr:cNvPr id="4" name="Arrow: Notched Right 3">
          <a:extLst>
            <a:ext uri="{FF2B5EF4-FFF2-40B4-BE49-F238E27FC236}">
              <a16:creationId xmlns:a16="http://schemas.microsoft.com/office/drawing/2014/main" id="{A9E7B5EE-C734-4E46-9F4C-1D9DD075515F}"/>
            </a:ext>
          </a:extLst>
        </xdr:cNvPr>
        <xdr:cNvSpPr/>
      </xdr:nvSpPr>
      <xdr:spPr>
        <a:xfrm>
          <a:off x="4686300" y="193643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152</xdr:row>
      <xdr:rowOff>104775</xdr:rowOff>
    </xdr:from>
    <xdr:to>
      <xdr:col>8</xdr:col>
      <xdr:colOff>657225</xdr:colOff>
      <xdr:row>154</xdr:row>
      <xdr:rowOff>57150</xdr:rowOff>
    </xdr:to>
    <xdr:sp macro="" textlink="">
      <xdr:nvSpPr>
        <xdr:cNvPr id="5" name="Arrow: Notched Right 4">
          <a:extLst>
            <a:ext uri="{FF2B5EF4-FFF2-40B4-BE49-F238E27FC236}">
              <a16:creationId xmlns:a16="http://schemas.microsoft.com/office/drawing/2014/main" id="{A4A6F5E0-61F4-4B65-910D-001B2FE6DF9B}"/>
            </a:ext>
          </a:extLst>
        </xdr:cNvPr>
        <xdr:cNvSpPr/>
      </xdr:nvSpPr>
      <xdr:spPr>
        <a:xfrm>
          <a:off x="4686300" y="282035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200</xdr:row>
      <xdr:rowOff>104775</xdr:rowOff>
    </xdr:from>
    <xdr:to>
      <xdr:col>8</xdr:col>
      <xdr:colOff>657225</xdr:colOff>
      <xdr:row>202</xdr:row>
      <xdr:rowOff>57150</xdr:rowOff>
    </xdr:to>
    <xdr:sp macro="" textlink="">
      <xdr:nvSpPr>
        <xdr:cNvPr id="6" name="Arrow: Notched Right 5">
          <a:extLst>
            <a:ext uri="{FF2B5EF4-FFF2-40B4-BE49-F238E27FC236}">
              <a16:creationId xmlns:a16="http://schemas.microsoft.com/office/drawing/2014/main" id="{0CF40560-374F-424D-B0F3-AE7982B77A54}"/>
            </a:ext>
          </a:extLst>
        </xdr:cNvPr>
        <xdr:cNvSpPr/>
      </xdr:nvSpPr>
      <xdr:spPr>
        <a:xfrm>
          <a:off x="4686300" y="370427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38100</xdr:colOff>
      <xdr:row>56</xdr:row>
      <xdr:rowOff>104775</xdr:rowOff>
    </xdr:from>
    <xdr:to>
      <xdr:col>36</xdr:col>
      <xdr:colOff>657225</xdr:colOff>
      <xdr:row>58</xdr:row>
      <xdr:rowOff>57150</xdr:rowOff>
    </xdr:to>
    <xdr:sp macro="" textlink="">
      <xdr:nvSpPr>
        <xdr:cNvPr id="7" name="Arrow: Notched Right 6">
          <a:extLst>
            <a:ext uri="{FF2B5EF4-FFF2-40B4-BE49-F238E27FC236}">
              <a16:creationId xmlns:a16="http://schemas.microsoft.com/office/drawing/2014/main" id="{6CB3DCD2-D5D3-4F91-8B08-29C7CC8E295E}"/>
            </a:ext>
          </a:extLst>
        </xdr:cNvPr>
        <xdr:cNvSpPr/>
      </xdr:nvSpPr>
      <xdr:spPr>
        <a:xfrm>
          <a:off x="25898475" y="105251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38100</xdr:colOff>
      <xdr:row>7</xdr:row>
      <xdr:rowOff>104775</xdr:rowOff>
    </xdr:from>
    <xdr:to>
      <xdr:col>36</xdr:col>
      <xdr:colOff>657225</xdr:colOff>
      <xdr:row>9</xdr:row>
      <xdr:rowOff>57150</xdr:rowOff>
    </xdr:to>
    <xdr:sp macro="" textlink="">
      <xdr:nvSpPr>
        <xdr:cNvPr id="8" name="Arrow: Notched Right 7">
          <a:extLst>
            <a:ext uri="{FF2B5EF4-FFF2-40B4-BE49-F238E27FC236}">
              <a16:creationId xmlns:a16="http://schemas.microsoft.com/office/drawing/2014/main" id="{C5312F80-AB89-4D27-ACBF-05442F8EA28B}"/>
            </a:ext>
          </a:extLst>
        </xdr:cNvPr>
        <xdr:cNvSpPr/>
      </xdr:nvSpPr>
      <xdr:spPr>
        <a:xfrm>
          <a:off x="25898475" y="14954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38100</xdr:colOff>
      <xdr:row>104</xdr:row>
      <xdr:rowOff>104775</xdr:rowOff>
    </xdr:from>
    <xdr:to>
      <xdr:col>36</xdr:col>
      <xdr:colOff>657225</xdr:colOff>
      <xdr:row>106</xdr:row>
      <xdr:rowOff>57150</xdr:rowOff>
    </xdr:to>
    <xdr:sp macro="" textlink="">
      <xdr:nvSpPr>
        <xdr:cNvPr id="9" name="Arrow: Notched Right 8">
          <a:extLst>
            <a:ext uri="{FF2B5EF4-FFF2-40B4-BE49-F238E27FC236}">
              <a16:creationId xmlns:a16="http://schemas.microsoft.com/office/drawing/2014/main" id="{E6E6BF95-28E5-4E94-B7F8-16B1489251AF}"/>
            </a:ext>
          </a:extLst>
        </xdr:cNvPr>
        <xdr:cNvSpPr/>
      </xdr:nvSpPr>
      <xdr:spPr>
        <a:xfrm>
          <a:off x="25898475" y="193643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38100</xdr:colOff>
      <xdr:row>152</xdr:row>
      <xdr:rowOff>104775</xdr:rowOff>
    </xdr:from>
    <xdr:to>
      <xdr:col>36</xdr:col>
      <xdr:colOff>657225</xdr:colOff>
      <xdr:row>154</xdr:row>
      <xdr:rowOff>57150</xdr:rowOff>
    </xdr:to>
    <xdr:sp macro="" textlink="">
      <xdr:nvSpPr>
        <xdr:cNvPr id="10" name="Arrow: Notched Right 9">
          <a:extLst>
            <a:ext uri="{FF2B5EF4-FFF2-40B4-BE49-F238E27FC236}">
              <a16:creationId xmlns:a16="http://schemas.microsoft.com/office/drawing/2014/main" id="{7ABEF90E-8FAE-45DE-9CBB-30CB9FFDE66C}"/>
            </a:ext>
          </a:extLst>
        </xdr:cNvPr>
        <xdr:cNvSpPr/>
      </xdr:nvSpPr>
      <xdr:spPr>
        <a:xfrm>
          <a:off x="25898475" y="282035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38100</xdr:colOff>
      <xdr:row>200</xdr:row>
      <xdr:rowOff>104775</xdr:rowOff>
    </xdr:from>
    <xdr:to>
      <xdr:col>36</xdr:col>
      <xdr:colOff>657225</xdr:colOff>
      <xdr:row>202</xdr:row>
      <xdr:rowOff>57150</xdr:rowOff>
    </xdr:to>
    <xdr:sp macro="" textlink="">
      <xdr:nvSpPr>
        <xdr:cNvPr id="11" name="Arrow: Notched Right 10">
          <a:extLst>
            <a:ext uri="{FF2B5EF4-FFF2-40B4-BE49-F238E27FC236}">
              <a16:creationId xmlns:a16="http://schemas.microsoft.com/office/drawing/2014/main" id="{9060FE17-2582-4730-95A0-84E5311E4F8A}"/>
            </a:ext>
          </a:extLst>
        </xdr:cNvPr>
        <xdr:cNvSpPr/>
      </xdr:nvSpPr>
      <xdr:spPr>
        <a:xfrm>
          <a:off x="25898475" y="370427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64</xdr:col>
      <xdr:colOff>38100</xdr:colOff>
      <xdr:row>56</xdr:row>
      <xdr:rowOff>104775</xdr:rowOff>
    </xdr:from>
    <xdr:to>
      <xdr:col>64</xdr:col>
      <xdr:colOff>657225</xdr:colOff>
      <xdr:row>58</xdr:row>
      <xdr:rowOff>57150</xdr:rowOff>
    </xdr:to>
    <xdr:sp macro="" textlink="">
      <xdr:nvSpPr>
        <xdr:cNvPr id="12" name="Arrow: Notched Right 11">
          <a:extLst>
            <a:ext uri="{FF2B5EF4-FFF2-40B4-BE49-F238E27FC236}">
              <a16:creationId xmlns:a16="http://schemas.microsoft.com/office/drawing/2014/main" id="{F0D2E660-5033-4E3A-966C-37BBB1E95E1D}"/>
            </a:ext>
          </a:extLst>
        </xdr:cNvPr>
        <xdr:cNvSpPr/>
      </xdr:nvSpPr>
      <xdr:spPr>
        <a:xfrm>
          <a:off x="47110650" y="105251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64</xdr:col>
      <xdr:colOff>38100</xdr:colOff>
      <xdr:row>7</xdr:row>
      <xdr:rowOff>104775</xdr:rowOff>
    </xdr:from>
    <xdr:to>
      <xdr:col>64</xdr:col>
      <xdr:colOff>657225</xdr:colOff>
      <xdr:row>9</xdr:row>
      <xdr:rowOff>57150</xdr:rowOff>
    </xdr:to>
    <xdr:sp macro="" textlink="">
      <xdr:nvSpPr>
        <xdr:cNvPr id="13" name="Arrow: Notched Right 12">
          <a:extLst>
            <a:ext uri="{FF2B5EF4-FFF2-40B4-BE49-F238E27FC236}">
              <a16:creationId xmlns:a16="http://schemas.microsoft.com/office/drawing/2014/main" id="{24DAD89C-903D-42C0-A8A8-40E67B63A73D}"/>
            </a:ext>
          </a:extLst>
        </xdr:cNvPr>
        <xdr:cNvSpPr/>
      </xdr:nvSpPr>
      <xdr:spPr>
        <a:xfrm>
          <a:off x="47110650" y="14954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64</xdr:col>
      <xdr:colOff>38100</xdr:colOff>
      <xdr:row>104</xdr:row>
      <xdr:rowOff>104775</xdr:rowOff>
    </xdr:from>
    <xdr:to>
      <xdr:col>64</xdr:col>
      <xdr:colOff>657225</xdr:colOff>
      <xdr:row>106</xdr:row>
      <xdr:rowOff>57150</xdr:rowOff>
    </xdr:to>
    <xdr:sp macro="" textlink="">
      <xdr:nvSpPr>
        <xdr:cNvPr id="14" name="Arrow: Notched Right 13">
          <a:extLst>
            <a:ext uri="{FF2B5EF4-FFF2-40B4-BE49-F238E27FC236}">
              <a16:creationId xmlns:a16="http://schemas.microsoft.com/office/drawing/2014/main" id="{D2DF0C75-B752-46DD-AE1F-AF103E190FD4}"/>
            </a:ext>
          </a:extLst>
        </xdr:cNvPr>
        <xdr:cNvSpPr/>
      </xdr:nvSpPr>
      <xdr:spPr>
        <a:xfrm>
          <a:off x="47110650" y="193643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64</xdr:col>
      <xdr:colOff>38100</xdr:colOff>
      <xdr:row>152</xdr:row>
      <xdr:rowOff>104775</xdr:rowOff>
    </xdr:from>
    <xdr:to>
      <xdr:col>64</xdr:col>
      <xdr:colOff>657225</xdr:colOff>
      <xdr:row>154</xdr:row>
      <xdr:rowOff>57150</xdr:rowOff>
    </xdr:to>
    <xdr:sp macro="" textlink="">
      <xdr:nvSpPr>
        <xdr:cNvPr id="15" name="Arrow: Notched Right 14">
          <a:extLst>
            <a:ext uri="{FF2B5EF4-FFF2-40B4-BE49-F238E27FC236}">
              <a16:creationId xmlns:a16="http://schemas.microsoft.com/office/drawing/2014/main" id="{474A3970-320A-49ED-A7BE-6AB0FD1D389D}"/>
            </a:ext>
          </a:extLst>
        </xdr:cNvPr>
        <xdr:cNvSpPr/>
      </xdr:nvSpPr>
      <xdr:spPr>
        <a:xfrm>
          <a:off x="47110650" y="282035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64</xdr:col>
      <xdr:colOff>38100</xdr:colOff>
      <xdr:row>200</xdr:row>
      <xdr:rowOff>104775</xdr:rowOff>
    </xdr:from>
    <xdr:to>
      <xdr:col>64</xdr:col>
      <xdr:colOff>657225</xdr:colOff>
      <xdr:row>202</xdr:row>
      <xdr:rowOff>57150</xdr:rowOff>
    </xdr:to>
    <xdr:sp macro="" textlink="">
      <xdr:nvSpPr>
        <xdr:cNvPr id="16" name="Arrow: Notched Right 15">
          <a:extLst>
            <a:ext uri="{FF2B5EF4-FFF2-40B4-BE49-F238E27FC236}">
              <a16:creationId xmlns:a16="http://schemas.microsoft.com/office/drawing/2014/main" id="{CF157749-1062-416B-89AA-90A48E36EF2D}"/>
            </a:ext>
          </a:extLst>
        </xdr:cNvPr>
        <xdr:cNvSpPr/>
      </xdr:nvSpPr>
      <xdr:spPr>
        <a:xfrm>
          <a:off x="47110650" y="370427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92</xdr:col>
      <xdr:colOff>38100</xdr:colOff>
      <xdr:row>56</xdr:row>
      <xdr:rowOff>104775</xdr:rowOff>
    </xdr:from>
    <xdr:to>
      <xdr:col>92</xdr:col>
      <xdr:colOff>657225</xdr:colOff>
      <xdr:row>58</xdr:row>
      <xdr:rowOff>57150</xdr:rowOff>
    </xdr:to>
    <xdr:sp macro="" textlink="">
      <xdr:nvSpPr>
        <xdr:cNvPr id="17" name="Arrow: Notched Right 16">
          <a:extLst>
            <a:ext uri="{FF2B5EF4-FFF2-40B4-BE49-F238E27FC236}">
              <a16:creationId xmlns:a16="http://schemas.microsoft.com/office/drawing/2014/main" id="{A1C23EE9-D63C-48F3-9407-69A756FBDADA}"/>
            </a:ext>
          </a:extLst>
        </xdr:cNvPr>
        <xdr:cNvSpPr/>
      </xdr:nvSpPr>
      <xdr:spPr>
        <a:xfrm>
          <a:off x="68322825" y="105251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92</xdr:col>
      <xdr:colOff>38100</xdr:colOff>
      <xdr:row>7</xdr:row>
      <xdr:rowOff>104775</xdr:rowOff>
    </xdr:from>
    <xdr:to>
      <xdr:col>92</xdr:col>
      <xdr:colOff>657225</xdr:colOff>
      <xdr:row>9</xdr:row>
      <xdr:rowOff>57150</xdr:rowOff>
    </xdr:to>
    <xdr:sp macro="" textlink="">
      <xdr:nvSpPr>
        <xdr:cNvPr id="18" name="Arrow: Notched Right 17">
          <a:extLst>
            <a:ext uri="{FF2B5EF4-FFF2-40B4-BE49-F238E27FC236}">
              <a16:creationId xmlns:a16="http://schemas.microsoft.com/office/drawing/2014/main" id="{6883D1D1-6952-4E0A-A1A2-2B3E7055FF6D}"/>
            </a:ext>
          </a:extLst>
        </xdr:cNvPr>
        <xdr:cNvSpPr/>
      </xdr:nvSpPr>
      <xdr:spPr>
        <a:xfrm>
          <a:off x="68322825" y="14954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92</xdr:col>
      <xdr:colOff>38100</xdr:colOff>
      <xdr:row>104</xdr:row>
      <xdr:rowOff>104775</xdr:rowOff>
    </xdr:from>
    <xdr:to>
      <xdr:col>92</xdr:col>
      <xdr:colOff>657225</xdr:colOff>
      <xdr:row>106</xdr:row>
      <xdr:rowOff>57150</xdr:rowOff>
    </xdr:to>
    <xdr:sp macro="" textlink="">
      <xdr:nvSpPr>
        <xdr:cNvPr id="19" name="Arrow: Notched Right 18">
          <a:extLst>
            <a:ext uri="{FF2B5EF4-FFF2-40B4-BE49-F238E27FC236}">
              <a16:creationId xmlns:a16="http://schemas.microsoft.com/office/drawing/2014/main" id="{0A501B49-F052-4F65-9FEB-A7AC3CCD1FC3}"/>
            </a:ext>
          </a:extLst>
        </xdr:cNvPr>
        <xdr:cNvSpPr/>
      </xdr:nvSpPr>
      <xdr:spPr>
        <a:xfrm>
          <a:off x="68322825" y="193643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92</xdr:col>
      <xdr:colOff>38100</xdr:colOff>
      <xdr:row>152</xdr:row>
      <xdr:rowOff>104775</xdr:rowOff>
    </xdr:from>
    <xdr:to>
      <xdr:col>92</xdr:col>
      <xdr:colOff>657225</xdr:colOff>
      <xdr:row>154</xdr:row>
      <xdr:rowOff>57150</xdr:rowOff>
    </xdr:to>
    <xdr:sp macro="" textlink="">
      <xdr:nvSpPr>
        <xdr:cNvPr id="20" name="Arrow: Notched Right 19">
          <a:extLst>
            <a:ext uri="{FF2B5EF4-FFF2-40B4-BE49-F238E27FC236}">
              <a16:creationId xmlns:a16="http://schemas.microsoft.com/office/drawing/2014/main" id="{8E8A0BED-FC26-46E1-90A5-E3F3028B2D4F}"/>
            </a:ext>
          </a:extLst>
        </xdr:cNvPr>
        <xdr:cNvSpPr/>
      </xdr:nvSpPr>
      <xdr:spPr>
        <a:xfrm>
          <a:off x="68322825" y="282035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92</xdr:col>
      <xdr:colOff>38100</xdr:colOff>
      <xdr:row>200</xdr:row>
      <xdr:rowOff>104775</xdr:rowOff>
    </xdr:from>
    <xdr:to>
      <xdr:col>92</xdr:col>
      <xdr:colOff>657225</xdr:colOff>
      <xdr:row>202</xdr:row>
      <xdr:rowOff>57150</xdr:rowOff>
    </xdr:to>
    <xdr:sp macro="" textlink="">
      <xdr:nvSpPr>
        <xdr:cNvPr id="21" name="Arrow: Notched Right 20">
          <a:extLst>
            <a:ext uri="{FF2B5EF4-FFF2-40B4-BE49-F238E27FC236}">
              <a16:creationId xmlns:a16="http://schemas.microsoft.com/office/drawing/2014/main" id="{814599D2-C774-4B59-AD62-BDC0FDC7C483}"/>
            </a:ext>
          </a:extLst>
        </xdr:cNvPr>
        <xdr:cNvSpPr/>
      </xdr:nvSpPr>
      <xdr:spPr>
        <a:xfrm>
          <a:off x="68322825" y="370427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120</xdr:col>
      <xdr:colOff>38100</xdr:colOff>
      <xdr:row>56</xdr:row>
      <xdr:rowOff>104775</xdr:rowOff>
    </xdr:from>
    <xdr:to>
      <xdr:col>120</xdr:col>
      <xdr:colOff>657225</xdr:colOff>
      <xdr:row>58</xdr:row>
      <xdr:rowOff>57150</xdr:rowOff>
    </xdr:to>
    <xdr:sp macro="" textlink="">
      <xdr:nvSpPr>
        <xdr:cNvPr id="22" name="Arrow: Notched Right 21">
          <a:extLst>
            <a:ext uri="{FF2B5EF4-FFF2-40B4-BE49-F238E27FC236}">
              <a16:creationId xmlns:a16="http://schemas.microsoft.com/office/drawing/2014/main" id="{90993B2A-7BDE-4D2B-ACFE-389F2F841C9C}"/>
            </a:ext>
          </a:extLst>
        </xdr:cNvPr>
        <xdr:cNvSpPr/>
      </xdr:nvSpPr>
      <xdr:spPr>
        <a:xfrm>
          <a:off x="89535000" y="105251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120</xdr:col>
      <xdr:colOff>38100</xdr:colOff>
      <xdr:row>7</xdr:row>
      <xdr:rowOff>104775</xdr:rowOff>
    </xdr:from>
    <xdr:to>
      <xdr:col>120</xdr:col>
      <xdr:colOff>657225</xdr:colOff>
      <xdr:row>9</xdr:row>
      <xdr:rowOff>57150</xdr:rowOff>
    </xdr:to>
    <xdr:sp macro="" textlink="">
      <xdr:nvSpPr>
        <xdr:cNvPr id="23" name="Arrow: Notched Right 22">
          <a:extLst>
            <a:ext uri="{FF2B5EF4-FFF2-40B4-BE49-F238E27FC236}">
              <a16:creationId xmlns:a16="http://schemas.microsoft.com/office/drawing/2014/main" id="{28FBF7CC-FAC9-4E10-8DCD-7695E29E49FB}"/>
            </a:ext>
          </a:extLst>
        </xdr:cNvPr>
        <xdr:cNvSpPr/>
      </xdr:nvSpPr>
      <xdr:spPr>
        <a:xfrm>
          <a:off x="89535000" y="14954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120</xdr:col>
      <xdr:colOff>38100</xdr:colOff>
      <xdr:row>104</xdr:row>
      <xdr:rowOff>104775</xdr:rowOff>
    </xdr:from>
    <xdr:to>
      <xdr:col>120</xdr:col>
      <xdr:colOff>657225</xdr:colOff>
      <xdr:row>106</xdr:row>
      <xdr:rowOff>57150</xdr:rowOff>
    </xdr:to>
    <xdr:sp macro="" textlink="">
      <xdr:nvSpPr>
        <xdr:cNvPr id="24" name="Arrow: Notched Right 23">
          <a:extLst>
            <a:ext uri="{FF2B5EF4-FFF2-40B4-BE49-F238E27FC236}">
              <a16:creationId xmlns:a16="http://schemas.microsoft.com/office/drawing/2014/main" id="{14AAE795-AED7-46DC-8735-500D75B0320B}"/>
            </a:ext>
          </a:extLst>
        </xdr:cNvPr>
        <xdr:cNvSpPr/>
      </xdr:nvSpPr>
      <xdr:spPr>
        <a:xfrm>
          <a:off x="89535000" y="193643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120</xdr:col>
      <xdr:colOff>38100</xdr:colOff>
      <xdr:row>152</xdr:row>
      <xdr:rowOff>104775</xdr:rowOff>
    </xdr:from>
    <xdr:to>
      <xdr:col>120</xdr:col>
      <xdr:colOff>657225</xdr:colOff>
      <xdr:row>154</xdr:row>
      <xdr:rowOff>57150</xdr:rowOff>
    </xdr:to>
    <xdr:sp macro="" textlink="">
      <xdr:nvSpPr>
        <xdr:cNvPr id="25" name="Arrow: Notched Right 24">
          <a:extLst>
            <a:ext uri="{FF2B5EF4-FFF2-40B4-BE49-F238E27FC236}">
              <a16:creationId xmlns:a16="http://schemas.microsoft.com/office/drawing/2014/main" id="{72358CD2-49C4-4EB8-A964-D0E8DB16CF95}"/>
            </a:ext>
          </a:extLst>
        </xdr:cNvPr>
        <xdr:cNvSpPr/>
      </xdr:nvSpPr>
      <xdr:spPr>
        <a:xfrm>
          <a:off x="89535000" y="282035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120</xdr:col>
      <xdr:colOff>38100</xdr:colOff>
      <xdr:row>200</xdr:row>
      <xdr:rowOff>104775</xdr:rowOff>
    </xdr:from>
    <xdr:to>
      <xdr:col>120</xdr:col>
      <xdr:colOff>657225</xdr:colOff>
      <xdr:row>202</xdr:row>
      <xdr:rowOff>57150</xdr:rowOff>
    </xdr:to>
    <xdr:sp macro="" textlink="">
      <xdr:nvSpPr>
        <xdr:cNvPr id="26" name="Arrow: Notched Right 25">
          <a:extLst>
            <a:ext uri="{FF2B5EF4-FFF2-40B4-BE49-F238E27FC236}">
              <a16:creationId xmlns:a16="http://schemas.microsoft.com/office/drawing/2014/main" id="{75E386B2-0DA3-4021-A429-82F572E21B08}"/>
            </a:ext>
          </a:extLst>
        </xdr:cNvPr>
        <xdr:cNvSpPr/>
      </xdr:nvSpPr>
      <xdr:spPr>
        <a:xfrm>
          <a:off x="89535000" y="37042725"/>
          <a:ext cx="619125" cy="314325"/>
        </a:xfrm>
        <a:prstGeom prst="notchedRightArrow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6151B-98D2-4F4E-959C-B51E9E3E41D3}">
  <sheetPr>
    <tabColor rgb="FFFF0000"/>
    <pageSetUpPr fitToPage="1"/>
  </sheetPr>
  <dimension ref="A1:N61"/>
  <sheetViews>
    <sheetView topLeftCell="A6" workbookViewId="0">
      <selection activeCell="K22" sqref="K22"/>
    </sheetView>
  </sheetViews>
  <sheetFormatPr defaultRowHeight="15" x14ac:dyDescent="0.2"/>
  <cols>
    <col min="1" max="1" width="4.375" customWidth="1"/>
    <col min="2" max="3" width="8.75" customWidth="1"/>
    <col min="6" max="6" width="10.5" bestFit="1" customWidth="1"/>
    <col min="7" max="7" width="9.875" bestFit="1" customWidth="1"/>
    <col min="9" max="9" width="9" customWidth="1"/>
    <col min="10" max="10" width="8.375" customWidth="1"/>
    <col min="11" max="11" width="13.125" style="156" customWidth="1"/>
    <col min="12" max="12" width="3.375" style="156" customWidth="1"/>
    <col min="14" max="14" width="3.375" customWidth="1"/>
  </cols>
  <sheetData>
    <row r="1" spans="1:14" ht="19.5" x14ac:dyDescent="0.25">
      <c r="A1" s="375" t="s">
        <v>545</v>
      </c>
      <c r="B1" s="189"/>
      <c r="C1" s="189"/>
      <c r="D1" s="189"/>
      <c r="E1" s="189"/>
      <c r="F1" s="189"/>
      <c r="G1" s="189"/>
      <c r="H1" s="189"/>
      <c r="I1" s="189"/>
      <c r="J1" s="189"/>
      <c r="K1" s="329"/>
      <c r="L1" s="329"/>
      <c r="M1" s="189"/>
      <c r="N1" s="189"/>
    </row>
    <row r="2" spans="1:14" ht="15.75" thickBot="1" x14ac:dyDescent="0.25">
      <c r="A2" s="189"/>
      <c r="B2" s="189"/>
      <c r="C2" s="189"/>
      <c r="D2" s="189"/>
      <c r="E2" s="189"/>
      <c r="F2" s="189"/>
      <c r="G2" s="189"/>
      <c r="H2" s="189"/>
      <c r="I2" s="189"/>
      <c r="J2" s="189"/>
      <c r="K2" s="329"/>
      <c r="L2" s="329"/>
      <c r="M2" s="189"/>
      <c r="N2" s="189"/>
    </row>
    <row r="3" spans="1:14" ht="69.75" customHeight="1" thickBot="1" x14ac:dyDescent="0.25">
      <c r="A3" s="189"/>
      <c r="B3" s="781" t="s">
        <v>739</v>
      </c>
      <c r="C3" s="782"/>
      <c r="D3" s="782"/>
      <c r="E3" s="782"/>
      <c r="F3" s="782"/>
      <c r="G3" s="782"/>
      <c r="H3" s="782"/>
      <c r="I3" s="782"/>
      <c r="J3" s="782"/>
      <c r="K3" s="782"/>
      <c r="L3" s="782"/>
      <c r="M3" s="783"/>
      <c r="N3" s="189"/>
    </row>
    <row r="4" spans="1:14" ht="48.75" customHeight="1" thickBot="1" x14ac:dyDescent="0.25">
      <c r="A4" s="189"/>
      <c r="B4" s="778" t="s">
        <v>748</v>
      </c>
      <c r="C4" s="779"/>
      <c r="D4" s="779"/>
      <c r="E4" s="779"/>
      <c r="F4" s="779"/>
      <c r="G4" s="779"/>
      <c r="H4" s="779"/>
      <c r="I4" s="779"/>
      <c r="J4" s="779"/>
      <c r="K4" s="779"/>
      <c r="L4" s="779"/>
      <c r="M4" s="780"/>
      <c r="N4" s="189"/>
    </row>
    <row r="5" spans="1:14" ht="15.75" thickBot="1" x14ac:dyDescent="0.25">
      <c r="A5" s="189"/>
      <c r="B5" s="328"/>
      <c r="C5" s="189"/>
      <c r="D5" s="189"/>
      <c r="E5" s="189"/>
      <c r="F5" s="189"/>
      <c r="G5" s="189"/>
      <c r="H5" s="189"/>
      <c r="I5" s="189"/>
      <c r="J5" s="189"/>
      <c r="K5" s="329"/>
      <c r="L5" s="329"/>
      <c r="M5" s="330"/>
      <c r="N5" s="189"/>
    </row>
    <row r="6" spans="1:14" ht="27.75" customHeight="1" thickBot="1" x14ac:dyDescent="0.25">
      <c r="A6" s="189"/>
      <c r="B6" s="402" t="s">
        <v>573</v>
      </c>
      <c r="C6" s="189"/>
      <c r="D6" s="189"/>
      <c r="E6" s="189"/>
      <c r="F6" s="189"/>
      <c r="G6" s="189"/>
      <c r="H6" s="189"/>
      <c r="I6" s="189"/>
      <c r="J6" s="189"/>
      <c r="K6" s="406" t="str">
        <f>'Primary Value'!E45</f>
        <v>Eliminate</v>
      </c>
      <c r="L6" s="413"/>
      <c r="M6" s="330"/>
      <c r="N6" s="189"/>
    </row>
    <row r="7" spans="1:14" ht="15.75" thickBot="1" x14ac:dyDescent="0.25">
      <c r="A7" s="189"/>
      <c r="B7" s="328"/>
      <c r="C7" s="189"/>
      <c r="D7" s="189"/>
      <c r="E7" s="189"/>
      <c r="F7" s="189"/>
      <c r="G7" s="189"/>
      <c r="H7" s="189"/>
      <c r="I7" s="189"/>
      <c r="J7" s="189"/>
      <c r="K7" s="329"/>
      <c r="L7" s="329"/>
      <c r="M7" s="330"/>
      <c r="N7" s="189"/>
    </row>
    <row r="8" spans="1:14" ht="33" customHeight="1" thickBot="1" x14ac:dyDescent="0.25">
      <c r="A8" s="189"/>
      <c r="B8" s="328"/>
      <c r="C8" s="403" t="s">
        <v>746</v>
      </c>
      <c r="D8" s="189"/>
      <c r="E8" s="189"/>
      <c r="F8" s="189"/>
      <c r="G8" s="189"/>
      <c r="H8" s="189"/>
      <c r="I8" s="189"/>
      <c r="J8" s="189"/>
      <c r="K8" s="616">
        <f>SUMIF('Master Data'!AI141:AI292,'Check Value'!K6,'Master Data'!G141:G292)</f>
        <v>12.652615788962985</v>
      </c>
      <c r="L8" s="412"/>
      <c r="M8" s="330"/>
      <c r="N8" s="189"/>
    </row>
    <row r="9" spans="1:14" ht="15.75" thickBot="1" x14ac:dyDescent="0.25">
      <c r="A9" s="189"/>
      <c r="B9" s="332"/>
      <c r="C9" s="333"/>
      <c r="D9" s="333"/>
      <c r="E9" s="333"/>
      <c r="F9" s="333"/>
      <c r="G9" s="333"/>
      <c r="H9" s="333"/>
      <c r="I9" s="333"/>
      <c r="J9" s="333"/>
      <c r="K9" s="334"/>
      <c r="L9" s="334"/>
      <c r="M9" s="335"/>
      <c r="N9" s="189"/>
    </row>
    <row r="10" spans="1:14" ht="33" customHeight="1" thickBot="1" x14ac:dyDescent="0.25">
      <c r="A10" s="189"/>
      <c r="B10" s="775" t="s">
        <v>749</v>
      </c>
      <c r="C10" s="776"/>
      <c r="D10" s="776"/>
      <c r="E10" s="776"/>
      <c r="F10" s="776"/>
      <c r="G10" s="776"/>
      <c r="H10" s="776"/>
      <c r="I10" s="776"/>
      <c r="J10" s="776"/>
      <c r="K10" s="776"/>
      <c r="L10" s="776"/>
      <c r="M10" s="777"/>
      <c r="N10" s="189"/>
    </row>
    <row r="11" spans="1:14" x14ac:dyDescent="0.2">
      <c r="A11" s="189"/>
      <c r="B11" s="414"/>
      <c r="C11" s="415"/>
      <c r="D11" s="415"/>
      <c r="E11" s="415"/>
      <c r="F11" s="415"/>
      <c r="G11" s="415"/>
      <c r="H11" s="415"/>
      <c r="I11" s="415"/>
      <c r="J11" s="415"/>
      <c r="K11" s="416"/>
      <c r="L11" s="416"/>
      <c r="M11" s="417"/>
      <c r="N11" s="189"/>
    </row>
    <row r="12" spans="1:14" ht="25.5" x14ac:dyDescent="0.35">
      <c r="A12" s="189"/>
      <c r="B12" s="404" t="s">
        <v>574</v>
      </c>
      <c r="C12" s="189"/>
      <c r="D12" s="189"/>
      <c r="E12" s="189"/>
      <c r="F12" s="189"/>
      <c r="G12" s="189"/>
      <c r="H12" s="189"/>
      <c r="I12" s="189"/>
      <c r="J12" s="189"/>
      <c r="K12" s="329"/>
      <c r="L12" s="329"/>
      <c r="M12" s="330"/>
      <c r="N12" s="189"/>
    </row>
    <row r="13" spans="1:14" ht="15.75" thickBot="1" x14ac:dyDescent="0.25">
      <c r="A13" s="189"/>
      <c r="B13" s="328"/>
      <c r="C13" s="189"/>
      <c r="D13" s="189"/>
      <c r="E13" s="189"/>
      <c r="F13" s="189"/>
      <c r="G13" s="189"/>
      <c r="H13" s="189"/>
      <c r="I13" s="189"/>
      <c r="J13" s="189"/>
      <c r="K13" s="329"/>
      <c r="L13" s="329"/>
      <c r="M13" s="330"/>
      <c r="N13" s="189"/>
    </row>
    <row r="14" spans="1:14" ht="23.25" thickBot="1" x14ac:dyDescent="0.25">
      <c r="A14" s="189"/>
      <c r="B14" s="331" t="s">
        <v>47</v>
      </c>
      <c r="C14" s="424" t="s">
        <v>742</v>
      </c>
      <c r="D14" s="189"/>
      <c r="E14" s="189"/>
      <c r="F14" s="189"/>
      <c r="G14" s="189"/>
      <c r="H14" s="189"/>
      <c r="I14" s="189"/>
      <c r="J14" s="189"/>
      <c r="K14" s="360">
        <v>6</v>
      </c>
      <c r="L14" s="412"/>
      <c r="M14" s="330"/>
      <c r="N14" s="189"/>
    </row>
    <row r="15" spans="1:14" ht="15" customHeight="1" thickBot="1" x14ac:dyDescent="0.25">
      <c r="A15" s="189"/>
      <c r="B15" s="328"/>
      <c r="C15" s="418"/>
      <c r="D15" s="189"/>
      <c r="E15" s="189"/>
      <c r="F15" s="189"/>
      <c r="G15" s="189"/>
      <c r="H15" s="189"/>
      <c r="I15" s="189"/>
      <c r="J15" s="189"/>
      <c r="K15" s="412"/>
      <c r="L15" s="412"/>
      <c r="M15" s="330"/>
      <c r="N15" s="189"/>
    </row>
    <row r="16" spans="1:14" ht="23.25" thickBot="1" x14ac:dyDescent="0.25">
      <c r="A16" s="189"/>
      <c r="B16" s="331" t="s">
        <v>47</v>
      </c>
      <c r="C16" s="424" t="s">
        <v>541</v>
      </c>
      <c r="D16" s="189"/>
      <c r="E16" s="189"/>
      <c r="F16" s="189"/>
      <c r="G16" s="189"/>
      <c r="H16" s="189"/>
      <c r="I16" s="189"/>
      <c r="J16" s="189"/>
      <c r="K16" s="360">
        <v>2</v>
      </c>
      <c r="L16" s="412"/>
      <c r="M16" s="330"/>
      <c r="N16" s="189"/>
    </row>
    <row r="17" spans="1:14" ht="15.75" customHeight="1" thickBot="1" x14ac:dyDescent="0.25">
      <c r="A17" s="189"/>
      <c r="B17" s="328"/>
      <c r="C17" s="418"/>
      <c r="D17" s="189"/>
      <c r="E17" s="189"/>
      <c r="F17" s="189"/>
      <c r="G17" s="189"/>
      <c r="H17" s="189"/>
      <c r="I17" s="189"/>
      <c r="J17" s="189"/>
      <c r="K17" s="412"/>
      <c r="L17" s="412"/>
      <c r="M17" s="330"/>
      <c r="N17" s="189"/>
    </row>
    <row r="18" spans="1:14" ht="23.25" thickBot="1" x14ac:dyDescent="0.25">
      <c r="A18" s="189"/>
      <c r="B18" s="331" t="s">
        <v>47</v>
      </c>
      <c r="C18" s="424" t="s">
        <v>542</v>
      </c>
      <c r="D18" s="189"/>
      <c r="E18" s="189"/>
      <c r="F18" s="189"/>
      <c r="G18" s="189"/>
      <c r="H18" s="189"/>
      <c r="I18" s="189"/>
      <c r="J18" s="189"/>
      <c r="K18" s="360">
        <v>1</v>
      </c>
      <c r="L18" s="412"/>
      <c r="M18" s="330"/>
      <c r="N18" s="189"/>
    </row>
    <row r="19" spans="1:14" ht="16.5" customHeight="1" thickBot="1" x14ac:dyDescent="0.25">
      <c r="A19" s="189"/>
      <c r="B19" s="328"/>
      <c r="C19" s="418"/>
      <c r="D19" s="189"/>
      <c r="E19" s="189"/>
      <c r="F19" s="189"/>
      <c r="G19" s="189"/>
      <c r="H19" s="189"/>
      <c r="I19" s="189"/>
      <c r="J19" s="189"/>
      <c r="K19" s="412"/>
      <c r="L19" s="412"/>
      <c r="M19" s="330"/>
      <c r="N19" s="189"/>
    </row>
    <row r="20" spans="1:14" ht="24" customHeight="1" thickBot="1" x14ac:dyDescent="0.35">
      <c r="A20" s="189"/>
      <c r="B20" s="331" t="s">
        <v>47</v>
      </c>
      <c r="C20" s="424" t="s">
        <v>575</v>
      </c>
      <c r="D20" s="189"/>
      <c r="E20" s="419"/>
      <c r="F20" s="189"/>
      <c r="G20" s="189"/>
      <c r="H20" s="189"/>
      <c r="I20" s="189"/>
      <c r="J20" s="189"/>
      <c r="K20" s="360" t="str">
        <f>_xlfn.CONCAT(K14,K16,K18)</f>
        <v>621</v>
      </c>
      <c r="L20" s="412"/>
      <c r="M20" s="330"/>
      <c r="N20" s="189"/>
    </row>
    <row r="21" spans="1:14" ht="29.25" customHeight="1" thickBot="1" x14ac:dyDescent="0.25">
      <c r="A21" s="189"/>
      <c r="B21" s="328"/>
      <c r="C21" s="189"/>
      <c r="D21" s="189"/>
      <c r="E21" s="189"/>
      <c r="F21" s="189"/>
      <c r="G21" s="189"/>
      <c r="H21" s="189"/>
      <c r="I21" s="189"/>
      <c r="J21" s="189"/>
      <c r="K21" s="413"/>
      <c r="L21" s="413"/>
      <c r="M21" s="330"/>
      <c r="N21" s="189"/>
    </row>
    <row r="22" spans="1:14" ht="29.25" customHeight="1" thickBot="1" x14ac:dyDescent="0.25">
      <c r="A22" s="189"/>
      <c r="B22" s="328"/>
      <c r="C22" s="403" t="s">
        <v>746</v>
      </c>
      <c r="D22" s="189"/>
      <c r="E22" s="189"/>
      <c r="F22" s="189"/>
      <c r="G22" s="189"/>
      <c r="H22" s="189"/>
      <c r="I22" s="189"/>
      <c r="J22" s="189"/>
      <c r="K22" s="616">
        <f>SUMIF('Master Data'!$F$141:$F$292,'Check Value'!K20,'Master Data'!$G$141:$G$292)</f>
        <v>12.652615788962985</v>
      </c>
      <c r="L22" s="412"/>
      <c r="M22" s="330"/>
      <c r="N22" s="189"/>
    </row>
    <row r="23" spans="1:14" ht="29.25" customHeight="1" thickBot="1" x14ac:dyDescent="0.25">
      <c r="A23" s="189"/>
      <c r="B23" s="332"/>
      <c r="C23" s="420"/>
      <c r="D23" s="333"/>
      <c r="E23" s="333"/>
      <c r="F23" s="333"/>
      <c r="G23" s="333"/>
      <c r="H23" s="333"/>
      <c r="I23" s="333"/>
      <c r="J23" s="333"/>
      <c r="K23" s="334"/>
      <c r="L23" s="334"/>
      <c r="M23" s="335"/>
      <c r="N23" s="189"/>
    </row>
    <row r="24" spans="1:14" ht="39" customHeight="1" thickBot="1" x14ac:dyDescent="0.25">
      <c r="A24" s="189"/>
      <c r="B24" s="775" t="s">
        <v>750</v>
      </c>
      <c r="C24" s="776"/>
      <c r="D24" s="776"/>
      <c r="E24" s="776"/>
      <c r="F24" s="776"/>
      <c r="G24" s="776"/>
      <c r="H24" s="776"/>
      <c r="I24" s="776"/>
      <c r="J24" s="776"/>
      <c r="K24" s="776"/>
      <c r="L24" s="776"/>
      <c r="M24" s="777"/>
      <c r="N24" s="189"/>
    </row>
    <row r="25" spans="1:14" ht="12.75" customHeight="1" thickBot="1" x14ac:dyDescent="0.25">
      <c r="A25" s="189"/>
      <c r="B25" s="436"/>
      <c r="C25" s="437"/>
      <c r="D25" s="437"/>
      <c r="E25" s="437"/>
      <c r="F25" s="437"/>
      <c r="G25" s="437"/>
      <c r="H25" s="437"/>
      <c r="I25" s="437"/>
      <c r="J25" s="437"/>
      <c r="K25" s="411"/>
      <c r="L25" s="437"/>
      <c r="M25" s="438"/>
      <c r="N25" s="189"/>
    </row>
    <row r="26" spans="1:14" ht="27" customHeight="1" thickBot="1" x14ac:dyDescent="0.25">
      <c r="A26" s="189"/>
      <c r="B26" s="402" t="s">
        <v>576</v>
      </c>
      <c r="C26" s="439"/>
      <c r="D26" s="189"/>
      <c r="E26" s="189"/>
      <c r="F26" s="189"/>
      <c r="G26" s="189"/>
      <c r="H26" s="189"/>
      <c r="I26" s="189"/>
      <c r="J26" s="189"/>
      <c r="K26" s="360" t="s">
        <v>25</v>
      </c>
      <c r="M26" s="330"/>
      <c r="N26" s="189"/>
    </row>
    <row r="27" spans="1:14" ht="22.5" x14ac:dyDescent="0.2">
      <c r="A27" s="189"/>
      <c r="B27" s="328"/>
      <c r="C27" s="440"/>
      <c r="D27" s="189"/>
      <c r="E27" s="189"/>
      <c r="F27" s="189"/>
      <c r="G27" s="189"/>
      <c r="H27" s="189"/>
      <c r="I27" s="189"/>
      <c r="J27" s="189"/>
      <c r="K27" s="337"/>
      <c r="L27" s="337"/>
      <c r="M27" s="330"/>
      <c r="N27" s="189"/>
    </row>
    <row r="28" spans="1:14" ht="22.5" x14ac:dyDescent="0.2">
      <c r="A28" s="189"/>
      <c r="B28" s="328"/>
      <c r="D28" s="189"/>
      <c r="E28" s="403" t="s">
        <v>747</v>
      </c>
      <c r="F28" s="189"/>
      <c r="G28" s="189"/>
      <c r="H28" s="189"/>
      <c r="I28" s="189"/>
      <c r="J28" s="189"/>
      <c r="K28" s="337"/>
      <c r="L28" s="337"/>
      <c r="M28" s="330"/>
      <c r="N28" s="189"/>
    </row>
    <row r="29" spans="1:14" ht="23.25" thickBot="1" x14ac:dyDescent="0.25">
      <c r="A29" s="189"/>
      <c r="B29" s="328"/>
      <c r="C29" s="440"/>
      <c r="D29" s="189"/>
      <c r="E29" s="189"/>
      <c r="F29" s="189"/>
      <c r="G29" s="189"/>
      <c r="H29" s="189"/>
      <c r="I29" s="189"/>
      <c r="J29" s="189"/>
      <c r="K29" s="337"/>
      <c r="L29" s="337"/>
      <c r="M29" s="330"/>
      <c r="N29" s="189"/>
    </row>
    <row r="30" spans="1:14" ht="27" customHeight="1" thickBot="1" x14ac:dyDescent="0.25">
      <c r="A30" s="189"/>
      <c r="B30" s="328"/>
      <c r="C30" s="189"/>
      <c r="D30" s="7"/>
      <c r="E30" s="347" t="s">
        <v>6</v>
      </c>
      <c r="F30" s="347" t="s">
        <v>7</v>
      </c>
      <c r="G30" s="347" t="s">
        <v>8</v>
      </c>
      <c r="H30" s="347" t="s">
        <v>9</v>
      </c>
      <c r="I30" s="347" t="s">
        <v>10</v>
      </c>
      <c r="J30" s="423"/>
      <c r="K30" s="159"/>
      <c r="L30" s="159"/>
      <c r="M30" s="330"/>
      <c r="N30" s="189"/>
    </row>
    <row r="31" spans="1:14" ht="23.25" thickBot="1" x14ac:dyDescent="0.3">
      <c r="A31" s="189"/>
      <c r="B31" s="328"/>
      <c r="C31" s="189"/>
      <c r="D31" s="348" t="s">
        <v>13</v>
      </c>
      <c r="E31" s="405" t="str">
        <f>IF($K$26="Q",SUMIF('Master Data'!$F$141:$F$292,$K$20,'Master Data'!$H$141:$H$292),"")</f>
        <v/>
      </c>
      <c r="F31" s="405" t="str">
        <f>IF($K$26="W",SUMIF('Master Data'!$F$141:$F$292,$K$20,'Master Data'!$M$141:$M$292),"")</f>
        <v/>
      </c>
      <c r="G31" s="405" t="str">
        <f>IF($K$26="E",SUMIF('Master Data'!$F$141:$F$292,$K$20,'Master Data'!$R$141:$R$292),"")</f>
        <v/>
      </c>
      <c r="H31" s="405" t="str">
        <f>IF($K$26="R",SUMIF('Master Data'!$F$141:$F$292,$K$20,'Master Data'!$W$141:$W$292),"")</f>
        <v/>
      </c>
      <c r="I31" s="405" t="str">
        <f>IF($K$26="T",SUMIF('Master Data'!$F$141:$F$292,$K$20,'Master Data'!$AB$141:$AB$292),"")</f>
        <v/>
      </c>
      <c r="J31" s="421"/>
      <c r="K31" s="159"/>
      <c r="L31" s="159"/>
      <c r="M31" s="330"/>
      <c r="N31" s="189"/>
    </row>
    <row r="32" spans="1:14" ht="23.25" thickBot="1" x14ac:dyDescent="0.3">
      <c r="A32" s="189"/>
      <c r="B32" s="328"/>
      <c r="C32" s="189"/>
      <c r="D32" s="348" t="s">
        <v>3</v>
      </c>
      <c r="E32" s="405" t="str">
        <f>IF($K$26="A",SUMIF('Master Data'!$F$141:$F$292,$K$20,'Master Data'!$I$141:$I$292),"")</f>
        <v/>
      </c>
      <c r="F32" s="405" t="str">
        <f>IF($K$26="S",SUMIF('Master Data'!$F$141:$F$292,$K$20,'Master Data'!$N$141:$N$292),"")</f>
        <v/>
      </c>
      <c r="G32" s="405" t="str">
        <f>IF($K$26="D",SUMIF('Master Data'!$F$141:$F$292,$K$20,'Master Data'!$S$141:$S$292),"")</f>
        <v/>
      </c>
      <c r="H32" s="405" t="str">
        <f>IF($K$26="F",SUMIF('Master Data'!$F$141:$F$292,$K$20,'Master Data'!$X$141:$X$292),"")</f>
        <v/>
      </c>
      <c r="I32" s="405" t="str">
        <f>IF($K$26="G",SUMIF('Master Data'!$F$141:$F$292,$K$20,'Master Data'!$AC$141:$AC$292),"")</f>
        <v/>
      </c>
      <c r="J32" s="421"/>
      <c r="K32" s="159"/>
      <c r="L32" s="159"/>
      <c r="M32" s="330"/>
      <c r="N32" s="189"/>
    </row>
    <row r="33" spans="1:14" ht="23.25" thickBot="1" x14ac:dyDescent="0.3">
      <c r="A33" s="189"/>
      <c r="B33" s="328"/>
      <c r="C33" s="189"/>
      <c r="D33" s="348" t="s">
        <v>14</v>
      </c>
      <c r="E33" s="405" t="str">
        <f>IF($K$26="C",SUMIF('Master Data'!$F$141:$F$292,$K$20,'Master Data'!$J$141:$J$292),"")</f>
        <v/>
      </c>
      <c r="F33" s="405" t="str">
        <f>IF($K$26="X",SUMIF('Master Data'!$F$141:$F$292,$K$20,'Master Data'!$O$141:$O$292),"")</f>
        <v/>
      </c>
      <c r="G33" s="405" t="str">
        <f>IF($K$26="V",SUMIF('Master Data'!$F$141:$F$292,$K$20,'Master Data'!$T$141:$T$292),"")</f>
        <v/>
      </c>
      <c r="H33" s="405" t="str">
        <f>IF($K$26="B",SUMIF('Master Data'!$F$141:$F$292,$K$20,'Master Data'!$Y$141:$Y$292),"")</f>
        <v/>
      </c>
      <c r="I33" s="405" t="str">
        <f>IF($K$26="N",SUMIF('Master Data'!$F$141:$F$292,$K$20,'Master Data'!$AD$141:$AD$292),"")</f>
        <v/>
      </c>
      <c r="J33" s="421"/>
      <c r="K33" s="159"/>
      <c r="L33" s="159"/>
      <c r="M33" s="330"/>
      <c r="N33" s="189"/>
    </row>
    <row r="34" spans="1:14" ht="23.25" thickBot="1" x14ac:dyDescent="0.3">
      <c r="A34" s="189"/>
      <c r="B34" s="328"/>
      <c r="C34" s="189"/>
      <c r="D34" s="348" t="s">
        <v>8</v>
      </c>
      <c r="E34" s="405" t="str">
        <f>IF($K$26="Y",SUMIF('Master Data'!$F$141:$F$292,$K$20,'Master Data'!$K$141:$K$292),"")</f>
        <v/>
      </c>
      <c r="F34" s="405" t="str">
        <f>IF($K$26="U",SUMIF('Master Data'!$F$141:$F$292,$K$20,'Master Data'!$P$141:$P$292),"")</f>
        <v/>
      </c>
      <c r="G34" s="405" t="str">
        <f>IF($K$26="I",SUMIF('Master Data'!$F$141:$F$292,$K$20,'Master Data'!$U$141:$U$292),"")</f>
        <v/>
      </c>
      <c r="H34" s="405" t="str">
        <f>IF($K$26="O",SUMIF('Master Data'!$F$141:$F$292,$K$20,'Master Data'!$Z$141:$Z$292),"")</f>
        <v/>
      </c>
      <c r="I34" s="405" t="str">
        <f>IF($K$26="P",SUMIF('Master Data'!$F$141:$F$292,$K$20,'Master Data'!$AE$141:$AE$292),"")</f>
        <v/>
      </c>
      <c r="J34" s="421"/>
      <c r="K34" s="159"/>
      <c r="L34" s="159"/>
      <c r="M34" s="330"/>
      <c r="N34" s="189"/>
    </row>
    <row r="35" spans="1:14" ht="23.25" thickBot="1" x14ac:dyDescent="0.3">
      <c r="A35" s="189"/>
      <c r="B35" s="328"/>
      <c r="C35" s="189"/>
      <c r="D35" s="348" t="s">
        <v>3</v>
      </c>
      <c r="E35" s="405" t="str">
        <f>IF($K$26="H",SUMIF('Master Data'!$F$141:$F$292,$K$20,'Master Data'!$L$141:$L$292),"")</f>
        <v/>
      </c>
      <c r="F35" s="642">
        <f>IF($K$26="J",SUMIF('Master Data'!$F$141:$F$292,$K$20,'Master Data'!$Q$141:$Q$292),"")</f>
        <v>9.0981182795698921</v>
      </c>
      <c r="G35" s="405" t="str">
        <f>IF($K$26="K",SUMIF('Master Data'!$F$141:$F$292,$K$20,'Master Data'!$V$141:$V$292),"")</f>
        <v/>
      </c>
      <c r="H35" s="405" t="str">
        <f>IF($K$26="L",SUMIF('Master Data'!$F$141:$F$292,$K$20,'Master Data'!$AA$141:$AA$292),"")</f>
        <v/>
      </c>
      <c r="I35" s="405" t="str">
        <f>IF($K$26="M",SUMIF('Master Data'!$F$141:$F$292,$K$20,'Master Data'!$AF$141:$AF$292),"")</f>
        <v/>
      </c>
      <c r="J35" s="421"/>
      <c r="K35" s="159"/>
      <c r="L35" s="159"/>
      <c r="M35" s="330"/>
      <c r="N35" s="189"/>
    </row>
    <row r="36" spans="1:14" ht="23.25" customHeight="1" thickBot="1" x14ac:dyDescent="0.25">
      <c r="A36" s="189"/>
      <c r="B36" s="328"/>
      <c r="C36" s="189"/>
      <c r="D36" s="53"/>
      <c r="E36" s="55"/>
      <c r="F36" s="55"/>
      <c r="G36" s="55"/>
      <c r="H36" s="55"/>
      <c r="I36" s="55"/>
      <c r="J36" s="56"/>
      <c r="K36" s="159"/>
      <c r="L36" s="159"/>
      <c r="M36" s="330"/>
      <c r="N36" s="189"/>
    </row>
    <row r="37" spans="1:14" thickBot="1" x14ac:dyDescent="0.25">
      <c r="A37" s="189"/>
      <c r="B37" s="328"/>
      <c r="C37" s="159"/>
      <c r="D37" s="160"/>
      <c r="E37" s="160"/>
      <c r="F37" s="160"/>
      <c r="G37" s="160"/>
      <c r="H37" s="160"/>
      <c r="I37" s="160"/>
      <c r="J37" s="160"/>
      <c r="K37" s="159"/>
      <c r="L37" s="159"/>
      <c r="M37" s="330"/>
      <c r="N37" s="189"/>
    </row>
    <row r="38" spans="1:14" ht="33" hidden="1" customHeight="1" thickBot="1" x14ac:dyDescent="0.25">
      <c r="A38" s="189"/>
      <c r="B38" s="328"/>
      <c r="C38" s="189"/>
      <c r="D38" s="407"/>
      <c r="E38" s="434" t="s">
        <v>6</v>
      </c>
      <c r="F38" s="434" t="s">
        <v>7</v>
      </c>
      <c r="G38" s="434" t="s">
        <v>8</v>
      </c>
      <c r="H38" s="434" t="s">
        <v>9</v>
      </c>
      <c r="I38" s="434" t="s">
        <v>10</v>
      </c>
      <c r="J38" s="408"/>
      <c r="K38" s="159"/>
      <c r="L38" s="159"/>
      <c r="M38" s="330"/>
      <c r="N38" s="189"/>
    </row>
    <row r="39" spans="1:14" ht="23.25" hidden="1" customHeight="1" x14ac:dyDescent="0.3">
      <c r="A39" s="189"/>
      <c r="B39" s="328"/>
      <c r="C39" s="189"/>
      <c r="D39" s="435" t="s">
        <v>13</v>
      </c>
      <c r="E39" s="425" t="s">
        <v>1</v>
      </c>
      <c r="F39" s="426" t="s">
        <v>2</v>
      </c>
      <c r="G39" s="426" t="s">
        <v>3</v>
      </c>
      <c r="H39" s="426" t="s">
        <v>4</v>
      </c>
      <c r="I39" s="427" t="s">
        <v>5</v>
      </c>
      <c r="J39" s="422"/>
      <c r="K39" s="159"/>
      <c r="L39" s="159"/>
      <c r="M39" s="330"/>
      <c r="N39" s="189"/>
    </row>
    <row r="40" spans="1:14" ht="23.25" hidden="1" customHeight="1" x14ac:dyDescent="0.3">
      <c r="A40" s="189"/>
      <c r="B40" s="328"/>
      <c r="C40" s="189"/>
      <c r="D40" s="435" t="s">
        <v>3</v>
      </c>
      <c r="E40" s="428" t="s">
        <v>14</v>
      </c>
      <c r="F40" s="429" t="s">
        <v>10</v>
      </c>
      <c r="G40" s="429" t="s">
        <v>16</v>
      </c>
      <c r="H40" s="429" t="s">
        <v>6</v>
      </c>
      <c r="I40" s="430" t="s">
        <v>17</v>
      </c>
      <c r="J40" s="422"/>
      <c r="K40" s="159"/>
      <c r="L40" s="159"/>
      <c r="M40" s="330"/>
      <c r="N40" s="189"/>
    </row>
    <row r="41" spans="1:14" ht="23.25" hidden="1" customHeight="1" x14ac:dyDescent="0.3">
      <c r="A41" s="189"/>
      <c r="B41" s="328"/>
      <c r="C41" s="189"/>
      <c r="D41" s="435" t="s">
        <v>14</v>
      </c>
      <c r="E41" s="428" t="s">
        <v>8</v>
      </c>
      <c r="F41" s="429" t="s">
        <v>18</v>
      </c>
      <c r="G41" s="429" t="s">
        <v>19</v>
      </c>
      <c r="H41" s="429" t="s">
        <v>20</v>
      </c>
      <c r="I41" s="430" t="s">
        <v>21</v>
      </c>
      <c r="J41" s="422"/>
      <c r="K41" s="159"/>
      <c r="L41" s="159"/>
      <c r="M41" s="330"/>
      <c r="N41" s="189"/>
    </row>
    <row r="42" spans="1:14" ht="23.25" hidden="1" customHeight="1" x14ac:dyDescent="0.3">
      <c r="A42" s="189"/>
      <c r="B42" s="328"/>
      <c r="C42" s="189"/>
      <c r="D42" s="435" t="s">
        <v>8</v>
      </c>
      <c r="E42" s="428" t="s">
        <v>22</v>
      </c>
      <c r="F42" s="429" t="s">
        <v>9</v>
      </c>
      <c r="G42" s="429" t="s">
        <v>23</v>
      </c>
      <c r="H42" s="429" t="s">
        <v>7</v>
      </c>
      <c r="I42" s="430" t="s">
        <v>13</v>
      </c>
      <c r="J42" s="422"/>
      <c r="K42" s="159"/>
      <c r="L42" s="159"/>
      <c r="M42" s="330"/>
      <c r="N42" s="189"/>
    </row>
    <row r="43" spans="1:14" ht="23.25" hidden="1" customHeight="1" thickBot="1" x14ac:dyDescent="0.35">
      <c r="A43" s="189"/>
      <c r="B43" s="328"/>
      <c r="C43" s="189"/>
      <c r="D43" s="435" t="s">
        <v>3</v>
      </c>
      <c r="E43" s="431" t="s">
        <v>24</v>
      </c>
      <c r="F43" s="432" t="s">
        <v>25</v>
      </c>
      <c r="G43" s="432" t="s">
        <v>26</v>
      </c>
      <c r="H43" s="432" t="s">
        <v>27</v>
      </c>
      <c r="I43" s="433" t="s">
        <v>28</v>
      </c>
      <c r="J43" s="422"/>
      <c r="K43" s="159"/>
      <c r="L43" s="159"/>
      <c r="M43" s="330"/>
      <c r="N43" s="189"/>
    </row>
    <row r="44" spans="1:14" ht="23.25" hidden="1" customHeight="1" thickBot="1" x14ac:dyDescent="0.25">
      <c r="A44" s="189"/>
      <c r="B44" s="328"/>
      <c r="C44" s="189"/>
      <c r="D44" s="409"/>
      <c r="E44" s="410"/>
      <c r="F44" s="410"/>
      <c r="G44" s="410"/>
      <c r="H44" s="410"/>
      <c r="I44" s="410"/>
      <c r="J44" s="410"/>
      <c r="K44" s="159"/>
      <c r="L44" s="159"/>
      <c r="M44" s="330"/>
      <c r="N44" s="189"/>
    </row>
    <row r="45" spans="1:14" hidden="1" x14ac:dyDescent="0.2">
      <c r="A45" s="189"/>
      <c r="B45" s="328"/>
      <c r="C45" s="189"/>
      <c r="D45" s="189"/>
      <c r="E45" s="189"/>
      <c r="F45" s="189"/>
      <c r="G45" s="189"/>
      <c r="H45" s="189"/>
      <c r="I45" s="189"/>
      <c r="J45" s="189"/>
      <c r="K45" s="329"/>
      <c r="L45" s="329"/>
      <c r="M45" s="330"/>
      <c r="N45" s="189"/>
    </row>
    <row r="46" spans="1:14" ht="15.75" hidden="1" thickBot="1" x14ac:dyDescent="0.25">
      <c r="A46" s="189"/>
      <c r="B46" s="328"/>
      <c r="C46" s="189"/>
      <c r="D46" s="189"/>
      <c r="E46" s="189"/>
      <c r="F46" s="189"/>
      <c r="G46" s="189"/>
      <c r="H46" s="189"/>
      <c r="I46" s="189"/>
      <c r="J46" s="189"/>
      <c r="K46" s="329"/>
      <c r="L46" s="329"/>
      <c r="M46" s="330"/>
      <c r="N46" s="189"/>
    </row>
    <row r="47" spans="1:14" ht="38.25" customHeight="1" thickBot="1" x14ac:dyDescent="0.25">
      <c r="A47" s="189"/>
      <c r="B47" s="775" t="s">
        <v>751</v>
      </c>
      <c r="C47" s="776"/>
      <c r="D47" s="776"/>
      <c r="E47" s="776"/>
      <c r="F47" s="776"/>
      <c r="G47" s="776"/>
      <c r="H47" s="776"/>
      <c r="I47" s="776"/>
      <c r="J47" s="776"/>
      <c r="K47" s="776"/>
      <c r="L47" s="776"/>
      <c r="M47" s="777"/>
      <c r="N47" s="189"/>
    </row>
    <row r="48" spans="1:14" ht="15.75" thickBot="1" x14ac:dyDescent="0.25">
      <c r="A48" s="189"/>
      <c r="B48" s="328"/>
      <c r="C48" s="189"/>
      <c r="D48" s="189"/>
      <c r="E48" s="189"/>
      <c r="F48" s="189"/>
      <c r="G48" s="189"/>
      <c r="H48" s="189"/>
      <c r="I48" s="189"/>
      <c r="J48" s="189"/>
      <c r="K48" s="329"/>
      <c r="L48" s="329"/>
      <c r="M48" s="330"/>
      <c r="N48" s="189"/>
    </row>
    <row r="49" spans="1:14" ht="18.75" thickBot="1" x14ac:dyDescent="0.3">
      <c r="A49" s="189"/>
      <c r="B49" s="328"/>
      <c r="C49" s="189"/>
      <c r="D49" s="762" t="s">
        <v>760</v>
      </c>
      <c r="E49" s="763"/>
      <c r="F49" s="763"/>
      <c r="G49" s="763"/>
      <c r="H49" s="764"/>
      <c r="I49" s="189"/>
      <c r="J49" s="189"/>
      <c r="K49" s="329"/>
      <c r="L49" s="329"/>
      <c r="M49" s="330"/>
      <c r="N49" s="189"/>
    </row>
    <row r="50" spans="1:14" ht="20.25" customHeight="1" thickBot="1" x14ac:dyDescent="0.3">
      <c r="A50" s="189"/>
      <c r="B50" s="328"/>
      <c r="C50" s="189"/>
      <c r="D50" s="772" t="s">
        <v>562</v>
      </c>
      <c r="E50" s="773"/>
      <c r="F50" s="774" t="s">
        <v>752</v>
      </c>
      <c r="G50" s="643" t="s">
        <v>8</v>
      </c>
      <c r="H50" s="618"/>
      <c r="I50" s="189"/>
      <c r="J50" s="189"/>
      <c r="K50" s="329"/>
      <c r="L50" s="329"/>
      <c r="M50" s="330"/>
      <c r="N50" s="189"/>
    </row>
    <row r="51" spans="1:14" ht="18" x14ac:dyDescent="0.25">
      <c r="A51" s="189"/>
      <c r="B51" s="328"/>
      <c r="C51" s="189"/>
      <c r="D51" s="772"/>
      <c r="E51" s="773"/>
      <c r="F51" s="774"/>
      <c r="G51" s="629" t="s">
        <v>588</v>
      </c>
      <c r="H51" s="618"/>
      <c r="I51" s="189"/>
      <c r="J51" s="189"/>
      <c r="K51" s="329"/>
      <c r="L51" s="329"/>
      <c r="M51" s="330"/>
      <c r="N51" s="189"/>
    </row>
    <row r="52" spans="1:14" ht="15.75" thickBot="1" x14ac:dyDescent="0.25">
      <c r="A52" s="189"/>
      <c r="B52" s="328"/>
      <c r="C52" s="189"/>
      <c r="D52" s="332"/>
      <c r="E52" s="333"/>
      <c r="F52" s="333"/>
      <c r="G52" s="333"/>
      <c r="H52" s="335"/>
      <c r="I52" s="189"/>
      <c r="J52" s="189"/>
      <c r="K52" s="329"/>
      <c r="L52" s="329"/>
      <c r="M52" s="330"/>
      <c r="N52" s="189"/>
    </row>
    <row r="53" spans="1:14" ht="15.75" thickBot="1" x14ac:dyDescent="0.25">
      <c r="A53" s="189"/>
      <c r="B53" s="328"/>
      <c r="C53" s="189"/>
      <c r="D53" s="189"/>
      <c r="E53" s="189"/>
      <c r="F53" s="189"/>
      <c r="G53" s="189"/>
      <c r="H53" s="189"/>
      <c r="I53" s="189"/>
      <c r="J53" s="189"/>
      <c r="K53" s="329"/>
      <c r="L53" s="329"/>
      <c r="M53" s="330"/>
      <c r="N53" s="189"/>
    </row>
    <row r="54" spans="1:14" ht="18" x14ac:dyDescent="0.25">
      <c r="A54" s="189"/>
      <c r="B54" s="328"/>
      <c r="C54" s="189"/>
      <c r="D54" s="189"/>
      <c r="E54" s="765" t="s">
        <v>8</v>
      </c>
      <c r="F54" s="766"/>
      <c r="G54" s="644">
        <f>K22</f>
        <v>12.652615788962985</v>
      </c>
      <c r="H54" s="189"/>
      <c r="I54" s="189"/>
      <c r="J54" s="189"/>
      <c r="K54" s="329"/>
      <c r="L54" s="329"/>
      <c r="M54" s="330"/>
      <c r="N54" s="189"/>
    </row>
    <row r="55" spans="1:14" ht="18" x14ac:dyDescent="0.25">
      <c r="A55" s="189"/>
      <c r="B55" s="328"/>
      <c r="C55" s="189"/>
      <c r="D55" s="189"/>
      <c r="E55" s="767" t="s">
        <v>583</v>
      </c>
      <c r="F55" s="768"/>
      <c r="G55" s="645">
        <f>'Pilot Formula Test'!M71</f>
        <v>1</v>
      </c>
      <c r="H55" s="189"/>
      <c r="I55" s="189"/>
      <c r="J55" s="189"/>
      <c r="K55" s="329"/>
      <c r="L55" s="329"/>
      <c r="M55" s="330"/>
      <c r="N55" s="189"/>
    </row>
    <row r="56" spans="1:14" ht="18.75" thickBot="1" x14ac:dyDescent="0.3">
      <c r="A56" s="189"/>
      <c r="B56" s="328"/>
      <c r="C56" s="189"/>
      <c r="D56" s="189"/>
      <c r="E56" s="769" t="s">
        <v>584</v>
      </c>
      <c r="F56" s="770"/>
      <c r="G56" s="646">
        <f>'Pilot Formula Test'!M89</f>
        <v>4.6280991735537194E-2</v>
      </c>
      <c r="H56" s="189"/>
      <c r="I56" s="189"/>
      <c r="J56" s="189"/>
      <c r="K56" s="329"/>
      <c r="L56" s="329"/>
      <c r="M56" s="330"/>
      <c r="N56" s="189"/>
    </row>
    <row r="57" spans="1:14" ht="18.75" thickBot="1" x14ac:dyDescent="0.3">
      <c r="A57" s="189"/>
      <c r="B57" s="328"/>
      <c r="C57" s="189"/>
      <c r="D57" s="189"/>
      <c r="E57" s="565"/>
      <c r="F57" s="565"/>
      <c r="G57" s="565"/>
      <c r="H57" s="189"/>
      <c r="I57" s="189"/>
      <c r="J57" s="189"/>
      <c r="K57" s="329"/>
      <c r="L57" s="329"/>
      <c r="M57" s="330"/>
      <c r="N57" s="189"/>
    </row>
    <row r="58" spans="1:14" ht="18.75" thickBot="1" x14ac:dyDescent="0.3">
      <c r="A58" s="189"/>
      <c r="B58" s="328"/>
      <c r="C58" s="189"/>
      <c r="D58" s="189"/>
      <c r="E58" s="762" t="s">
        <v>562</v>
      </c>
      <c r="F58" s="771"/>
      <c r="G58" s="641">
        <f>G54/(G55-G56)</f>
        <v>13.266607543020115</v>
      </c>
      <c r="H58" s="189"/>
      <c r="I58" s="189"/>
      <c r="J58" s="189"/>
      <c r="K58" s="329"/>
      <c r="L58" s="329"/>
      <c r="M58" s="330"/>
      <c r="N58" s="189"/>
    </row>
    <row r="59" spans="1:14" x14ac:dyDescent="0.2">
      <c r="A59" s="189"/>
      <c r="B59" s="328"/>
      <c r="C59" s="189"/>
      <c r="D59" s="189"/>
      <c r="E59" s="189"/>
      <c r="F59" s="189"/>
      <c r="G59" s="189"/>
      <c r="H59" s="189"/>
      <c r="I59" s="189"/>
      <c r="J59" s="189"/>
      <c r="K59" s="329"/>
      <c r="L59" s="329"/>
      <c r="M59" s="330"/>
      <c r="N59" s="189"/>
    </row>
    <row r="60" spans="1:14" ht="15.75" thickBot="1" x14ac:dyDescent="0.25">
      <c r="A60" s="189"/>
      <c r="B60" s="332"/>
      <c r="C60" s="333"/>
      <c r="D60" s="333"/>
      <c r="E60" s="333"/>
      <c r="F60" s="333"/>
      <c r="G60" s="333"/>
      <c r="H60" s="333"/>
      <c r="I60" s="333"/>
      <c r="J60" s="333"/>
      <c r="K60" s="334"/>
      <c r="L60" s="334"/>
      <c r="M60" s="335"/>
      <c r="N60" s="189"/>
    </row>
    <row r="61" spans="1:14" x14ac:dyDescent="0.2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329"/>
      <c r="L61" s="329"/>
      <c r="M61" s="189"/>
      <c r="N61" s="189"/>
    </row>
  </sheetData>
  <mergeCells count="12">
    <mergeCell ref="B10:M10"/>
    <mergeCell ref="B4:M4"/>
    <mergeCell ref="B24:M24"/>
    <mergeCell ref="B3:M3"/>
    <mergeCell ref="B47:M47"/>
    <mergeCell ref="D49:H49"/>
    <mergeCell ref="E54:F54"/>
    <mergeCell ref="E55:F55"/>
    <mergeCell ref="E56:F56"/>
    <mergeCell ref="E58:F58"/>
    <mergeCell ref="D50:E51"/>
    <mergeCell ref="F50:F51"/>
  </mergeCells>
  <pageMargins left="0.70866141732283472" right="0.11811023622047245" top="0" bottom="0" header="0.31496062992125984" footer="0.31496062992125984"/>
  <pageSetup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DEE6-ABF9-401F-8CC1-916FE21E9EA6}">
  <sheetPr>
    <tabColor rgb="FFFF00FF"/>
    <pageSetUpPr fitToPage="1"/>
  </sheetPr>
  <dimension ref="A1:K52"/>
  <sheetViews>
    <sheetView topLeftCell="A3" workbookViewId="0">
      <selection activeCell="J18" sqref="J18"/>
    </sheetView>
  </sheetViews>
  <sheetFormatPr defaultRowHeight="14.25" x14ac:dyDescent="0.2"/>
  <cols>
    <col min="2" max="2" width="11.75" customWidth="1"/>
    <col min="3" max="3" width="25.375" customWidth="1"/>
    <col min="5" max="5" width="9" style="158"/>
    <col min="7" max="7" width="10.25" customWidth="1"/>
    <col min="9" max="9" width="10.875" bestFit="1" customWidth="1"/>
    <col min="10" max="10" width="10" customWidth="1"/>
    <col min="11" max="11" width="3.5" customWidth="1"/>
    <col min="20" max="20" width="5.5" customWidth="1"/>
  </cols>
  <sheetData>
    <row r="1" spans="1:11" ht="19.5" x14ac:dyDescent="0.25">
      <c r="A1" s="375" t="s">
        <v>784</v>
      </c>
      <c r="B1" s="189"/>
      <c r="C1" s="189"/>
      <c r="D1" s="189"/>
      <c r="E1" s="376"/>
      <c r="F1" s="189"/>
      <c r="G1" s="189"/>
      <c r="H1" s="189"/>
      <c r="I1" s="189"/>
      <c r="J1" s="189"/>
      <c r="K1" s="189"/>
    </row>
    <row r="2" spans="1:11" x14ac:dyDescent="0.2">
      <c r="A2" s="189"/>
      <c r="B2" s="189"/>
      <c r="C2" s="189"/>
      <c r="D2" s="189"/>
      <c r="E2" s="376"/>
      <c r="F2" s="189"/>
      <c r="G2" s="189"/>
      <c r="H2" s="189"/>
      <c r="I2" s="189"/>
      <c r="J2" s="189"/>
      <c r="K2" s="189"/>
    </row>
    <row r="3" spans="1:11" ht="15" thickBot="1" x14ac:dyDescent="0.25">
      <c r="A3" s="189"/>
      <c r="B3" s="189"/>
      <c r="C3" s="189"/>
      <c r="D3" s="189"/>
      <c r="E3" s="376"/>
      <c r="F3" s="189"/>
      <c r="G3" s="189"/>
      <c r="H3" s="189"/>
      <c r="I3" s="189"/>
      <c r="J3" s="189"/>
      <c r="K3" s="189"/>
    </row>
    <row r="4" spans="1:11" ht="18.75" thickBot="1" x14ac:dyDescent="0.25">
      <c r="A4" s="189"/>
      <c r="B4" s="189"/>
      <c r="C4" s="189"/>
      <c r="D4" s="58"/>
      <c r="E4" s="350" t="s">
        <v>6</v>
      </c>
      <c r="F4" s="350" t="s">
        <v>7</v>
      </c>
      <c r="G4" s="350" t="s">
        <v>8</v>
      </c>
      <c r="H4" s="350" t="s">
        <v>9</v>
      </c>
      <c r="I4" s="350" t="s">
        <v>10</v>
      </c>
      <c r="J4" s="349"/>
      <c r="K4" s="189"/>
    </row>
    <row r="5" spans="1:11" ht="18" x14ac:dyDescent="0.25">
      <c r="A5" s="189"/>
      <c r="B5" s="189"/>
      <c r="C5" s="189"/>
      <c r="D5" s="351" t="s">
        <v>13</v>
      </c>
      <c r="E5" s="338" t="s">
        <v>1</v>
      </c>
      <c r="F5" s="339" t="s">
        <v>2</v>
      </c>
      <c r="G5" s="339" t="s">
        <v>3</v>
      </c>
      <c r="H5" s="339" t="s">
        <v>4</v>
      </c>
      <c r="I5" s="344" t="s">
        <v>5</v>
      </c>
      <c r="J5" s="65"/>
      <c r="K5" s="189"/>
    </row>
    <row r="6" spans="1:11" ht="18" x14ac:dyDescent="0.25">
      <c r="A6" s="189"/>
      <c r="B6" s="189"/>
      <c r="C6" s="189"/>
      <c r="D6" s="351" t="s">
        <v>3</v>
      </c>
      <c r="E6" s="340" t="s">
        <v>14</v>
      </c>
      <c r="F6" s="341" t="s">
        <v>10</v>
      </c>
      <c r="G6" s="341" t="s">
        <v>16</v>
      </c>
      <c r="H6" s="341" t="s">
        <v>6</v>
      </c>
      <c r="I6" s="345" t="s">
        <v>17</v>
      </c>
      <c r="J6" s="65"/>
      <c r="K6" s="189"/>
    </row>
    <row r="7" spans="1:11" ht="18" x14ac:dyDescent="0.25">
      <c r="A7" s="189"/>
      <c r="B7" s="189"/>
      <c r="C7" s="189"/>
      <c r="D7" s="351" t="s">
        <v>14</v>
      </c>
      <c r="E7" s="340" t="s">
        <v>8</v>
      </c>
      <c r="F7" s="341" t="s">
        <v>18</v>
      </c>
      <c r="G7" s="341" t="s">
        <v>19</v>
      </c>
      <c r="H7" s="341" t="s">
        <v>20</v>
      </c>
      <c r="I7" s="345" t="s">
        <v>21</v>
      </c>
      <c r="J7" s="65"/>
      <c r="K7" s="189"/>
    </row>
    <row r="8" spans="1:11" ht="18" x14ac:dyDescent="0.25">
      <c r="A8" s="189"/>
      <c r="B8" s="189"/>
      <c r="C8" s="189"/>
      <c r="D8" s="351" t="s">
        <v>8</v>
      </c>
      <c r="E8" s="340" t="s">
        <v>22</v>
      </c>
      <c r="F8" s="341" t="s">
        <v>9</v>
      </c>
      <c r="G8" s="341" t="s">
        <v>23</v>
      </c>
      <c r="H8" s="341" t="s">
        <v>7</v>
      </c>
      <c r="I8" s="345" t="s">
        <v>13</v>
      </c>
      <c r="J8" s="65"/>
      <c r="K8" s="189"/>
    </row>
    <row r="9" spans="1:11" ht="18.75" thickBot="1" x14ac:dyDescent="0.3">
      <c r="A9" s="189"/>
      <c r="B9" s="189"/>
      <c r="C9" s="189"/>
      <c r="D9" s="351" t="s">
        <v>3</v>
      </c>
      <c r="E9" s="342" t="s">
        <v>24</v>
      </c>
      <c r="F9" s="343" t="s">
        <v>25</v>
      </c>
      <c r="G9" s="343" t="s">
        <v>26</v>
      </c>
      <c r="H9" s="343" t="s">
        <v>27</v>
      </c>
      <c r="I9" s="346" t="s">
        <v>28</v>
      </c>
      <c r="J9" s="65"/>
      <c r="K9" s="189"/>
    </row>
    <row r="10" spans="1:11" ht="15" thickBot="1" x14ac:dyDescent="0.25">
      <c r="A10" s="189"/>
      <c r="B10" s="189"/>
      <c r="C10" s="189"/>
      <c r="D10" s="73"/>
      <c r="E10" s="74"/>
      <c r="F10" s="74"/>
      <c r="G10" s="74"/>
      <c r="H10" s="74"/>
      <c r="I10" s="74"/>
      <c r="J10" s="75"/>
      <c r="K10" s="189"/>
    </row>
    <row r="11" spans="1:11" ht="15" thickBot="1" x14ac:dyDescent="0.25">
      <c r="A11" s="189"/>
      <c r="B11" s="189"/>
      <c r="C11" s="189"/>
      <c r="D11" s="189"/>
      <c r="E11" s="376"/>
      <c r="F11" s="189"/>
      <c r="G11" s="189"/>
      <c r="H11" s="189"/>
      <c r="I11" s="189"/>
      <c r="J11" s="189"/>
      <c r="K11" s="189"/>
    </row>
    <row r="12" spans="1:11" ht="33" customHeight="1" thickBot="1" x14ac:dyDescent="0.25">
      <c r="A12" s="189"/>
      <c r="B12" s="653" t="s">
        <v>551</v>
      </c>
      <c r="C12" s="653" t="s">
        <v>552</v>
      </c>
      <c r="D12" s="653" t="s">
        <v>563</v>
      </c>
      <c r="E12" s="784" t="s">
        <v>553</v>
      </c>
      <c r="F12" s="785"/>
      <c r="G12" s="785"/>
      <c r="H12" s="785"/>
      <c r="I12" s="785"/>
      <c r="J12" s="786"/>
      <c r="K12" s="189"/>
    </row>
    <row r="13" spans="1:11" ht="36" customHeight="1" x14ac:dyDescent="0.2">
      <c r="A13" s="189"/>
      <c r="B13" s="366"/>
      <c r="C13" s="367"/>
      <c r="D13" s="787" t="s">
        <v>562</v>
      </c>
      <c r="E13" s="789" t="s">
        <v>783</v>
      </c>
      <c r="F13" s="573" t="s">
        <v>559</v>
      </c>
      <c r="G13" s="573" t="s">
        <v>556</v>
      </c>
      <c r="H13" s="573" t="s">
        <v>554</v>
      </c>
      <c r="I13" s="573" t="s">
        <v>35</v>
      </c>
      <c r="J13" s="617" t="s">
        <v>561</v>
      </c>
      <c r="K13" s="189"/>
    </row>
    <row r="14" spans="1:11" ht="42.75" x14ac:dyDescent="0.2">
      <c r="A14" s="189"/>
      <c r="B14" s="366"/>
      <c r="C14" s="367"/>
      <c r="D14" s="788"/>
      <c r="E14" s="790"/>
      <c r="F14" s="574" t="s">
        <v>691</v>
      </c>
      <c r="G14" s="574" t="s">
        <v>692</v>
      </c>
      <c r="H14" s="574" t="s">
        <v>577</v>
      </c>
      <c r="I14" s="574" t="s">
        <v>693</v>
      </c>
      <c r="J14" s="655" t="s">
        <v>649</v>
      </c>
      <c r="K14" s="189"/>
    </row>
    <row r="15" spans="1:11" ht="27.75" customHeight="1" thickBot="1" x14ac:dyDescent="0.25">
      <c r="A15" s="189"/>
      <c r="B15" s="366"/>
      <c r="C15" s="367"/>
      <c r="D15" s="788"/>
      <c r="E15" s="790"/>
      <c r="F15" s="374" t="s">
        <v>560</v>
      </c>
      <c r="G15" s="374" t="s">
        <v>557</v>
      </c>
      <c r="H15" s="374" t="s">
        <v>555</v>
      </c>
      <c r="I15" s="374" t="s">
        <v>558</v>
      </c>
      <c r="J15" s="654"/>
      <c r="K15" s="189"/>
    </row>
    <row r="16" spans="1:11" ht="57.75" thickBot="1" x14ac:dyDescent="0.25">
      <c r="A16" s="189"/>
      <c r="B16" s="373">
        <v>45545</v>
      </c>
      <c r="C16" s="370" t="s">
        <v>572</v>
      </c>
      <c r="D16" s="361"/>
      <c r="E16" s="362"/>
      <c r="F16" s="361"/>
      <c r="G16" s="361"/>
      <c r="H16" s="361"/>
      <c r="I16" s="361"/>
      <c r="J16" s="363"/>
      <c r="K16" s="189"/>
    </row>
    <row r="17" spans="1:11" x14ac:dyDescent="0.2">
      <c r="A17" s="189"/>
      <c r="B17" s="366"/>
      <c r="C17" s="367"/>
      <c r="D17" s="254">
        <v>25</v>
      </c>
      <c r="E17" s="254" t="s">
        <v>317</v>
      </c>
      <c r="F17" s="254">
        <v>8</v>
      </c>
      <c r="G17" s="254">
        <v>1</v>
      </c>
      <c r="H17" s="254">
        <v>1</v>
      </c>
      <c r="I17" s="254" t="s">
        <v>23</v>
      </c>
      <c r="J17" s="369">
        <v>1</v>
      </c>
      <c r="K17" s="189"/>
    </row>
    <row r="18" spans="1:11" ht="15" thickBot="1" x14ac:dyDescent="0.25">
      <c r="A18" s="189"/>
      <c r="B18" s="366"/>
      <c r="C18" s="367"/>
      <c r="D18" s="371">
        <v>28</v>
      </c>
      <c r="E18" s="254" t="s">
        <v>289</v>
      </c>
      <c r="F18" s="254">
        <v>6</v>
      </c>
      <c r="G18" s="254">
        <v>2</v>
      </c>
      <c r="H18" s="254">
        <v>2</v>
      </c>
      <c r="I18" s="254" t="s">
        <v>25</v>
      </c>
      <c r="J18" s="369">
        <v>1</v>
      </c>
      <c r="K18" s="376"/>
    </row>
    <row r="19" spans="1:11" ht="15" thickBot="1" x14ac:dyDescent="0.25">
      <c r="A19" s="189"/>
      <c r="B19" s="368"/>
      <c r="C19" s="297" t="s">
        <v>564</v>
      </c>
      <c r="D19" s="372">
        <f>SUM(D17:D18)</f>
        <v>53</v>
      </c>
      <c r="E19" s="364"/>
      <c r="F19" s="364"/>
      <c r="G19" s="364"/>
      <c r="H19" s="364"/>
      <c r="I19" s="364"/>
      <c r="J19" s="365"/>
      <c r="K19" s="376"/>
    </row>
    <row r="20" spans="1:11" x14ac:dyDescent="0.2">
      <c r="A20" s="189"/>
      <c r="B20" s="189"/>
      <c r="C20" s="189"/>
      <c r="D20" s="376"/>
      <c r="E20" s="376"/>
      <c r="F20" s="376"/>
      <c r="G20" s="376"/>
      <c r="H20" s="376"/>
      <c r="I20" s="376"/>
      <c r="J20" s="376"/>
      <c r="K20" s="376"/>
    </row>
    <row r="21" spans="1:11" x14ac:dyDescent="0.2">
      <c r="D21" s="158"/>
      <c r="F21" s="158"/>
      <c r="G21" s="158"/>
      <c r="H21" s="158"/>
      <c r="I21" s="158"/>
      <c r="J21" s="158"/>
      <c r="K21" s="158"/>
    </row>
    <row r="22" spans="1:11" x14ac:dyDescent="0.2">
      <c r="D22" s="158"/>
      <c r="E22" s="158" t="s">
        <v>785</v>
      </c>
      <c r="F22" s="158" t="s">
        <v>787</v>
      </c>
      <c r="G22" s="158" t="s">
        <v>789</v>
      </c>
      <c r="H22" s="158"/>
      <c r="I22" s="158"/>
      <c r="J22" s="158"/>
      <c r="K22" s="158"/>
    </row>
    <row r="23" spans="1:11" x14ac:dyDescent="0.2">
      <c r="D23" s="158"/>
      <c r="E23" s="158" t="s">
        <v>786</v>
      </c>
      <c r="F23" s="656" t="s">
        <v>788</v>
      </c>
      <c r="G23" s="158" t="s">
        <v>795</v>
      </c>
      <c r="H23" s="158"/>
      <c r="I23" s="158"/>
      <c r="J23" s="158"/>
      <c r="K23" s="158"/>
    </row>
    <row r="24" spans="1:11" x14ac:dyDescent="0.2">
      <c r="D24" s="158"/>
      <c r="F24" s="158"/>
      <c r="G24" s="158"/>
      <c r="H24" s="158"/>
      <c r="I24" s="158"/>
      <c r="J24" s="158"/>
      <c r="K24" s="158"/>
    </row>
    <row r="25" spans="1:11" x14ac:dyDescent="0.2">
      <c r="D25" s="158" t="s">
        <v>693</v>
      </c>
      <c r="E25" s="158" t="s">
        <v>10</v>
      </c>
      <c r="F25" s="158">
        <v>4</v>
      </c>
      <c r="G25" s="158" t="s">
        <v>791</v>
      </c>
      <c r="H25" s="158"/>
      <c r="I25" s="158"/>
      <c r="J25" s="158"/>
      <c r="K25" s="158"/>
    </row>
    <row r="26" spans="1:11" x14ac:dyDescent="0.2">
      <c r="D26" s="158"/>
      <c r="F26" s="158"/>
      <c r="G26" s="158"/>
      <c r="H26" s="158"/>
      <c r="I26" s="158"/>
      <c r="J26" s="158"/>
      <c r="K26" s="158"/>
    </row>
    <row r="27" spans="1:11" x14ac:dyDescent="0.2">
      <c r="D27" s="158"/>
      <c r="F27" s="158"/>
      <c r="G27" s="158"/>
      <c r="H27" s="158"/>
      <c r="I27" s="158"/>
      <c r="J27" s="158"/>
      <c r="K27" s="158"/>
    </row>
    <row r="28" spans="1:11" x14ac:dyDescent="0.2">
      <c r="D28" s="158"/>
      <c r="F28" s="158"/>
      <c r="G28" s="158"/>
      <c r="H28" s="158"/>
      <c r="I28" s="158"/>
      <c r="J28" s="158"/>
      <c r="K28" s="158"/>
    </row>
    <row r="29" spans="1:11" x14ac:dyDescent="0.2">
      <c r="D29" s="158"/>
      <c r="F29" s="158"/>
      <c r="G29" s="657" t="s">
        <v>30</v>
      </c>
      <c r="H29" s="158" t="s">
        <v>790</v>
      </c>
      <c r="I29" s="158"/>
      <c r="J29" s="158"/>
      <c r="K29" s="158"/>
    </row>
    <row r="30" spans="1:11" x14ac:dyDescent="0.2">
      <c r="D30" s="158"/>
      <c r="F30" s="158"/>
      <c r="G30" s="658" t="s">
        <v>31</v>
      </c>
      <c r="H30" s="158" t="s">
        <v>791</v>
      </c>
      <c r="I30" s="158"/>
      <c r="J30" s="158"/>
      <c r="K30" s="158"/>
    </row>
    <row r="31" spans="1:11" x14ac:dyDescent="0.2">
      <c r="D31" s="158"/>
      <c r="F31" s="158"/>
      <c r="G31" s="659" t="s">
        <v>33</v>
      </c>
      <c r="H31" s="158" t="s">
        <v>792</v>
      </c>
      <c r="I31" s="158"/>
      <c r="J31" s="158"/>
      <c r="K31" s="158"/>
    </row>
    <row r="32" spans="1:11" x14ac:dyDescent="0.2">
      <c r="D32" s="158"/>
      <c r="F32" s="158"/>
      <c r="G32" s="660" t="s">
        <v>32</v>
      </c>
      <c r="H32" s="158" t="s">
        <v>793</v>
      </c>
      <c r="I32" s="158"/>
      <c r="J32" s="158"/>
      <c r="K32" s="158"/>
    </row>
    <row r="33" spans="4:11" x14ac:dyDescent="0.2">
      <c r="D33" s="158"/>
      <c r="F33" s="158"/>
      <c r="G33" s="661" t="s">
        <v>34</v>
      </c>
      <c r="H33" s="158" t="s">
        <v>794</v>
      </c>
      <c r="I33" s="158"/>
      <c r="J33" s="158"/>
      <c r="K33" s="158"/>
    </row>
    <row r="34" spans="4:11" x14ac:dyDescent="0.2">
      <c r="D34" s="158"/>
      <c r="F34" s="158"/>
      <c r="G34" s="158"/>
      <c r="H34" s="158"/>
      <c r="I34" s="158"/>
      <c r="J34" s="158"/>
      <c r="K34" s="158"/>
    </row>
    <row r="35" spans="4:11" x14ac:dyDescent="0.2">
      <c r="D35" s="158"/>
      <c r="F35" s="158"/>
      <c r="G35" s="158"/>
      <c r="H35" s="158"/>
      <c r="I35" s="158"/>
      <c r="J35" s="158"/>
      <c r="K35" s="158"/>
    </row>
    <row r="36" spans="4:11" x14ac:dyDescent="0.2">
      <c r="D36" s="158"/>
      <c r="F36" s="158"/>
      <c r="G36" s="158"/>
      <c r="H36" s="158"/>
      <c r="I36" s="158"/>
      <c r="J36" s="158"/>
      <c r="K36" s="158"/>
    </row>
    <row r="37" spans="4:11" x14ac:dyDescent="0.2">
      <c r="D37" s="158"/>
      <c r="F37" s="158"/>
      <c r="G37" s="158"/>
      <c r="H37" s="158"/>
      <c r="I37" s="158"/>
      <c r="J37" s="158"/>
      <c r="K37" s="158"/>
    </row>
    <row r="38" spans="4:11" x14ac:dyDescent="0.2">
      <c r="D38" s="158"/>
      <c r="F38" s="158"/>
      <c r="G38" s="158"/>
      <c r="H38" s="158"/>
      <c r="I38" s="158"/>
      <c r="J38" s="158"/>
      <c r="K38" s="158"/>
    </row>
    <row r="39" spans="4:11" x14ac:dyDescent="0.2">
      <c r="D39" s="158"/>
      <c r="F39" s="158"/>
      <c r="G39" s="158"/>
      <c r="H39" s="158"/>
      <c r="I39" s="158"/>
      <c r="J39" s="158"/>
      <c r="K39" s="158"/>
    </row>
    <row r="40" spans="4:11" x14ac:dyDescent="0.2">
      <c r="D40" s="158"/>
      <c r="F40" s="158"/>
      <c r="G40" s="158"/>
      <c r="H40" s="158"/>
      <c r="I40" s="158"/>
      <c r="J40" s="158"/>
      <c r="K40" s="158"/>
    </row>
    <row r="41" spans="4:11" x14ac:dyDescent="0.2">
      <c r="D41" s="158"/>
      <c r="F41" s="158"/>
      <c r="G41" s="158"/>
      <c r="H41" s="158"/>
      <c r="I41" s="158"/>
      <c r="J41" s="158"/>
      <c r="K41" s="158"/>
    </row>
    <row r="42" spans="4:11" x14ac:dyDescent="0.2">
      <c r="D42" s="158"/>
      <c r="F42" s="158"/>
      <c r="G42" s="158"/>
      <c r="H42" s="158"/>
      <c r="I42" s="158"/>
      <c r="J42" s="158"/>
      <c r="K42" s="158"/>
    </row>
    <row r="43" spans="4:11" x14ac:dyDescent="0.2">
      <c r="D43" s="158"/>
      <c r="F43" s="158"/>
      <c r="G43" s="158"/>
      <c r="H43" s="158"/>
      <c r="I43" s="158"/>
      <c r="J43" s="158"/>
      <c r="K43" s="158"/>
    </row>
    <row r="44" spans="4:11" x14ac:dyDescent="0.2">
      <c r="D44" s="158"/>
      <c r="F44" s="158"/>
      <c r="G44" s="158"/>
      <c r="H44" s="158"/>
      <c r="I44" s="158"/>
      <c r="J44" s="158"/>
      <c r="K44" s="158"/>
    </row>
    <row r="45" spans="4:11" x14ac:dyDescent="0.2">
      <c r="D45" s="158"/>
      <c r="F45" s="158"/>
      <c r="G45" s="158"/>
      <c r="H45" s="158"/>
      <c r="I45" s="158"/>
      <c r="J45" s="158"/>
      <c r="K45" s="158"/>
    </row>
    <row r="46" spans="4:11" x14ac:dyDescent="0.2">
      <c r="D46" s="158"/>
      <c r="F46" s="158"/>
      <c r="G46" s="158"/>
      <c r="H46" s="158"/>
      <c r="I46" s="158"/>
      <c r="J46" s="158"/>
      <c r="K46" s="158"/>
    </row>
    <row r="47" spans="4:11" x14ac:dyDescent="0.2">
      <c r="D47" s="158"/>
      <c r="F47" s="158"/>
      <c r="G47" s="158"/>
      <c r="H47" s="158"/>
      <c r="I47" s="158"/>
      <c r="J47" s="158"/>
      <c r="K47" s="158"/>
    </row>
    <row r="48" spans="4:11" x14ac:dyDescent="0.2">
      <c r="D48" s="158"/>
      <c r="F48" s="158"/>
      <c r="G48" s="158"/>
      <c r="H48" s="158"/>
      <c r="I48" s="158"/>
      <c r="J48" s="158"/>
      <c r="K48" s="158"/>
    </row>
    <row r="49" spans="4:11" x14ac:dyDescent="0.2">
      <c r="D49" s="158"/>
      <c r="F49" s="158"/>
      <c r="G49" s="158"/>
      <c r="H49" s="158"/>
      <c r="I49" s="158"/>
      <c r="J49" s="158"/>
      <c r="K49" s="158"/>
    </row>
    <row r="50" spans="4:11" x14ac:dyDescent="0.2">
      <c r="D50" s="158"/>
      <c r="F50" s="158"/>
      <c r="G50" s="158"/>
      <c r="H50" s="158"/>
      <c r="I50" s="158"/>
      <c r="J50" s="158"/>
      <c r="K50" s="158"/>
    </row>
    <row r="51" spans="4:11" x14ac:dyDescent="0.2">
      <c r="D51" s="158"/>
      <c r="F51" s="158"/>
      <c r="G51" s="158"/>
      <c r="H51" s="158"/>
      <c r="I51" s="158"/>
      <c r="J51" s="158"/>
      <c r="K51" s="158"/>
    </row>
    <row r="52" spans="4:11" x14ac:dyDescent="0.2">
      <c r="D52" s="158"/>
      <c r="F52" s="158"/>
      <c r="G52" s="158"/>
      <c r="H52" s="158"/>
      <c r="I52" s="158"/>
      <c r="J52" s="158"/>
      <c r="K52" s="158"/>
    </row>
  </sheetData>
  <mergeCells count="3">
    <mergeCell ref="E12:J12"/>
    <mergeCell ref="D13:D15"/>
    <mergeCell ref="E13:E15"/>
  </mergeCells>
  <pageMargins left="0.70866141732283472" right="0.70866141732283472" top="0.74803149606299213" bottom="0.74803149606299213" header="0.31496062992125984" footer="0.31496062992125984"/>
  <pageSetup scale="9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53C0-D9C8-4D5D-B30B-6AD9B737D3CB}">
  <sheetPr>
    <tabColor rgb="FFFF00FF"/>
  </sheetPr>
  <dimension ref="B1:Y46"/>
  <sheetViews>
    <sheetView topLeftCell="C4" workbookViewId="0">
      <selection activeCell="U27" sqref="U27"/>
    </sheetView>
  </sheetViews>
  <sheetFormatPr defaultRowHeight="14.25" x14ac:dyDescent="0.2"/>
  <cols>
    <col min="2" max="2" width="12.875" customWidth="1"/>
    <col min="3" max="3" width="14.625" bestFit="1" customWidth="1"/>
    <col min="4" max="4" width="14.625" customWidth="1"/>
    <col min="5" max="5" width="15.25" customWidth="1"/>
    <col min="6" max="6" width="4.625" customWidth="1"/>
    <col min="8" max="8" width="12.375" bestFit="1" customWidth="1"/>
    <col min="9" max="9" width="3.125" customWidth="1"/>
    <col min="11" max="11" width="4.5" customWidth="1"/>
    <col min="12" max="12" width="3.25" customWidth="1"/>
    <col min="14" max="14" width="9.5" bestFit="1" customWidth="1"/>
    <col min="15" max="15" width="10.875" bestFit="1" customWidth="1"/>
    <col min="16" max="16" width="12.5" bestFit="1" customWidth="1"/>
    <col min="17" max="17" width="10" bestFit="1" customWidth="1"/>
    <col min="18" max="18" width="12.75" bestFit="1" customWidth="1"/>
    <col min="19" max="19" width="9.5" bestFit="1" customWidth="1"/>
    <col min="22" max="22" width="21.5" bestFit="1" customWidth="1"/>
  </cols>
  <sheetData>
    <row r="1" spans="2:25" x14ac:dyDescent="0.2">
      <c r="B1" s="141" t="s">
        <v>705</v>
      </c>
    </row>
    <row r="2" spans="2:25" x14ac:dyDescent="0.2">
      <c r="B2" s="141"/>
    </row>
    <row r="3" spans="2:25" x14ac:dyDescent="0.2">
      <c r="B3" s="141" t="s">
        <v>696</v>
      </c>
    </row>
    <row r="4" spans="2:25" x14ac:dyDescent="0.2">
      <c r="B4" t="s">
        <v>47</v>
      </c>
      <c r="C4" t="s">
        <v>702</v>
      </c>
    </row>
    <row r="5" spans="2:25" x14ac:dyDescent="0.2">
      <c r="B5" t="s">
        <v>47</v>
      </c>
      <c r="C5" t="s">
        <v>703</v>
      </c>
    </row>
    <row r="8" spans="2:25" ht="15" thickBot="1" x14ac:dyDescent="0.25"/>
    <row r="9" spans="2:25" ht="15" thickBot="1" x14ac:dyDescent="0.25">
      <c r="G9" s="597" t="s">
        <v>704</v>
      </c>
      <c r="H9" s="598"/>
      <c r="J9" s="599"/>
      <c r="K9" t="s">
        <v>706</v>
      </c>
    </row>
    <row r="10" spans="2:25" x14ac:dyDescent="0.2">
      <c r="G10" s="141"/>
      <c r="J10" s="141"/>
    </row>
    <row r="11" spans="2:25" x14ac:dyDescent="0.2">
      <c r="B11" s="141" t="s">
        <v>717</v>
      </c>
      <c r="D11" t="s">
        <v>736</v>
      </c>
      <c r="G11" s="141" t="s">
        <v>649</v>
      </c>
      <c r="J11" s="141"/>
      <c r="M11" s="141" t="s">
        <v>718</v>
      </c>
      <c r="N11" s="141" t="s">
        <v>738</v>
      </c>
      <c r="P11" t="s">
        <v>736</v>
      </c>
      <c r="U11" s="141" t="s">
        <v>729</v>
      </c>
      <c r="V11" s="141" t="s">
        <v>734</v>
      </c>
      <c r="W11" t="s">
        <v>591</v>
      </c>
    </row>
    <row r="12" spans="2:25" ht="15" thickBot="1" x14ac:dyDescent="0.25">
      <c r="E12" s="215" t="s">
        <v>731</v>
      </c>
    </row>
    <row r="13" spans="2:25" ht="39" customHeight="1" thickBot="1" x14ac:dyDescent="0.25">
      <c r="B13" s="794" t="s">
        <v>694</v>
      </c>
      <c r="C13" s="795"/>
      <c r="D13" s="787" t="s">
        <v>697</v>
      </c>
      <c r="E13" s="584" t="s">
        <v>698</v>
      </c>
      <c r="G13" s="791" t="s">
        <v>701</v>
      </c>
      <c r="H13" s="792"/>
      <c r="I13" s="792"/>
      <c r="J13" s="792"/>
      <c r="K13" s="793"/>
      <c r="M13" s="789" t="s">
        <v>50</v>
      </c>
      <c r="N13" s="799" t="s">
        <v>737</v>
      </c>
      <c r="O13" s="800"/>
      <c r="P13" s="800"/>
      <c r="Q13" s="800"/>
      <c r="R13" s="801"/>
      <c r="S13" s="789" t="s">
        <v>565</v>
      </c>
      <c r="U13" s="791" t="s">
        <v>733</v>
      </c>
      <c r="V13" s="792"/>
      <c r="W13" s="792"/>
      <c r="X13" s="792"/>
      <c r="Y13" s="793"/>
    </row>
    <row r="14" spans="2:25" ht="25.5" customHeight="1" thickBot="1" x14ac:dyDescent="0.25">
      <c r="B14" s="796"/>
      <c r="C14" s="797"/>
      <c r="D14" s="802"/>
      <c r="E14" s="585" t="s">
        <v>695</v>
      </c>
      <c r="G14" s="231"/>
      <c r="J14" s="177"/>
      <c r="K14" s="232"/>
      <c r="M14" s="798"/>
      <c r="N14" s="185" t="s">
        <v>30</v>
      </c>
      <c r="O14" s="186" t="s">
        <v>31</v>
      </c>
      <c r="P14" s="186" t="s">
        <v>32</v>
      </c>
      <c r="Q14" s="186" t="s">
        <v>33</v>
      </c>
      <c r="R14" s="187" t="s">
        <v>34</v>
      </c>
      <c r="S14" s="790"/>
      <c r="U14" s="328"/>
      <c r="V14" s="189"/>
      <c r="W14" s="189"/>
      <c r="X14" s="650"/>
      <c r="Y14" s="330"/>
    </row>
    <row r="15" spans="2:25" ht="15" x14ac:dyDescent="0.2">
      <c r="B15" s="576" t="s">
        <v>668</v>
      </c>
      <c r="C15" s="577" t="s">
        <v>656</v>
      </c>
      <c r="D15" s="589">
        <v>1</v>
      </c>
      <c r="E15" s="593">
        <f t="shared" ref="E15:E26" si="0">D15/$E$27</f>
        <v>8.2644628099173556E-2</v>
      </c>
      <c r="G15" s="357" t="s">
        <v>47</v>
      </c>
      <c r="H15" s="141" t="s">
        <v>568</v>
      </c>
      <c r="J15" s="183">
        <v>2</v>
      </c>
      <c r="K15" s="232"/>
      <c r="M15" s="377">
        <v>12</v>
      </c>
      <c r="N15" s="587">
        <v>0.12</v>
      </c>
      <c r="O15" s="586">
        <v>0.12</v>
      </c>
      <c r="P15" s="586">
        <v>0.12</v>
      </c>
      <c r="Q15" s="586">
        <v>0.12</v>
      </c>
      <c r="R15" s="588">
        <v>0.12</v>
      </c>
      <c r="S15" s="400">
        <f t="shared" ref="S15:S38" si="1">SUM(N15:R15)</f>
        <v>0.6</v>
      </c>
      <c r="U15" s="492" t="s">
        <v>47</v>
      </c>
      <c r="V15" s="188" t="s">
        <v>455</v>
      </c>
      <c r="W15" s="491">
        <v>1</v>
      </c>
      <c r="X15" s="189" t="s">
        <v>753</v>
      </c>
      <c r="Y15" s="330"/>
    </row>
    <row r="16" spans="2:25" ht="15" x14ac:dyDescent="0.2">
      <c r="B16" s="578" t="s">
        <v>669</v>
      </c>
      <c r="C16" s="579" t="s">
        <v>657</v>
      </c>
      <c r="D16" s="590">
        <v>2</v>
      </c>
      <c r="E16" s="594">
        <f t="shared" si="0"/>
        <v>0.16528925619834711</v>
      </c>
      <c r="G16" s="357" t="s">
        <v>47</v>
      </c>
      <c r="H16" s="141" t="s">
        <v>43</v>
      </c>
      <c r="J16" s="184">
        <v>1.5</v>
      </c>
      <c r="K16" s="232"/>
      <c r="M16" s="378">
        <v>11</v>
      </c>
      <c r="N16" s="179">
        <v>0.11</v>
      </c>
      <c r="O16" s="180">
        <v>0.11</v>
      </c>
      <c r="P16" s="180">
        <v>0.11</v>
      </c>
      <c r="Q16" s="180">
        <v>0.11</v>
      </c>
      <c r="R16" s="181">
        <v>0.11</v>
      </c>
      <c r="S16" s="400">
        <f t="shared" si="1"/>
        <v>0.55000000000000004</v>
      </c>
      <c r="U16" s="492" t="s">
        <v>47</v>
      </c>
      <c r="V16" s="188" t="s">
        <v>735</v>
      </c>
      <c r="W16" s="493">
        <v>1.1000000000000001</v>
      </c>
      <c r="X16" s="189" t="s">
        <v>754</v>
      </c>
      <c r="Y16" s="330"/>
    </row>
    <row r="17" spans="2:25" ht="15.75" thickBot="1" x14ac:dyDescent="0.25">
      <c r="B17" s="580" t="s">
        <v>670</v>
      </c>
      <c r="C17" s="581" t="s">
        <v>658</v>
      </c>
      <c r="D17" s="592">
        <v>3</v>
      </c>
      <c r="E17" s="647">
        <f t="shared" si="0"/>
        <v>0.24793388429752067</v>
      </c>
      <c r="G17" s="357" t="s">
        <v>47</v>
      </c>
      <c r="H17" s="141" t="s">
        <v>570</v>
      </c>
      <c r="J17" s="184">
        <v>1.2</v>
      </c>
      <c r="K17" s="232"/>
      <c r="M17" s="378">
        <v>10</v>
      </c>
      <c r="N17" s="179">
        <v>0.1</v>
      </c>
      <c r="O17" s="180">
        <v>0.1</v>
      </c>
      <c r="P17" s="180">
        <v>0.1</v>
      </c>
      <c r="Q17" s="180">
        <v>0.1</v>
      </c>
      <c r="R17" s="181">
        <v>0.1</v>
      </c>
      <c r="S17" s="400">
        <f t="shared" si="1"/>
        <v>0.5</v>
      </c>
      <c r="U17" s="492" t="s">
        <v>47</v>
      </c>
      <c r="V17" s="188" t="s">
        <v>745</v>
      </c>
      <c r="W17" s="497">
        <v>1.2</v>
      </c>
      <c r="X17" s="189" t="s">
        <v>755</v>
      </c>
      <c r="Y17" s="330"/>
    </row>
    <row r="18" spans="2:25" ht="15.75" thickBot="1" x14ac:dyDescent="0.25">
      <c r="B18" s="576" t="s">
        <v>671</v>
      </c>
      <c r="C18" s="577" t="s">
        <v>659</v>
      </c>
      <c r="D18" s="613">
        <v>4</v>
      </c>
      <c r="E18" s="593">
        <f t="shared" si="0"/>
        <v>0.33057851239669422</v>
      </c>
      <c r="G18" s="357" t="s">
        <v>47</v>
      </c>
      <c r="H18" s="141" t="s">
        <v>44</v>
      </c>
      <c r="J18" s="396">
        <v>1</v>
      </c>
      <c r="K18" s="232"/>
      <c r="M18" s="378">
        <v>9</v>
      </c>
      <c r="N18" s="179">
        <v>0.09</v>
      </c>
      <c r="O18" s="180">
        <v>0.09</v>
      </c>
      <c r="P18" s="180">
        <v>0.09</v>
      </c>
      <c r="Q18" s="180">
        <v>0.09</v>
      </c>
      <c r="R18" s="181">
        <v>0.09</v>
      </c>
      <c r="S18" s="400">
        <f t="shared" si="1"/>
        <v>0.44999999999999996</v>
      </c>
      <c r="U18" s="332"/>
      <c r="V18" s="333"/>
      <c r="W18" s="333"/>
      <c r="X18" s="333"/>
      <c r="Y18" s="335"/>
    </row>
    <row r="19" spans="2:25" ht="15" x14ac:dyDescent="0.2">
      <c r="B19" s="578" t="s">
        <v>672</v>
      </c>
      <c r="C19" s="579" t="s">
        <v>660</v>
      </c>
      <c r="D19" s="591">
        <v>5</v>
      </c>
      <c r="E19" s="594">
        <f t="shared" si="0"/>
        <v>0.41322314049586778</v>
      </c>
      <c r="G19" s="357" t="s">
        <v>47</v>
      </c>
      <c r="H19" s="141" t="s">
        <v>45</v>
      </c>
      <c r="J19" s="184">
        <v>0.9</v>
      </c>
      <c r="K19" s="232"/>
      <c r="M19" s="378">
        <v>8</v>
      </c>
      <c r="N19" s="179">
        <v>0.08</v>
      </c>
      <c r="O19" s="180">
        <v>0.08</v>
      </c>
      <c r="P19" s="180">
        <v>0.08</v>
      </c>
      <c r="Q19" s="180">
        <v>0.08</v>
      </c>
      <c r="R19" s="181">
        <v>0.08</v>
      </c>
      <c r="S19" s="400">
        <f t="shared" si="1"/>
        <v>0.4</v>
      </c>
    </row>
    <row r="20" spans="2:25" ht="15.75" thickBot="1" x14ac:dyDescent="0.25">
      <c r="B20" s="580" t="s">
        <v>673</v>
      </c>
      <c r="C20" s="581" t="s">
        <v>661</v>
      </c>
      <c r="D20" s="614">
        <v>6</v>
      </c>
      <c r="E20" s="595">
        <f t="shared" si="0"/>
        <v>0.49586776859504134</v>
      </c>
      <c r="G20" s="357" t="s">
        <v>47</v>
      </c>
      <c r="H20" s="141" t="s">
        <v>46</v>
      </c>
      <c r="J20" s="184">
        <v>0.5</v>
      </c>
      <c r="K20" s="232"/>
      <c r="M20" s="378">
        <v>7</v>
      </c>
      <c r="N20" s="179">
        <v>7.0000000000000007E-2</v>
      </c>
      <c r="O20" s="180">
        <v>7.0000000000000007E-2</v>
      </c>
      <c r="P20" s="180">
        <v>7.0000000000000007E-2</v>
      </c>
      <c r="Q20" s="180">
        <v>7.0000000000000007E-2</v>
      </c>
      <c r="R20" s="181">
        <v>7.0000000000000007E-2</v>
      </c>
      <c r="S20" s="400">
        <f t="shared" si="1"/>
        <v>0.35000000000000003</v>
      </c>
    </row>
    <row r="21" spans="2:25" ht="15" x14ac:dyDescent="0.2">
      <c r="B21" s="576" t="s">
        <v>674</v>
      </c>
      <c r="C21" s="577" t="s">
        <v>662</v>
      </c>
      <c r="D21" s="589">
        <v>7</v>
      </c>
      <c r="E21" s="648">
        <f t="shared" si="0"/>
        <v>0.57851239669421495</v>
      </c>
      <c r="G21" s="357" t="s">
        <v>47</v>
      </c>
      <c r="H21" s="141" t="s">
        <v>569</v>
      </c>
      <c r="J21" s="184">
        <v>0.1</v>
      </c>
      <c r="K21" s="232"/>
      <c r="M21" s="378">
        <v>6</v>
      </c>
      <c r="N21" s="179">
        <v>0.06</v>
      </c>
      <c r="O21" s="180">
        <v>0.06</v>
      </c>
      <c r="P21" s="180">
        <v>0.06</v>
      </c>
      <c r="Q21" s="180">
        <v>0.06</v>
      </c>
      <c r="R21" s="181">
        <v>0.06</v>
      </c>
      <c r="S21" s="400">
        <f t="shared" si="1"/>
        <v>0.3</v>
      </c>
    </row>
    <row r="22" spans="2:25" ht="15" x14ac:dyDescent="0.2">
      <c r="B22" s="578" t="s">
        <v>675</v>
      </c>
      <c r="C22" s="579" t="s">
        <v>663</v>
      </c>
      <c r="D22" s="590">
        <v>8</v>
      </c>
      <c r="E22" s="594">
        <f t="shared" si="0"/>
        <v>0.66115702479338845</v>
      </c>
      <c r="G22" s="357" t="s">
        <v>47</v>
      </c>
      <c r="H22" s="141" t="s">
        <v>571</v>
      </c>
      <c r="J22" s="399">
        <v>-0.5</v>
      </c>
      <c r="K22" s="232"/>
      <c r="M22" s="378">
        <v>5</v>
      </c>
      <c r="N22" s="179">
        <v>0.05</v>
      </c>
      <c r="O22" s="180">
        <v>0.05</v>
      </c>
      <c r="P22" s="180">
        <v>0.05</v>
      </c>
      <c r="Q22" s="180">
        <v>0.05</v>
      </c>
      <c r="R22" s="181">
        <v>0.05</v>
      </c>
      <c r="S22" s="400">
        <f t="shared" si="1"/>
        <v>0.25</v>
      </c>
    </row>
    <row r="23" spans="2:25" ht="15.75" thickBot="1" x14ac:dyDescent="0.25">
      <c r="B23" s="580" t="s">
        <v>676</v>
      </c>
      <c r="C23" s="581" t="s">
        <v>664</v>
      </c>
      <c r="D23" s="592">
        <v>9</v>
      </c>
      <c r="E23" s="594">
        <f t="shared" si="0"/>
        <v>0.74380165289256206</v>
      </c>
      <c r="G23" s="357" t="s">
        <v>47</v>
      </c>
      <c r="H23" s="141" t="s">
        <v>566</v>
      </c>
      <c r="J23" s="399">
        <v>-1</v>
      </c>
      <c r="K23" s="232"/>
      <c r="M23" s="378">
        <v>4</v>
      </c>
      <c r="N23" s="179">
        <v>0.04</v>
      </c>
      <c r="O23" s="180">
        <v>0.04</v>
      </c>
      <c r="P23" s="180">
        <v>0.04</v>
      </c>
      <c r="Q23" s="180">
        <v>0.04</v>
      </c>
      <c r="R23" s="181">
        <v>0.04</v>
      </c>
      <c r="S23" s="400">
        <f t="shared" si="1"/>
        <v>0.2</v>
      </c>
    </row>
    <row r="24" spans="2:25" ht="15.75" thickBot="1" x14ac:dyDescent="0.25">
      <c r="B24" s="576" t="s">
        <v>677</v>
      </c>
      <c r="C24" s="577" t="s">
        <v>665</v>
      </c>
      <c r="D24" s="613">
        <v>10</v>
      </c>
      <c r="E24" s="594">
        <f t="shared" si="0"/>
        <v>0.82644628099173556</v>
      </c>
      <c r="G24" s="357" t="s">
        <v>47</v>
      </c>
      <c r="H24" s="141" t="s">
        <v>567</v>
      </c>
      <c r="J24" s="398">
        <v>-2</v>
      </c>
      <c r="K24" s="232"/>
      <c r="M24" s="378">
        <v>3</v>
      </c>
      <c r="N24" s="179">
        <v>0.03</v>
      </c>
      <c r="O24" s="180">
        <v>0.03</v>
      </c>
      <c r="P24" s="180">
        <v>0.03</v>
      </c>
      <c r="Q24" s="180">
        <v>0.03</v>
      </c>
      <c r="R24" s="181">
        <v>0.03</v>
      </c>
      <c r="S24" s="400">
        <f t="shared" si="1"/>
        <v>0.15</v>
      </c>
    </row>
    <row r="25" spans="2:25" ht="15.75" thickBot="1" x14ac:dyDescent="0.25">
      <c r="B25" s="580" t="s">
        <v>678</v>
      </c>
      <c r="C25" s="581" t="s">
        <v>666</v>
      </c>
      <c r="D25" s="614">
        <v>11</v>
      </c>
      <c r="E25" s="594">
        <f t="shared" si="0"/>
        <v>0.90909090909090917</v>
      </c>
      <c r="G25" s="358"/>
      <c r="H25" s="359"/>
      <c r="I25" s="297"/>
      <c r="J25" s="298"/>
      <c r="K25" s="299"/>
      <c r="M25" s="378">
        <v>2</v>
      </c>
      <c r="N25" s="179">
        <v>0.02</v>
      </c>
      <c r="O25" s="180">
        <v>0.02</v>
      </c>
      <c r="P25" s="180">
        <v>0.02</v>
      </c>
      <c r="Q25" s="180">
        <v>0.02</v>
      </c>
      <c r="R25" s="181">
        <v>0.02</v>
      </c>
      <c r="S25" s="400">
        <f t="shared" si="1"/>
        <v>0.1</v>
      </c>
    </row>
    <row r="26" spans="2:25" ht="15" thickBot="1" x14ac:dyDescent="0.25">
      <c r="B26" s="582" t="s">
        <v>679</v>
      </c>
      <c r="C26" s="583" t="s">
        <v>667</v>
      </c>
      <c r="D26" s="615">
        <v>12</v>
      </c>
      <c r="E26" s="595">
        <f t="shared" si="0"/>
        <v>0.99173553719008267</v>
      </c>
      <c r="M26" s="606">
        <v>1</v>
      </c>
      <c r="N26" s="607">
        <v>0.01</v>
      </c>
      <c r="O26" s="608">
        <v>0.01</v>
      </c>
      <c r="P26" s="608">
        <v>0.01</v>
      </c>
      <c r="Q26" s="608">
        <v>0.01</v>
      </c>
      <c r="R26" s="609">
        <v>0.01</v>
      </c>
      <c r="S26" s="610">
        <f t="shared" si="1"/>
        <v>0.05</v>
      </c>
    </row>
    <row r="27" spans="2:25" ht="24" customHeight="1" thickBot="1" x14ac:dyDescent="0.25">
      <c r="B27" s="649" t="s">
        <v>732</v>
      </c>
      <c r="C27" s="611"/>
      <c r="D27" s="612"/>
      <c r="E27" s="596">
        <v>12.1</v>
      </c>
      <c r="M27" s="601">
        <v>-1</v>
      </c>
      <c r="N27" s="602">
        <f t="shared" ref="N27:R27" si="2">-N26</f>
        <v>-0.01</v>
      </c>
      <c r="O27" s="603">
        <f t="shared" si="2"/>
        <v>-0.01</v>
      </c>
      <c r="P27" s="603">
        <f t="shared" si="2"/>
        <v>-0.01</v>
      </c>
      <c r="Q27" s="603">
        <f t="shared" si="2"/>
        <v>-0.01</v>
      </c>
      <c r="R27" s="604">
        <f t="shared" si="2"/>
        <v>-0.01</v>
      </c>
      <c r="S27" s="605">
        <f t="shared" si="1"/>
        <v>-0.05</v>
      </c>
    </row>
    <row r="28" spans="2:25" x14ac:dyDescent="0.2">
      <c r="M28" s="388">
        <v>-2</v>
      </c>
      <c r="N28" s="389">
        <f t="shared" ref="N28:R28" si="3">-N25</f>
        <v>-0.02</v>
      </c>
      <c r="O28" s="390">
        <f t="shared" si="3"/>
        <v>-0.02</v>
      </c>
      <c r="P28" s="390">
        <f t="shared" si="3"/>
        <v>-0.02</v>
      </c>
      <c r="Q28" s="390">
        <f t="shared" si="3"/>
        <v>-0.02</v>
      </c>
      <c r="R28" s="391">
        <f t="shared" si="3"/>
        <v>-0.02</v>
      </c>
      <c r="S28" s="397">
        <f t="shared" si="1"/>
        <v>-0.1</v>
      </c>
    </row>
    <row r="29" spans="2:25" x14ac:dyDescent="0.2">
      <c r="B29" s="571" t="s">
        <v>707</v>
      </c>
      <c r="M29" s="388">
        <v>-3</v>
      </c>
      <c r="N29" s="389">
        <f t="shared" ref="N29:R29" si="4">-N24</f>
        <v>-0.03</v>
      </c>
      <c r="O29" s="390">
        <f t="shared" si="4"/>
        <v>-0.03</v>
      </c>
      <c r="P29" s="390">
        <f t="shared" si="4"/>
        <v>-0.03</v>
      </c>
      <c r="Q29" s="390">
        <f t="shared" si="4"/>
        <v>-0.03</v>
      </c>
      <c r="R29" s="391">
        <f t="shared" si="4"/>
        <v>-0.03</v>
      </c>
      <c r="S29" s="397">
        <f t="shared" si="1"/>
        <v>-0.15</v>
      </c>
    </row>
    <row r="30" spans="2:25" x14ac:dyDescent="0.2">
      <c r="B30" s="571" t="s">
        <v>47</v>
      </c>
      <c r="C30" t="s">
        <v>708</v>
      </c>
      <c r="D30" t="s">
        <v>709</v>
      </c>
      <c r="M30" s="388">
        <v>-4</v>
      </c>
      <c r="N30" s="389">
        <f t="shared" ref="N30:R30" si="5">-N23</f>
        <v>-0.04</v>
      </c>
      <c r="O30" s="390">
        <f t="shared" si="5"/>
        <v>-0.04</v>
      </c>
      <c r="P30" s="390">
        <f t="shared" si="5"/>
        <v>-0.04</v>
      </c>
      <c r="Q30" s="390">
        <f t="shared" si="5"/>
        <v>-0.04</v>
      </c>
      <c r="R30" s="391">
        <f t="shared" si="5"/>
        <v>-0.04</v>
      </c>
      <c r="S30" s="397">
        <f t="shared" si="1"/>
        <v>-0.2</v>
      </c>
    </row>
    <row r="31" spans="2:25" x14ac:dyDescent="0.2">
      <c r="M31" s="388">
        <v>-5</v>
      </c>
      <c r="N31" s="389">
        <f t="shared" ref="N31:R31" si="6">-N22</f>
        <v>-0.05</v>
      </c>
      <c r="O31" s="390">
        <f t="shared" si="6"/>
        <v>-0.05</v>
      </c>
      <c r="P31" s="390">
        <f t="shared" si="6"/>
        <v>-0.05</v>
      </c>
      <c r="Q31" s="390">
        <f t="shared" si="6"/>
        <v>-0.05</v>
      </c>
      <c r="R31" s="391">
        <f t="shared" si="6"/>
        <v>-0.05</v>
      </c>
      <c r="S31" s="397">
        <f t="shared" si="1"/>
        <v>-0.25</v>
      </c>
    </row>
    <row r="32" spans="2:25" x14ac:dyDescent="0.2">
      <c r="M32" s="388">
        <v>-6</v>
      </c>
      <c r="N32" s="389">
        <f t="shared" ref="N32:R32" si="7">-N21</f>
        <v>-0.06</v>
      </c>
      <c r="O32" s="390">
        <f t="shared" si="7"/>
        <v>-0.06</v>
      </c>
      <c r="P32" s="390">
        <f t="shared" si="7"/>
        <v>-0.06</v>
      </c>
      <c r="Q32" s="390">
        <f t="shared" si="7"/>
        <v>-0.06</v>
      </c>
      <c r="R32" s="391">
        <f t="shared" si="7"/>
        <v>-0.06</v>
      </c>
      <c r="S32" s="397">
        <f t="shared" si="1"/>
        <v>-0.3</v>
      </c>
    </row>
    <row r="33" spans="2:19" x14ac:dyDescent="0.2">
      <c r="M33" s="388">
        <v>-7</v>
      </c>
      <c r="N33" s="389">
        <f t="shared" ref="N33:R33" si="8">-N20</f>
        <v>-7.0000000000000007E-2</v>
      </c>
      <c r="O33" s="390">
        <f t="shared" si="8"/>
        <v>-7.0000000000000007E-2</v>
      </c>
      <c r="P33" s="390">
        <f t="shared" si="8"/>
        <v>-7.0000000000000007E-2</v>
      </c>
      <c r="Q33" s="390">
        <f t="shared" si="8"/>
        <v>-7.0000000000000007E-2</v>
      </c>
      <c r="R33" s="391">
        <f t="shared" si="8"/>
        <v>-7.0000000000000007E-2</v>
      </c>
      <c r="S33" s="397">
        <f t="shared" si="1"/>
        <v>-0.35000000000000003</v>
      </c>
    </row>
    <row r="34" spans="2:19" x14ac:dyDescent="0.2">
      <c r="M34" s="388">
        <v>-8</v>
      </c>
      <c r="N34" s="389">
        <f t="shared" ref="N34:R34" si="9">-N19</f>
        <v>-0.08</v>
      </c>
      <c r="O34" s="390">
        <f t="shared" si="9"/>
        <v>-0.08</v>
      </c>
      <c r="P34" s="390">
        <f t="shared" si="9"/>
        <v>-0.08</v>
      </c>
      <c r="Q34" s="390">
        <f t="shared" si="9"/>
        <v>-0.08</v>
      </c>
      <c r="R34" s="391">
        <f t="shared" si="9"/>
        <v>-0.08</v>
      </c>
      <c r="S34" s="397">
        <f t="shared" si="1"/>
        <v>-0.4</v>
      </c>
    </row>
    <row r="35" spans="2:19" x14ac:dyDescent="0.2">
      <c r="M35" s="388">
        <v>-9</v>
      </c>
      <c r="N35" s="389">
        <f t="shared" ref="N35:R35" si="10">-N18</f>
        <v>-0.09</v>
      </c>
      <c r="O35" s="390">
        <f t="shared" si="10"/>
        <v>-0.09</v>
      </c>
      <c r="P35" s="390">
        <f t="shared" si="10"/>
        <v>-0.09</v>
      </c>
      <c r="Q35" s="390">
        <f t="shared" si="10"/>
        <v>-0.09</v>
      </c>
      <c r="R35" s="391">
        <f t="shared" si="10"/>
        <v>-0.09</v>
      </c>
      <c r="S35" s="397">
        <f t="shared" si="1"/>
        <v>-0.44999999999999996</v>
      </c>
    </row>
    <row r="36" spans="2:19" x14ac:dyDescent="0.2">
      <c r="M36" s="388">
        <v>-10</v>
      </c>
      <c r="N36" s="389">
        <f t="shared" ref="N36:R36" si="11">-N17</f>
        <v>-0.1</v>
      </c>
      <c r="O36" s="390">
        <f t="shared" si="11"/>
        <v>-0.1</v>
      </c>
      <c r="P36" s="390">
        <f t="shared" si="11"/>
        <v>-0.1</v>
      </c>
      <c r="Q36" s="390">
        <f t="shared" si="11"/>
        <v>-0.1</v>
      </c>
      <c r="R36" s="391">
        <f t="shared" si="11"/>
        <v>-0.1</v>
      </c>
      <c r="S36" s="397">
        <f t="shared" si="1"/>
        <v>-0.5</v>
      </c>
    </row>
    <row r="37" spans="2:19" x14ac:dyDescent="0.2">
      <c r="M37" s="388">
        <v>-11</v>
      </c>
      <c r="N37" s="389">
        <f t="shared" ref="N37:R37" si="12">-N16</f>
        <v>-0.11</v>
      </c>
      <c r="O37" s="390">
        <f t="shared" si="12"/>
        <v>-0.11</v>
      </c>
      <c r="P37" s="390">
        <f t="shared" si="12"/>
        <v>-0.11</v>
      </c>
      <c r="Q37" s="390">
        <f t="shared" si="12"/>
        <v>-0.11</v>
      </c>
      <c r="R37" s="391">
        <f t="shared" si="12"/>
        <v>-0.11</v>
      </c>
      <c r="S37" s="397">
        <f t="shared" si="1"/>
        <v>-0.55000000000000004</v>
      </c>
    </row>
    <row r="38" spans="2:19" ht="15" thickBot="1" x14ac:dyDescent="0.25">
      <c r="M38" s="392">
        <v>-12</v>
      </c>
      <c r="N38" s="393">
        <f t="shared" ref="N38:R38" si="13">-N15</f>
        <v>-0.12</v>
      </c>
      <c r="O38" s="394">
        <f t="shared" si="13"/>
        <v>-0.12</v>
      </c>
      <c r="P38" s="394">
        <f t="shared" si="13"/>
        <v>-0.12</v>
      </c>
      <c r="Q38" s="394">
        <f t="shared" si="13"/>
        <v>-0.12</v>
      </c>
      <c r="R38" s="395">
        <f t="shared" si="13"/>
        <v>-0.12</v>
      </c>
      <c r="S38" s="401">
        <f t="shared" si="1"/>
        <v>-0.6</v>
      </c>
    </row>
    <row r="40" spans="2:19" x14ac:dyDescent="0.2">
      <c r="B40" s="141" t="s">
        <v>710</v>
      </c>
    </row>
    <row r="41" spans="2:19" ht="15" thickBot="1" x14ac:dyDescent="0.25">
      <c r="B41" t="s">
        <v>711</v>
      </c>
      <c r="N41" s="185" t="s">
        <v>30</v>
      </c>
      <c r="O41" s="186" t="s">
        <v>31</v>
      </c>
      <c r="P41" s="186" t="s">
        <v>32</v>
      </c>
      <c r="Q41" s="186" t="s">
        <v>33</v>
      </c>
      <c r="R41" s="187" t="s">
        <v>34</v>
      </c>
    </row>
    <row r="42" spans="2:19" x14ac:dyDescent="0.2">
      <c r="B42" t="s">
        <v>712</v>
      </c>
    </row>
    <row r="43" spans="2:19" x14ac:dyDescent="0.2">
      <c r="N43" t="s">
        <v>700</v>
      </c>
      <c r="O43" t="s">
        <v>699</v>
      </c>
    </row>
    <row r="44" spans="2:19" x14ac:dyDescent="0.2">
      <c r="B44" t="s">
        <v>713</v>
      </c>
    </row>
    <row r="46" spans="2:19" x14ac:dyDescent="0.2">
      <c r="B46" t="s">
        <v>714</v>
      </c>
      <c r="N46" s="575" t="s">
        <v>715</v>
      </c>
    </row>
  </sheetData>
  <mergeCells count="7">
    <mergeCell ref="U13:Y13"/>
    <mergeCell ref="B13:C14"/>
    <mergeCell ref="G13:K13"/>
    <mergeCell ref="M13:M14"/>
    <mergeCell ref="N13:R13"/>
    <mergeCell ref="S13:S14"/>
    <mergeCell ref="D13:D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250C-9E1C-4CD1-A251-1A3B3FF7FC0C}">
  <sheetPr>
    <tabColor rgb="FF92D050"/>
  </sheetPr>
  <dimension ref="A1:AG125"/>
  <sheetViews>
    <sheetView tabSelected="1" topLeftCell="H43" workbookViewId="0">
      <pane xSplit="10" ySplit="1" topLeftCell="V90" activePane="bottomRight" state="frozen"/>
      <selection activeCell="H43" sqref="H43"/>
      <selection pane="topRight" activeCell="R43" sqref="R43"/>
      <selection pane="bottomLeft" activeCell="H44" sqref="H44"/>
      <selection pane="bottomRight" activeCell="AH124" sqref="AH124"/>
    </sheetView>
  </sheetViews>
  <sheetFormatPr defaultRowHeight="14.25" x14ac:dyDescent="0.2"/>
  <cols>
    <col min="2" max="2" width="19.75" customWidth="1"/>
    <col min="10" max="10" width="10.75" customWidth="1"/>
    <col min="11" max="11" width="11.5" customWidth="1"/>
    <col min="18" max="18" width="17.25" bestFit="1" customWidth="1"/>
    <col min="21" max="21" width="12.25" bestFit="1" customWidth="1"/>
    <col min="22" max="22" width="16.75" bestFit="1" customWidth="1"/>
    <col min="23" max="23" width="10.375" bestFit="1" customWidth="1"/>
    <col min="24" max="31" width="9.375" bestFit="1" customWidth="1"/>
    <col min="32" max="32" width="10.25" bestFit="1" customWidth="1"/>
  </cols>
  <sheetData>
    <row r="1" spans="1:7" x14ac:dyDescent="0.2">
      <c r="A1" s="600"/>
      <c r="B1" s="228"/>
      <c r="C1" s="228"/>
      <c r="D1" s="228"/>
      <c r="E1" s="228"/>
      <c r="F1" s="228"/>
      <c r="G1" s="230"/>
    </row>
    <row r="2" spans="1:7" ht="15" thickBot="1" x14ac:dyDescent="0.25">
      <c r="A2" s="231"/>
      <c r="B2" s="515" t="s">
        <v>585</v>
      </c>
      <c r="C2" s="516" t="s">
        <v>8</v>
      </c>
      <c r="G2" s="232"/>
    </row>
    <row r="3" spans="1:7" x14ac:dyDescent="0.2">
      <c r="A3" s="231"/>
      <c r="B3" s="252"/>
      <c r="C3" s="215" t="s">
        <v>588</v>
      </c>
      <c r="G3" s="232"/>
    </row>
    <row r="4" spans="1:7" x14ac:dyDescent="0.2">
      <c r="A4" s="231"/>
      <c r="G4" s="232"/>
    </row>
    <row r="5" spans="1:7" x14ac:dyDescent="0.2">
      <c r="A5" s="231"/>
      <c r="G5" s="232"/>
    </row>
    <row r="6" spans="1:7" x14ac:dyDescent="0.2">
      <c r="A6" s="231"/>
      <c r="B6" s="148" t="s">
        <v>8</v>
      </c>
      <c r="C6" t="s">
        <v>599</v>
      </c>
      <c r="G6" s="232"/>
    </row>
    <row r="7" spans="1:7" x14ac:dyDescent="0.2">
      <c r="A7" s="231"/>
      <c r="B7" s="148"/>
      <c r="G7" s="232"/>
    </row>
    <row r="8" spans="1:7" x14ac:dyDescent="0.2">
      <c r="A8" s="231"/>
      <c r="B8" s="148" t="s">
        <v>583</v>
      </c>
      <c r="C8" t="s">
        <v>620</v>
      </c>
      <c r="G8" s="232"/>
    </row>
    <row r="9" spans="1:7" x14ac:dyDescent="0.2">
      <c r="A9" s="231"/>
      <c r="B9" s="148"/>
      <c r="G9" s="232"/>
    </row>
    <row r="10" spans="1:7" x14ac:dyDescent="0.2">
      <c r="A10" s="231"/>
      <c r="B10" s="148" t="s">
        <v>584</v>
      </c>
      <c r="C10" t="s">
        <v>621</v>
      </c>
      <c r="G10" s="232"/>
    </row>
    <row r="11" spans="1:7" x14ac:dyDescent="0.2">
      <c r="A11" s="231"/>
      <c r="G11" s="232"/>
    </row>
    <row r="12" spans="1:7" x14ac:dyDescent="0.2">
      <c r="A12" s="231"/>
      <c r="G12" s="232"/>
    </row>
    <row r="13" spans="1:7" x14ac:dyDescent="0.2">
      <c r="A13" s="231"/>
      <c r="G13" s="232"/>
    </row>
    <row r="14" spans="1:7" ht="15" thickBot="1" x14ac:dyDescent="0.25">
      <c r="A14" s="328"/>
      <c r="B14" s="189"/>
      <c r="C14" s="189"/>
      <c r="D14" s="189"/>
      <c r="E14" s="189"/>
      <c r="F14" s="189"/>
      <c r="G14" s="330"/>
    </row>
    <row r="15" spans="1:7" x14ac:dyDescent="0.2">
      <c r="A15" s="328"/>
      <c r="B15" s="517"/>
      <c r="C15" s="415"/>
      <c r="D15" s="415"/>
      <c r="E15" s="415"/>
      <c r="F15" s="417"/>
      <c r="G15" s="330"/>
    </row>
    <row r="16" spans="1:7" ht="18" x14ac:dyDescent="0.25">
      <c r="A16" s="328"/>
      <c r="B16" s="499"/>
      <c r="C16" s="568" t="s">
        <v>642</v>
      </c>
      <c r="D16" s="189"/>
      <c r="E16" s="189"/>
      <c r="F16" s="330"/>
      <c r="G16" s="330"/>
    </row>
    <row r="17" spans="1:7" ht="34.5" x14ac:dyDescent="0.45">
      <c r="A17" s="328"/>
      <c r="B17" s="492" t="s">
        <v>564</v>
      </c>
      <c r="C17" s="566" t="e" vm="1">
        <v>#VALUE!</v>
      </c>
      <c r="D17" s="565" t="s">
        <v>651</v>
      </c>
      <c r="E17" s="570" t="s">
        <v>47</v>
      </c>
      <c r="F17" s="569" t="s">
        <v>649</v>
      </c>
      <c r="G17" s="330"/>
    </row>
    <row r="18" spans="1:7" ht="18" x14ac:dyDescent="0.2">
      <c r="A18" s="328"/>
      <c r="B18" s="499"/>
      <c r="C18" s="567" t="s">
        <v>641</v>
      </c>
      <c r="D18" s="189"/>
      <c r="E18" s="189"/>
      <c r="F18" s="330"/>
      <c r="G18" s="330"/>
    </row>
    <row r="19" spans="1:7" ht="15" thickBot="1" x14ac:dyDescent="0.25">
      <c r="A19" s="328"/>
      <c r="B19" s="502"/>
      <c r="C19" s="333"/>
      <c r="D19" s="333"/>
      <c r="E19" s="333"/>
      <c r="F19" s="335"/>
      <c r="G19" s="330"/>
    </row>
    <row r="20" spans="1:7" ht="15" thickBot="1" x14ac:dyDescent="0.25">
      <c r="A20" s="328"/>
      <c r="B20" s="188"/>
      <c r="C20" s="189"/>
      <c r="D20" s="189"/>
      <c r="E20" s="189"/>
      <c r="F20" s="189"/>
      <c r="G20" s="330"/>
    </row>
    <row r="21" spans="1:7" x14ac:dyDescent="0.2">
      <c r="A21" s="328"/>
      <c r="B21" s="517"/>
      <c r="C21" s="415"/>
      <c r="D21" s="415"/>
      <c r="E21" s="415"/>
      <c r="F21" s="417"/>
      <c r="G21" s="330"/>
    </row>
    <row r="22" spans="1:7" ht="15" thickBot="1" x14ac:dyDescent="0.25">
      <c r="A22" s="328"/>
      <c r="B22" s="500" t="s">
        <v>640</v>
      </c>
      <c r="C22" s="803" t="s">
        <v>8</v>
      </c>
      <c r="D22" s="803"/>
      <c r="E22" s="487"/>
      <c r="F22" s="528"/>
      <c r="G22" s="528"/>
    </row>
    <row r="23" spans="1:7" x14ac:dyDescent="0.2">
      <c r="A23" s="328"/>
      <c r="B23" s="499"/>
      <c r="C23" s="804" t="s">
        <v>588</v>
      </c>
      <c r="D23" s="804"/>
      <c r="E23" s="487"/>
      <c r="F23" s="528"/>
      <c r="G23" s="528"/>
    </row>
    <row r="24" spans="1:7" ht="15" thickBot="1" x14ac:dyDescent="0.25">
      <c r="A24" s="328"/>
      <c r="B24" s="502"/>
      <c r="C24" s="333"/>
      <c r="D24" s="333"/>
      <c r="E24" s="333"/>
      <c r="F24" s="335"/>
      <c r="G24" s="330"/>
    </row>
    <row r="25" spans="1:7" x14ac:dyDescent="0.2">
      <c r="A25" s="328"/>
      <c r="B25" s="188"/>
      <c r="C25" s="189"/>
      <c r="D25" s="189"/>
      <c r="E25" s="189"/>
      <c r="F25" s="189"/>
      <c r="G25" s="330"/>
    </row>
    <row r="26" spans="1:7" x14ac:dyDescent="0.2">
      <c r="A26" s="328"/>
      <c r="B26" s="188"/>
      <c r="C26" s="189"/>
      <c r="D26" s="189"/>
      <c r="E26" s="189"/>
      <c r="F26" s="189"/>
      <c r="G26" s="330"/>
    </row>
    <row r="27" spans="1:7" x14ac:dyDescent="0.2">
      <c r="A27" s="328"/>
      <c r="B27" s="487" t="s">
        <v>8</v>
      </c>
      <c r="C27" s="189" t="s">
        <v>644</v>
      </c>
      <c r="D27" s="189"/>
      <c r="E27" s="189"/>
      <c r="F27" s="189"/>
      <c r="G27" s="330"/>
    </row>
    <row r="28" spans="1:7" x14ac:dyDescent="0.2">
      <c r="A28" s="328"/>
      <c r="B28" s="487"/>
      <c r="C28" s="189"/>
      <c r="D28" s="189"/>
      <c r="E28" s="189"/>
      <c r="F28" s="189"/>
      <c r="G28" s="330"/>
    </row>
    <row r="29" spans="1:7" x14ac:dyDescent="0.2">
      <c r="A29" s="328"/>
      <c r="B29" s="487" t="s">
        <v>583</v>
      </c>
      <c r="C29" s="189" t="s">
        <v>600</v>
      </c>
      <c r="D29" s="189"/>
      <c r="E29" s="189"/>
      <c r="F29" s="189"/>
      <c r="G29" s="330"/>
    </row>
    <row r="30" spans="1:7" x14ac:dyDescent="0.2">
      <c r="A30" s="328"/>
      <c r="B30" s="487"/>
      <c r="C30" s="189"/>
      <c r="D30" s="189"/>
      <c r="E30" s="189"/>
      <c r="F30" s="189"/>
      <c r="G30" s="330"/>
    </row>
    <row r="31" spans="1:7" x14ac:dyDescent="0.2">
      <c r="A31" s="328"/>
      <c r="B31" s="487" t="s">
        <v>584</v>
      </c>
      <c r="C31" s="189" t="s">
        <v>639</v>
      </c>
      <c r="D31" s="189"/>
      <c r="E31" s="189"/>
      <c r="F31" s="189"/>
      <c r="G31" s="330"/>
    </row>
    <row r="32" spans="1:7" x14ac:dyDescent="0.2">
      <c r="A32" s="328"/>
      <c r="B32" s="188"/>
      <c r="C32" s="189"/>
      <c r="D32" s="189"/>
      <c r="E32" s="189"/>
      <c r="F32" s="189"/>
      <c r="G32" s="330"/>
    </row>
    <row r="33" spans="1:16" x14ac:dyDescent="0.2">
      <c r="A33" s="328"/>
      <c r="B33" s="487" t="s">
        <v>649</v>
      </c>
      <c r="C33" s="189" t="s">
        <v>650</v>
      </c>
      <c r="D33" s="189"/>
      <c r="E33" s="189"/>
      <c r="F33" s="189"/>
      <c r="G33" s="330"/>
    </row>
    <row r="34" spans="1:16" ht="15" thickBot="1" x14ac:dyDescent="0.25">
      <c r="A34" s="332"/>
      <c r="B34" s="333"/>
      <c r="C34" s="333"/>
      <c r="D34" s="333"/>
      <c r="E34" s="333"/>
      <c r="F34" s="333"/>
      <c r="G34" s="335"/>
    </row>
    <row r="43" spans="1:16" ht="15" thickBot="1" x14ac:dyDescent="0.25"/>
    <row r="44" spans="1:16" x14ac:dyDescent="0.2">
      <c r="I44" s="517" t="s">
        <v>761</v>
      </c>
      <c r="J44" s="415"/>
      <c r="K44" s="415"/>
      <c r="L44" s="415"/>
      <c r="M44" s="415"/>
      <c r="N44" s="415"/>
      <c r="O44" s="415"/>
      <c r="P44" s="417"/>
    </row>
    <row r="45" spans="1:16" x14ac:dyDescent="0.2">
      <c r="I45" s="328"/>
      <c r="J45" s="189"/>
      <c r="K45" s="189"/>
      <c r="L45" s="189"/>
      <c r="M45" s="189"/>
      <c r="N45" s="189"/>
      <c r="O45" s="189"/>
      <c r="P45" s="330"/>
    </row>
    <row r="46" spans="1:16" x14ac:dyDescent="0.2">
      <c r="I46" s="328" t="s">
        <v>762</v>
      </c>
      <c r="J46" s="189"/>
      <c r="K46" s="189"/>
      <c r="L46" s="189"/>
      <c r="M46" s="189"/>
      <c r="N46" s="189"/>
      <c r="O46" s="189"/>
      <c r="P46" s="330"/>
    </row>
    <row r="47" spans="1:16" x14ac:dyDescent="0.2">
      <c r="I47" s="328" t="s">
        <v>763</v>
      </c>
      <c r="J47" s="189"/>
      <c r="K47" s="189"/>
      <c r="L47" s="189"/>
      <c r="M47" s="189"/>
      <c r="N47" s="189"/>
      <c r="O47" s="189"/>
      <c r="P47" s="330"/>
    </row>
    <row r="48" spans="1:16" x14ac:dyDescent="0.2">
      <c r="I48" s="328"/>
      <c r="J48" s="189"/>
      <c r="K48" s="189"/>
      <c r="L48" s="189"/>
      <c r="M48" s="189"/>
      <c r="N48" s="189"/>
      <c r="O48" s="189"/>
      <c r="P48" s="330"/>
    </row>
    <row r="49" spans="8:17" ht="15" thickBot="1" x14ac:dyDescent="0.25">
      <c r="I49" s="332"/>
      <c r="J49" s="333"/>
      <c r="K49" s="333"/>
      <c r="L49" s="333"/>
      <c r="M49" s="333"/>
      <c r="N49" s="333"/>
      <c r="O49" s="333"/>
      <c r="P49" s="335"/>
    </row>
    <row r="50" spans="8:17" x14ac:dyDescent="0.2">
      <c r="H50" s="189"/>
      <c r="I50" s="189"/>
      <c r="J50" s="189"/>
      <c r="K50" s="189"/>
      <c r="L50" s="189"/>
      <c r="M50" s="189"/>
      <c r="N50" s="189"/>
      <c r="O50" s="189"/>
      <c r="P50" s="189"/>
      <c r="Q50" s="189"/>
    </row>
    <row r="51" spans="8:17" ht="15" thickBot="1" x14ac:dyDescent="0.25">
      <c r="H51" s="189"/>
      <c r="I51" s="189"/>
      <c r="J51" s="189"/>
      <c r="K51" s="189"/>
      <c r="L51" s="189"/>
      <c r="M51" s="189"/>
      <c r="N51" s="189"/>
      <c r="O51" s="189"/>
      <c r="P51" s="189"/>
      <c r="Q51" s="189"/>
    </row>
    <row r="52" spans="8:17" x14ac:dyDescent="0.2">
      <c r="H52" s="189"/>
      <c r="I52" s="517" t="s">
        <v>743</v>
      </c>
      <c r="J52" s="415"/>
      <c r="K52" s="415"/>
      <c r="L52" s="415"/>
      <c r="M52" s="415"/>
      <c r="N52" s="415"/>
      <c r="O52" s="415"/>
      <c r="P52" s="417"/>
      <c r="Q52" s="189"/>
    </row>
    <row r="53" spans="8:17" x14ac:dyDescent="0.2">
      <c r="H53" s="189"/>
      <c r="I53" s="499"/>
      <c r="J53" s="189"/>
      <c r="K53" s="189"/>
      <c r="L53" s="189"/>
      <c r="M53" s="189"/>
      <c r="N53" s="189"/>
      <c r="O53" s="189"/>
      <c r="P53" s="330"/>
      <c r="Q53" s="189"/>
    </row>
    <row r="54" spans="8:17" x14ac:dyDescent="0.2">
      <c r="H54" s="189"/>
      <c r="I54" s="328"/>
      <c r="J54" s="619" t="s">
        <v>757</v>
      </c>
      <c r="K54" s="189"/>
      <c r="L54" s="189"/>
      <c r="M54" s="189"/>
      <c r="N54" s="189"/>
      <c r="O54" s="189"/>
      <c r="P54" s="330"/>
      <c r="Q54" s="189"/>
    </row>
    <row r="55" spans="8:17" x14ac:dyDescent="0.2">
      <c r="H55" s="189"/>
      <c r="I55" s="328"/>
      <c r="J55" s="619"/>
      <c r="K55" s="189"/>
      <c r="L55" s="189"/>
      <c r="M55" s="189"/>
      <c r="N55" s="189"/>
      <c r="O55" s="189"/>
      <c r="P55" s="330"/>
      <c r="Q55" s="189"/>
    </row>
    <row r="56" spans="8:17" x14ac:dyDescent="0.2">
      <c r="H56" s="189"/>
      <c r="I56" s="620" t="s">
        <v>47</v>
      </c>
      <c r="J56" s="621" t="s">
        <v>742</v>
      </c>
      <c r="K56" s="622"/>
      <c r="L56" s="622"/>
      <c r="M56" s="622"/>
      <c r="N56" s="622"/>
      <c r="O56" s="520">
        <f>'Check Value'!K14</f>
        <v>6</v>
      </c>
      <c r="P56" s="623" t="s">
        <v>741</v>
      </c>
      <c r="Q56" s="189"/>
    </row>
    <row r="57" spans="8:17" x14ac:dyDescent="0.2">
      <c r="H57" s="189"/>
      <c r="I57" s="620" t="s">
        <v>47</v>
      </c>
      <c r="J57" s="621" t="s">
        <v>541</v>
      </c>
      <c r="K57" s="622"/>
      <c r="L57" s="622"/>
      <c r="M57" s="622"/>
      <c r="N57" s="622"/>
      <c r="O57" s="520">
        <f>'Check Value'!K16</f>
        <v>2</v>
      </c>
      <c r="P57" s="623" t="s">
        <v>31</v>
      </c>
      <c r="Q57" s="189"/>
    </row>
    <row r="58" spans="8:17" x14ac:dyDescent="0.2">
      <c r="H58" s="189"/>
      <c r="I58" s="620" t="s">
        <v>47</v>
      </c>
      <c r="J58" s="621" t="s">
        <v>542</v>
      </c>
      <c r="K58" s="622"/>
      <c r="L58" s="622"/>
      <c r="M58" s="622"/>
      <c r="N58" s="622"/>
      <c r="O58" s="520">
        <f>'Check Value'!K18</f>
        <v>1</v>
      </c>
      <c r="P58" s="623" t="str">
        <f>'Check Value'!K6</f>
        <v>Eliminate</v>
      </c>
      <c r="Q58" s="189"/>
    </row>
    <row r="59" spans="8:17" x14ac:dyDescent="0.2">
      <c r="H59" s="189"/>
      <c r="I59" s="620" t="s">
        <v>47</v>
      </c>
      <c r="J59" s="621" t="s">
        <v>575</v>
      </c>
      <c r="K59" s="622"/>
      <c r="L59" s="622"/>
      <c r="M59" s="622"/>
      <c r="N59" s="622"/>
      <c r="O59" s="520" t="str">
        <f>'Check Value'!K20</f>
        <v>621</v>
      </c>
      <c r="P59" s="623" t="s">
        <v>740</v>
      </c>
      <c r="Q59" s="189"/>
    </row>
    <row r="60" spans="8:17" ht="15" thickBot="1" x14ac:dyDescent="0.25">
      <c r="H60" s="189"/>
      <c r="I60" s="624"/>
      <c r="J60" s="622"/>
      <c r="K60" s="622"/>
      <c r="L60" s="622"/>
      <c r="M60" s="622"/>
      <c r="N60" s="622"/>
      <c r="O60" s="520"/>
      <c r="P60" s="623"/>
      <c r="Q60" s="189"/>
    </row>
    <row r="61" spans="8:17" ht="15" thickBot="1" x14ac:dyDescent="0.25">
      <c r="H61" s="189"/>
      <c r="I61" s="624"/>
      <c r="J61" s="625" t="s">
        <v>758</v>
      </c>
      <c r="K61" s="622"/>
      <c r="L61" s="622"/>
      <c r="M61" s="622"/>
      <c r="N61" s="622"/>
      <c r="O61" s="639">
        <f>'Check Value'!K22</f>
        <v>12.652615788962985</v>
      </c>
      <c r="P61" s="623"/>
      <c r="Q61" s="189"/>
    </row>
    <row r="62" spans="8:17" ht="15" thickBot="1" x14ac:dyDescent="0.25">
      <c r="H62" s="189"/>
      <c r="I62" s="626"/>
      <c r="J62" s="627"/>
      <c r="K62" s="627"/>
      <c r="L62" s="627"/>
      <c r="M62" s="627"/>
      <c r="N62" s="627"/>
      <c r="O62" s="627"/>
      <c r="P62" s="628"/>
      <c r="Q62" s="189"/>
    </row>
    <row r="63" spans="8:17" x14ac:dyDescent="0.2">
      <c r="H63" s="189"/>
      <c r="I63" s="189"/>
      <c r="J63" s="189"/>
      <c r="K63" s="189"/>
      <c r="L63" s="189"/>
      <c r="M63" s="189"/>
      <c r="N63" s="189"/>
      <c r="O63" s="189"/>
      <c r="P63" s="189"/>
      <c r="Q63" s="189"/>
    </row>
    <row r="64" spans="8:17" x14ac:dyDescent="0.2">
      <c r="H64" s="189"/>
      <c r="I64" s="189"/>
      <c r="J64" s="189"/>
      <c r="K64" s="189"/>
      <c r="L64" s="189"/>
      <c r="M64" s="189"/>
      <c r="N64" s="189"/>
      <c r="O64" s="189"/>
      <c r="P64" s="189"/>
      <c r="Q64" s="189"/>
    </row>
    <row r="65" spans="8:17" x14ac:dyDescent="0.2">
      <c r="H65" s="189"/>
      <c r="I65" s="189"/>
      <c r="J65" s="189"/>
      <c r="K65" s="189"/>
      <c r="L65" s="189"/>
      <c r="M65" s="189"/>
      <c r="N65" s="189"/>
      <c r="O65" s="189"/>
      <c r="P65" s="189"/>
      <c r="Q65" s="189"/>
    </row>
    <row r="66" spans="8:17" ht="15" thickBot="1" x14ac:dyDescent="0.25">
      <c r="H66" s="189"/>
      <c r="I66" s="189"/>
      <c r="J66" s="189"/>
      <c r="K66" s="189"/>
      <c r="L66" s="189"/>
      <c r="M66" s="189"/>
      <c r="N66" s="189"/>
      <c r="O66" s="189"/>
      <c r="P66" s="189"/>
      <c r="Q66" s="189"/>
    </row>
    <row r="67" spans="8:17" x14ac:dyDescent="0.2">
      <c r="H67" s="189"/>
      <c r="I67" s="517" t="s">
        <v>728</v>
      </c>
      <c r="J67" s="415"/>
      <c r="K67" s="415"/>
      <c r="L67" s="415"/>
      <c r="M67" s="415"/>
      <c r="N67" s="415"/>
      <c r="O67" s="415"/>
      <c r="P67" s="417"/>
      <c r="Q67" s="189"/>
    </row>
    <row r="68" spans="8:17" x14ac:dyDescent="0.2">
      <c r="H68" s="189"/>
      <c r="I68" s="328"/>
      <c r="J68" s="189"/>
      <c r="K68" s="189"/>
      <c r="L68" s="189"/>
      <c r="M68" s="189"/>
      <c r="N68" s="189"/>
      <c r="O68" s="189"/>
      <c r="P68" s="330"/>
      <c r="Q68" s="189"/>
    </row>
    <row r="69" spans="8:17" x14ac:dyDescent="0.2">
      <c r="H69" s="189"/>
      <c r="I69" s="328" t="s">
        <v>583</v>
      </c>
      <c r="J69" s="189" t="s">
        <v>730</v>
      </c>
      <c r="K69" s="189" t="s">
        <v>744</v>
      </c>
      <c r="L69" s="189">
        <v>1</v>
      </c>
      <c r="M69" s="189"/>
      <c r="N69" s="189" t="s">
        <v>590</v>
      </c>
      <c r="O69" s="189"/>
      <c r="P69" s="330"/>
      <c r="Q69" s="189"/>
    </row>
    <row r="70" spans="8:17" ht="15" thickBot="1" x14ac:dyDescent="0.25">
      <c r="H70" s="189"/>
      <c r="I70" s="328"/>
      <c r="J70" s="189"/>
      <c r="K70" s="189"/>
      <c r="L70" s="189"/>
      <c r="M70" s="189"/>
      <c r="N70" s="189"/>
      <c r="O70" s="189"/>
      <c r="P70" s="330"/>
      <c r="Q70" s="189"/>
    </row>
    <row r="71" spans="8:17" ht="18.75" thickBot="1" x14ac:dyDescent="0.3">
      <c r="H71" s="189"/>
      <c r="I71" s="328"/>
      <c r="K71" s="629" t="s">
        <v>583</v>
      </c>
      <c r="L71" s="640" t="s">
        <v>759</v>
      </c>
      <c r="M71" s="638">
        <f>'Q&amp;A Matrix'!W15</f>
        <v>1</v>
      </c>
      <c r="N71" s="189"/>
      <c r="O71" s="189"/>
      <c r="P71" s="330"/>
      <c r="Q71" s="189"/>
    </row>
    <row r="72" spans="8:17" x14ac:dyDescent="0.2">
      <c r="H72" s="189"/>
      <c r="I72" s="328"/>
      <c r="J72" s="189"/>
      <c r="K72" s="189"/>
      <c r="L72" s="189"/>
      <c r="M72" s="189"/>
      <c r="N72" s="189"/>
      <c r="O72" s="189"/>
      <c r="P72" s="330"/>
      <c r="Q72" s="189"/>
    </row>
    <row r="73" spans="8:17" ht="15" thickBot="1" x14ac:dyDescent="0.25">
      <c r="H73" s="189"/>
      <c r="I73" s="332"/>
      <c r="J73" s="333"/>
      <c r="K73" s="333"/>
      <c r="L73" s="333"/>
      <c r="M73" s="333"/>
      <c r="N73" s="333"/>
      <c r="O73" s="333"/>
      <c r="P73" s="335"/>
      <c r="Q73" s="189"/>
    </row>
    <row r="74" spans="8:17" x14ac:dyDescent="0.2">
      <c r="H74" s="189"/>
      <c r="I74" s="189"/>
      <c r="J74" s="189"/>
      <c r="K74" s="189"/>
      <c r="L74" s="189"/>
      <c r="M74" s="189"/>
      <c r="N74" s="189"/>
      <c r="O74" s="189"/>
      <c r="P74" s="189"/>
      <c r="Q74" s="189"/>
    </row>
    <row r="75" spans="8:17" ht="15" thickBot="1" x14ac:dyDescent="0.25">
      <c r="H75" s="189"/>
      <c r="I75" s="189"/>
      <c r="J75" s="189"/>
      <c r="K75" s="189"/>
      <c r="L75" s="189"/>
      <c r="M75" s="189"/>
      <c r="N75" s="189"/>
      <c r="O75" s="189"/>
      <c r="P75" s="189"/>
      <c r="Q75" s="189"/>
    </row>
    <row r="76" spans="8:17" x14ac:dyDescent="0.2">
      <c r="H76" s="189"/>
      <c r="I76" s="517" t="s">
        <v>727</v>
      </c>
      <c r="J76" s="415"/>
      <c r="K76" s="415"/>
      <c r="L76" s="415"/>
      <c r="M76" s="415"/>
      <c r="N76" s="415"/>
      <c r="O76" s="415"/>
      <c r="P76" s="417"/>
      <c r="Q76" s="189"/>
    </row>
    <row r="77" spans="8:17" x14ac:dyDescent="0.2">
      <c r="H77" s="189"/>
      <c r="I77" s="499"/>
      <c r="J77" s="189"/>
      <c r="K77" s="189"/>
      <c r="L77" s="189"/>
      <c r="M77" s="189"/>
      <c r="N77" s="189"/>
      <c r="O77" s="189"/>
      <c r="P77" s="330"/>
      <c r="Q77" s="189"/>
    </row>
    <row r="78" spans="8:17" x14ac:dyDescent="0.2">
      <c r="H78" s="189"/>
      <c r="I78" s="328" t="s">
        <v>18</v>
      </c>
      <c r="J78" s="630" t="s">
        <v>716</v>
      </c>
      <c r="K78" s="189" t="s">
        <v>717</v>
      </c>
      <c r="L78" s="189"/>
      <c r="M78" s="189"/>
      <c r="N78" s="189" t="s">
        <v>590</v>
      </c>
      <c r="O78" s="189"/>
      <c r="P78" s="330"/>
      <c r="Q78" s="189"/>
    </row>
    <row r="79" spans="8:17" x14ac:dyDescent="0.2">
      <c r="H79" s="189"/>
      <c r="I79" s="328" t="s">
        <v>22</v>
      </c>
      <c r="J79" s="630" t="s">
        <v>719</v>
      </c>
      <c r="K79" s="189" t="s">
        <v>718</v>
      </c>
      <c r="L79" s="631" t="s">
        <v>720</v>
      </c>
      <c r="M79" s="189" t="s">
        <v>721</v>
      </c>
      <c r="N79" s="189" t="s">
        <v>590</v>
      </c>
      <c r="O79" s="189"/>
      <c r="P79" s="330"/>
      <c r="Q79" s="189"/>
    </row>
    <row r="80" spans="8:17" x14ac:dyDescent="0.2">
      <c r="H80" s="189"/>
      <c r="I80" s="328"/>
      <c r="J80" s="189"/>
      <c r="K80" s="189"/>
      <c r="L80" s="189"/>
      <c r="M80" s="189"/>
      <c r="N80" s="189"/>
      <c r="O80" s="189"/>
      <c r="P80" s="330"/>
      <c r="Q80" s="189"/>
    </row>
    <row r="81" spans="8:33" x14ac:dyDescent="0.2">
      <c r="H81" s="189"/>
      <c r="I81" s="328" t="s">
        <v>722</v>
      </c>
      <c r="J81" s="632" t="s">
        <v>724</v>
      </c>
      <c r="K81" s="189"/>
      <c r="L81" s="189"/>
      <c r="M81" s="189"/>
      <c r="N81" s="189" t="s">
        <v>723</v>
      </c>
      <c r="O81" s="189"/>
      <c r="P81" s="330"/>
      <c r="Q81" s="189"/>
    </row>
    <row r="82" spans="8:33" x14ac:dyDescent="0.2">
      <c r="H82" s="189"/>
      <c r="I82" s="328"/>
      <c r="J82" s="189"/>
      <c r="K82" s="189"/>
      <c r="L82" s="189"/>
      <c r="M82" s="189"/>
      <c r="N82" s="189"/>
      <c r="O82" s="189"/>
      <c r="P82" s="330"/>
      <c r="Q82" s="189"/>
    </row>
    <row r="83" spans="8:33" x14ac:dyDescent="0.2">
      <c r="H83" s="189"/>
      <c r="I83" s="328" t="s">
        <v>756</v>
      </c>
      <c r="J83" s="189"/>
      <c r="K83" s="189"/>
      <c r="L83" s="189"/>
      <c r="M83" s="189"/>
      <c r="N83" s="189"/>
      <c r="O83" s="189"/>
      <c r="P83" s="330"/>
      <c r="Q83" s="189"/>
    </row>
    <row r="84" spans="8:33" x14ac:dyDescent="0.2">
      <c r="H84" s="189"/>
      <c r="I84" s="328"/>
      <c r="J84" s="189"/>
      <c r="K84" s="189"/>
      <c r="L84" s="189"/>
      <c r="M84" s="189"/>
      <c r="N84" s="189"/>
      <c r="O84" s="189"/>
      <c r="P84" s="330"/>
      <c r="Q84" s="189"/>
    </row>
    <row r="85" spans="8:33" x14ac:dyDescent="0.2">
      <c r="H85" s="189"/>
      <c r="I85" s="328"/>
      <c r="J85" s="633" t="s">
        <v>725</v>
      </c>
      <c r="K85" s="633" t="s">
        <v>726</v>
      </c>
      <c r="L85" s="189"/>
      <c r="M85" s="189"/>
      <c r="N85" s="189"/>
      <c r="O85" s="189"/>
      <c r="P85" s="330"/>
      <c r="Q85" s="189"/>
    </row>
    <row r="86" spans="8:33" x14ac:dyDescent="0.2">
      <c r="H86" s="189"/>
      <c r="I86" s="328"/>
      <c r="J86" s="630" t="str">
        <f>'Q&amp;A Matrix'!B22</f>
        <v>Question-8</v>
      </c>
      <c r="K86" s="634" t="str">
        <f>'Q&amp;A Matrix'!O14</f>
        <v>Exdysivity</v>
      </c>
      <c r="L86" s="189"/>
      <c r="M86" s="189"/>
      <c r="N86" s="189"/>
      <c r="O86" s="189"/>
      <c r="P86" s="330"/>
      <c r="Q86" s="189"/>
    </row>
    <row r="87" spans="8:33" x14ac:dyDescent="0.2">
      <c r="H87" s="189"/>
      <c r="I87" s="328"/>
      <c r="J87" s="635">
        <f>'Q&amp;A Matrix'!E22</f>
        <v>0.66115702479338845</v>
      </c>
      <c r="K87" s="636">
        <f>'Q&amp;A Matrix'!N20</f>
        <v>7.0000000000000007E-2</v>
      </c>
      <c r="L87" s="189"/>
      <c r="M87" s="189"/>
      <c r="N87" s="189"/>
      <c r="O87" s="189"/>
      <c r="P87" s="330"/>
      <c r="Q87" s="189"/>
    </row>
    <row r="88" spans="8:33" ht="15" thickBot="1" x14ac:dyDescent="0.25">
      <c r="H88" s="189"/>
      <c r="I88" s="328"/>
      <c r="J88" s="189"/>
      <c r="K88" s="189"/>
      <c r="L88" s="189"/>
      <c r="M88" s="189"/>
      <c r="N88" s="189"/>
      <c r="O88" s="189"/>
      <c r="P88" s="330"/>
      <c r="Q88" s="189"/>
    </row>
    <row r="89" spans="8:33" ht="18.75" thickBot="1" x14ac:dyDescent="0.3">
      <c r="H89" s="189"/>
      <c r="I89" s="328"/>
      <c r="K89" s="629" t="s">
        <v>584</v>
      </c>
      <c r="L89" s="640" t="s">
        <v>759</v>
      </c>
      <c r="M89" s="637">
        <f>J87*K87</f>
        <v>4.6280991735537194E-2</v>
      </c>
      <c r="N89" s="189"/>
      <c r="O89" s="189"/>
      <c r="P89" s="330"/>
      <c r="Q89" s="189"/>
      <c r="W89" s="805" t="s">
        <v>1052</v>
      </c>
      <c r="X89" s="806"/>
      <c r="Y89" s="807"/>
      <c r="Z89" s="805" t="s">
        <v>1053</v>
      </c>
      <c r="AA89" s="806"/>
      <c r="AB89" s="806"/>
      <c r="AC89" s="806"/>
      <c r="AD89" s="806"/>
      <c r="AE89" s="806"/>
      <c r="AF89" s="807"/>
    </row>
    <row r="90" spans="8:33" ht="15" thickBot="1" x14ac:dyDescent="0.25">
      <c r="H90" s="189"/>
      <c r="I90" s="332"/>
      <c r="J90" s="333"/>
      <c r="K90" s="333"/>
      <c r="L90" s="333"/>
      <c r="M90" s="333"/>
      <c r="N90" s="333"/>
      <c r="O90" s="333"/>
      <c r="P90" s="335"/>
      <c r="Q90" s="189"/>
      <c r="U90" s="575" t="s">
        <v>1048</v>
      </c>
      <c r="V90" s="289" t="s">
        <v>1049</v>
      </c>
      <c r="W90" s="214" t="s">
        <v>764</v>
      </c>
      <c r="X90" s="214" t="s">
        <v>765</v>
      </c>
      <c r="Y90" s="214" t="s">
        <v>766</v>
      </c>
      <c r="Z90" s="257" t="s">
        <v>767</v>
      </c>
      <c r="AA90" s="257" t="s">
        <v>768</v>
      </c>
      <c r="AB90" s="257" t="s">
        <v>769</v>
      </c>
      <c r="AC90" s="257" t="s">
        <v>770</v>
      </c>
      <c r="AD90" s="257" t="s">
        <v>771</v>
      </c>
      <c r="AE90" s="257" t="s">
        <v>772</v>
      </c>
      <c r="AF90" s="257" t="s">
        <v>773</v>
      </c>
    </row>
    <row r="91" spans="8:33" x14ac:dyDescent="0.2"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W91" s="214"/>
      <c r="X91" s="214"/>
      <c r="Y91" s="214"/>
      <c r="Z91" s="257"/>
      <c r="AA91" s="257"/>
      <c r="AB91" s="257"/>
      <c r="AC91" s="257"/>
      <c r="AD91" s="257"/>
      <c r="AE91" s="257"/>
      <c r="AF91" s="257"/>
    </row>
    <row r="92" spans="8:33" ht="16.5" x14ac:dyDescent="0.35">
      <c r="S92" s="141" t="s">
        <v>8</v>
      </c>
      <c r="U92" s="651">
        <v>1000</v>
      </c>
      <c r="V92" s="651">
        <v>1000</v>
      </c>
      <c r="W92" s="717">
        <v>1000</v>
      </c>
      <c r="X92" s="718">
        <f>W92</f>
        <v>1000</v>
      </c>
      <c r="Y92" s="718">
        <f t="shared" ref="Y92:AF92" si="0">X92</f>
        <v>1000</v>
      </c>
      <c r="Z92" s="721">
        <f t="shared" si="0"/>
        <v>1000</v>
      </c>
      <c r="AA92" s="721">
        <f t="shared" si="0"/>
        <v>1000</v>
      </c>
      <c r="AB92" s="721">
        <f t="shared" si="0"/>
        <v>1000</v>
      </c>
      <c r="AC92" s="721">
        <f t="shared" si="0"/>
        <v>1000</v>
      </c>
      <c r="AD92" s="721">
        <f t="shared" si="0"/>
        <v>1000</v>
      </c>
      <c r="AE92" s="721">
        <f t="shared" si="0"/>
        <v>1000</v>
      </c>
      <c r="AF92" s="721">
        <f t="shared" si="0"/>
        <v>1000</v>
      </c>
    </row>
    <row r="93" spans="8:33" x14ac:dyDescent="0.2">
      <c r="W93" s="214"/>
      <c r="X93" s="214"/>
      <c r="Y93" s="214"/>
      <c r="Z93" s="257"/>
      <c r="AA93" s="257"/>
      <c r="AB93" s="257"/>
      <c r="AC93" s="257"/>
      <c r="AD93" s="257"/>
      <c r="AE93" s="257"/>
      <c r="AF93" s="257"/>
    </row>
    <row r="94" spans="8:33" x14ac:dyDescent="0.2">
      <c r="R94" t="s">
        <v>729</v>
      </c>
      <c r="S94" s="141" t="s">
        <v>583</v>
      </c>
      <c r="T94" t="s">
        <v>734</v>
      </c>
      <c r="U94" s="57">
        <v>1</v>
      </c>
      <c r="V94" s="57">
        <v>1000</v>
      </c>
      <c r="W94" s="719">
        <v>1.1000000000000001</v>
      </c>
      <c r="X94" s="719">
        <v>1.2</v>
      </c>
      <c r="Y94" s="719">
        <v>1.3</v>
      </c>
      <c r="Z94" s="722">
        <v>1.4</v>
      </c>
      <c r="AA94" s="722">
        <v>1.5</v>
      </c>
      <c r="AB94" s="722">
        <v>1.6</v>
      </c>
      <c r="AC94" s="722">
        <v>1.7</v>
      </c>
      <c r="AD94" s="722">
        <v>1.8</v>
      </c>
      <c r="AE94" s="722">
        <v>1.9</v>
      </c>
      <c r="AF94" s="722">
        <v>2</v>
      </c>
      <c r="AG94" t="s">
        <v>591</v>
      </c>
    </row>
    <row r="95" spans="8:33" x14ac:dyDescent="0.2">
      <c r="W95" s="214"/>
      <c r="X95" s="214"/>
      <c r="Y95" s="214"/>
      <c r="Z95" s="257"/>
      <c r="AA95" s="257"/>
      <c r="AB95" s="257"/>
      <c r="AC95" s="257"/>
      <c r="AD95" s="257"/>
      <c r="AE95" s="257"/>
      <c r="AF95" s="257"/>
    </row>
    <row r="96" spans="8:33" x14ac:dyDescent="0.2">
      <c r="S96" s="141" t="s">
        <v>774</v>
      </c>
      <c r="U96" s="498">
        <f>U92/U94</f>
        <v>1000</v>
      </c>
      <c r="V96" s="498">
        <f>V92/V94</f>
        <v>1</v>
      </c>
      <c r="W96" s="720">
        <f>W92/W94</f>
        <v>909.09090909090901</v>
      </c>
      <c r="X96" s="720">
        <f t="shared" ref="X96:AF96" si="1">X92/X94</f>
        <v>833.33333333333337</v>
      </c>
      <c r="Y96" s="720">
        <f t="shared" si="1"/>
        <v>769.23076923076917</v>
      </c>
      <c r="Z96" s="723">
        <f t="shared" si="1"/>
        <v>714.28571428571433</v>
      </c>
      <c r="AA96" s="723">
        <f t="shared" si="1"/>
        <v>666.66666666666663</v>
      </c>
      <c r="AB96" s="723">
        <f t="shared" si="1"/>
        <v>625</v>
      </c>
      <c r="AC96" s="723">
        <f t="shared" si="1"/>
        <v>588.23529411764707</v>
      </c>
      <c r="AD96" s="723">
        <f t="shared" si="1"/>
        <v>555.55555555555554</v>
      </c>
      <c r="AE96" s="723">
        <f t="shared" si="1"/>
        <v>526.31578947368428</v>
      </c>
      <c r="AF96" s="723">
        <f t="shared" si="1"/>
        <v>500</v>
      </c>
    </row>
    <row r="97" spans="19:33" x14ac:dyDescent="0.2">
      <c r="W97" s="214"/>
      <c r="X97" s="214"/>
      <c r="Y97" s="214"/>
      <c r="Z97" s="257"/>
      <c r="AA97" s="257"/>
      <c r="AB97" s="257"/>
      <c r="AC97" s="257"/>
      <c r="AD97" s="257"/>
      <c r="AE97" s="257"/>
      <c r="AF97" s="257"/>
    </row>
    <row r="98" spans="19:33" x14ac:dyDescent="0.2">
      <c r="W98" s="214"/>
      <c r="X98" s="214"/>
      <c r="Y98" s="214"/>
      <c r="Z98" s="257"/>
      <c r="AA98" s="257"/>
      <c r="AB98" s="257"/>
      <c r="AC98" s="257"/>
      <c r="AD98" s="257"/>
      <c r="AE98" s="257"/>
      <c r="AF98" s="257"/>
    </row>
    <row r="99" spans="19:33" x14ac:dyDescent="0.2">
      <c r="W99" s="214"/>
      <c r="X99" s="214"/>
      <c r="Y99" s="214"/>
      <c r="Z99" s="257"/>
      <c r="AA99" s="257"/>
      <c r="AB99" s="257"/>
      <c r="AC99" s="257"/>
      <c r="AD99" s="257"/>
      <c r="AE99" s="257"/>
      <c r="AF99" s="257"/>
    </row>
    <row r="100" spans="19:33" x14ac:dyDescent="0.2">
      <c r="W100" s="214"/>
      <c r="X100" s="214"/>
      <c r="Y100" s="214"/>
      <c r="Z100" s="257"/>
      <c r="AA100" s="257"/>
      <c r="AB100" s="257"/>
      <c r="AC100" s="257"/>
      <c r="AD100" s="257"/>
      <c r="AE100" s="257"/>
      <c r="AF100" s="257"/>
    </row>
    <row r="101" spans="19:33" x14ac:dyDescent="0.2">
      <c r="W101" s="214"/>
      <c r="X101" s="214"/>
      <c r="Y101" s="214"/>
      <c r="Z101" s="257"/>
      <c r="AA101" s="257"/>
      <c r="AB101" s="257"/>
      <c r="AC101" s="257"/>
      <c r="AD101" s="257"/>
      <c r="AE101" s="257"/>
      <c r="AF101" s="257"/>
    </row>
    <row r="102" spans="19:33" x14ac:dyDescent="0.2">
      <c r="W102" s="214"/>
      <c r="X102" s="214"/>
      <c r="Y102" s="214"/>
      <c r="Z102" s="257"/>
      <c r="AA102" s="257"/>
      <c r="AB102" s="257"/>
      <c r="AC102" s="257"/>
      <c r="AD102" s="257"/>
      <c r="AE102" s="257"/>
      <c r="AF102" s="257"/>
    </row>
    <row r="103" spans="19:33" x14ac:dyDescent="0.2">
      <c r="W103" s="214"/>
      <c r="X103" s="214"/>
      <c r="Y103" s="214"/>
      <c r="Z103" s="257"/>
      <c r="AA103" s="257"/>
      <c r="AB103" s="257"/>
      <c r="AC103" s="257"/>
      <c r="AD103" s="257"/>
      <c r="AE103" s="257"/>
      <c r="AF103" s="257"/>
    </row>
    <row r="104" spans="19:33" x14ac:dyDescent="0.2">
      <c r="S104" s="141" t="s">
        <v>584</v>
      </c>
      <c r="T104" t="s">
        <v>731</v>
      </c>
      <c r="U104" s="57">
        <v>0</v>
      </c>
      <c r="V104" s="57">
        <v>0</v>
      </c>
      <c r="W104" s="719">
        <v>0.1</v>
      </c>
      <c r="X104" s="719">
        <v>0.2</v>
      </c>
      <c r="Y104" s="719">
        <v>0.3</v>
      </c>
      <c r="Z104" s="722">
        <v>0.4</v>
      </c>
      <c r="AA104" s="722">
        <v>0.5</v>
      </c>
      <c r="AB104" s="722">
        <v>0.6</v>
      </c>
      <c r="AC104" s="722">
        <v>0.7</v>
      </c>
      <c r="AD104" s="722">
        <v>0.8</v>
      </c>
      <c r="AE104" s="722">
        <v>0.9</v>
      </c>
      <c r="AF104" s="722">
        <v>0.95</v>
      </c>
      <c r="AG104" t="s">
        <v>591</v>
      </c>
    </row>
    <row r="105" spans="19:33" x14ac:dyDescent="0.2">
      <c r="W105" s="214"/>
      <c r="X105" s="214"/>
      <c r="Y105" s="214"/>
      <c r="Z105" s="257"/>
      <c r="AA105" s="257"/>
      <c r="AB105" s="257"/>
      <c r="AC105" s="257"/>
      <c r="AD105" s="257"/>
      <c r="AE105" s="257"/>
      <c r="AF105" s="257"/>
    </row>
    <row r="106" spans="19:33" x14ac:dyDescent="0.2">
      <c r="S106" s="141" t="s">
        <v>775</v>
      </c>
      <c r="U106" s="498" t="e">
        <f>U92/U104</f>
        <v>#DIV/0!</v>
      </c>
      <c r="V106" s="498" t="e">
        <f>V92/V104</f>
        <v>#DIV/0!</v>
      </c>
      <c r="W106" s="720">
        <f>W92/W104</f>
        <v>10000</v>
      </c>
      <c r="X106" s="720">
        <f t="shared" ref="X106:AF106" si="2">X92/X104</f>
        <v>5000</v>
      </c>
      <c r="Y106" s="720">
        <f t="shared" si="2"/>
        <v>3333.3333333333335</v>
      </c>
      <c r="Z106" s="723">
        <f t="shared" si="2"/>
        <v>2500</v>
      </c>
      <c r="AA106" s="723">
        <f t="shared" si="2"/>
        <v>2000</v>
      </c>
      <c r="AB106" s="723">
        <f t="shared" si="2"/>
        <v>1666.6666666666667</v>
      </c>
      <c r="AC106" s="723">
        <f t="shared" si="2"/>
        <v>1428.5714285714287</v>
      </c>
      <c r="AD106" s="723">
        <f t="shared" si="2"/>
        <v>1250</v>
      </c>
      <c r="AE106" s="723">
        <f t="shared" si="2"/>
        <v>1111.1111111111111</v>
      </c>
      <c r="AF106" s="723">
        <f t="shared" si="2"/>
        <v>1052.6315789473686</v>
      </c>
    </row>
    <row r="107" spans="19:33" x14ac:dyDescent="0.2">
      <c r="W107" s="214"/>
      <c r="X107" s="214"/>
      <c r="Y107" s="214"/>
      <c r="Z107" s="257"/>
      <c r="AA107" s="257"/>
      <c r="AB107" s="257"/>
      <c r="AC107" s="257"/>
      <c r="AD107" s="257"/>
      <c r="AE107" s="257"/>
      <c r="AF107" s="257"/>
    </row>
    <row r="108" spans="19:33" x14ac:dyDescent="0.2">
      <c r="S108" s="141" t="s">
        <v>583</v>
      </c>
      <c r="U108" s="57">
        <v>1</v>
      </c>
      <c r="V108" s="57">
        <f>V94</f>
        <v>1000</v>
      </c>
      <c r="W108" s="719">
        <v>1.1000000000000001</v>
      </c>
      <c r="X108" s="719">
        <f>W108</f>
        <v>1.1000000000000001</v>
      </c>
      <c r="Y108" s="719">
        <f t="shared" ref="Y108:AF108" si="3">X108</f>
        <v>1.1000000000000001</v>
      </c>
      <c r="Z108" s="722">
        <f t="shared" si="3"/>
        <v>1.1000000000000001</v>
      </c>
      <c r="AA108" s="722">
        <f t="shared" si="3"/>
        <v>1.1000000000000001</v>
      </c>
      <c r="AB108" s="722">
        <f t="shared" si="3"/>
        <v>1.1000000000000001</v>
      </c>
      <c r="AC108" s="722">
        <f t="shared" si="3"/>
        <v>1.1000000000000001</v>
      </c>
      <c r="AD108" s="722">
        <f t="shared" si="3"/>
        <v>1.1000000000000001</v>
      </c>
      <c r="AE108" s="722">
        <f t="shared" si="3"/>
        <v>1.1000000000000001</v>
      </c>
      <c r="AF108" s="722">
        <f t="shared" si="3"/>
        <v>1.1000000000000001</v>
      </c>
    </row>
    <row r="109" spans="19:33" x14ac:dyDescent="0.2">
      <c r="S109" s="141" t="s">
        <v>776</v>
      </c>
      <c r="U109" s="57">
        <f>U108-U104</f>
        <v>1</v>
      </c>
      <c r="V109" s="57">
        <f>V108-V104</f>
        <v>1000</v>
      </c>
      <c r="W109" s="719">
        <f>W108-W104</f>
        <v>1</v>
      </c>
      <c r="X109" s="719">
        <f t="shared" ref="X109:AF109" si="4">X108-X104</f>
        <v>0.90000000000000013</v>
      </c>
      <c r="Y109" s="719">
        <f t="shared" si="4"/>
        <v>0.8</v>
      </c>
      <c r="Z109" s="722">
        <f t="shared" si="4"/>
        <v>0.70000000000000007</v>
      </c>
      <c r="AA109" s="722">
        <f t="shared" si="4"/>
        <v>0.60000000000000009</v>
      </c>
      <c r="AB109" s="722">
        <f t="shared" si="4"/>
        <v>0.50000000000000011</v>
      </c>
      <c r="AC109" s="722">
        <f t="shared" si="4"/>
        <v>0.40000000000000013</v>
      </c>
      <c r="AD109" s="722">
        <f t="shared" si="4"/>
        <v>0.30000000000000004</v>
      </c>
      <c r="AE109" s="722">
        <f t="shared" si="4"/>
        <v>0.20000000000000007</v>
      </c>
      <c r="AF109" s="722">
        <f t="shared" si="4"/>
        <v>0.15000000000000013</v>
      </c>
    </row>
    <row r="110" spans="19:33" x14ac:dyDescent="0.2">
      <c r="W110" s="214"/>
      <c r="X110" s="214"/>
      <c r="Y110" s="214"/>
      <c r="Z110" s="257"/>
      <c r="AA110" s="257"/>
      <c r="AB110" s="257"/>
      <c r="AC110" s="257"/>
      <c r="AD110" s="257"/>
      <c r="AE110" s="257"/>
      <c r="AF110" s="257"/>
    </row>
    <row r="111" spans="19:33" x14ac:dyDescent="0.2">
      <c r="S111" s="141" t="s">
        <v>777</v>
      </c>
      <c r="U111" s="498">
        <f>U92/U109</f>
        <v>1000</v>
      </c>
      <c r="V111" s="498">
        <f>V92/V109</f>
        <v>1</v>
      </c>
      <c r="W111" s="720">
        <f>W92/W109</f>
        <v>1000</v>
      </c>
      <c r="X111" s="720">
        <f t="shared" ref="X111:AF111" si="5">X92/X109</f>
        <v>1111.1111111111109</v>
      </c>
      <c r="Y111" s="720">
        <f t="shared" si="5"/>
        <v>1250</v>
      </c>
      <c r="Z111" s="723">
        <f t="shared" si="5"/>
        <v>1428.5714285714284</v>
      </c>
      <c r="AA111" s="723">
        <f t="shared" si="5"/>
        <v>1666.6666666666665</v>
      </c>
      <c r="AB111" s="723">
        <f t="shared" si="5"/>
        <v>1999.9999999999995</v>
      </c>
      <c r="AC111" s="723">
        <f t="shared" si="5"/>
        <v>2499.9999999999991</v>
      </c>
      <c r="AD111" s="723">
        <f t="shared" si="5"/>
        <v>3333.333333333333</v>
      </c>
      <c r="AE111" s="723">
        <f t="shared" si="5"/>
        <v>4999.9999999999982</v>
      </c>
      <c r="AF111" s="723">
        <f t="shared" si="5"/>
        <v>6666.6666666666606</v>
      </c>
      <c r="AG111" t="s">
        <v>591</v>
      </c>
    </row>
    <row r="112" spans="19:33" x14ac:dyDescent="0.2">
      <c r="W112" s="214"/>
      <c r="X112" s="214"/>
      <c r="Y112" s="214"/>
      <c r="Z112" s="257"/>
      <c r="AA112" s="257"/>
      <c r="AB112" s="257"/>
      <c r="AC112" s="257"/>
      <c r="AD112" s="257"/>
      <c r="AE112" s="257"/>
      <c r="AF112" s="257"/>
    </row>
    <row r="113" spans="18:33" x14ac:dyDescent="0.2">
      <c r="W113" s="214"/>
      <c r="X113" s="214"/>
      <c r="Y113" s="214"/>
      <c r="Z113" s="257"/>
      <c r="AA113" s="257"/>
      <c r="AB113" s="257"/>
      <c r="AC113" s="257"/>
      <c r="AD113" s="257"/>
      <c r="AE113" s="257"/>
      <c r="AF113" s="257"/>
    </row>
    <row r="114" spans="18:33" x14ac:dyDescent="0.2">
      <c r="R114" t="s">
        <v>1050</v>
      </c>
      <c r="S114" t="s">
        <v>778</v>
      </c>
      <c r="T114" t="s">
        <v>731</v>
      </c>
      <c r="U114" s="57">
        <v>0</v>
      </c>
      <c r="V114" s="57">
        <v>0.01</v>
      </c>
      <c r="W114" s="719">
        <v>0.1</v>
      </c>
      <c r="X114" s="719">
        <v>0.2</v>
      </c>
      <c r="Y114" s="719">
        <v>0.3</v>
      </c>
      <c r="Z114" s="722">
        <v>0.4</v>
      </c>
      <c r="AA114" s="722">
        <v>0.5</v>
      </c>
      <c r="AB114" s="722">
        <v>0.6</v>
      </c>
      <c r="AC114" s="722">
        <v>0.7</v>
      </c>
      <c r="AD114" s="722">
        <v>0.8</v>
      </c>
      <c r="AE114" s="722">
        <v>0.9</v>
      </c>
      <c r="AF114" s="722">
        <v>0.95</v>
      </c>
    </row>
    <row r="115" spans="18:33" x14ac:dyDescent="0.2">
      <c r="R115" t="s">
        <v>1051</v>
      </c>
      <c r="S115" t="s">
        <v>779</v>
      </c>
      <c r="T115" t="s">
        <v>731</v>
      </c>
      <c r="U115" s="57">
        <v>0</v>
      </c>
      <c r="V115" s="57">
        <v>0.01</v>
      </c>
      <c r="W115" s="719">
        <v>0.1</v>
      </c>
      <c r="X115" s="719">
        <v>0.2</v>
      </c>
      <c r="Y115" s="719">
        <v>0.3</v>
      </c>
      <c r="Z115" s="722">
        <v>0.4</v>
      </c>
      <c r="AA115" s="722">
        <v>0.5</v>
      </c>
      <c r="AB115" s="722">
        <v>0.6</v>
      </c>
      <c r="AC115" s="722">
        <v>0.7</v>
      </c>
      <c r="AD115" s="722">
        <v>0.8</v>
      </c>
      <c r="AE115" s="722">
        <v>0.9</v>
      </c>
      <c r="AF115" s="722">
        <v>0.95</v>
      </c>
    </row>
    <row r="116" spans="18:33" x14ac:dyDescent="0.2">
      <c r="W116" s="214"/>
      <c r="X116" s="214"/>
      <c r="Y116" s="214"/>
      <c r="Z116" s="257"/>
      <c r="AA116" s="257"/>
      <c r="AB116" s="257"/>
      <c r="AC116" s="257"/>
      <c r="AD116" s="257"/>
      <c r="AE116" s="257"/>
      <c r="AF116" s="257"/>
    </row>
    <row r="117" spans="18:33" x14ac:dyDescent="0.2">
      <c r="S117" t="s">
        <v>780</v>
      </c>
      <c r="T117" s="652" t="s">
        <v>724</v>
      </c>
      <c r="U117">
        <f>U114*U115</f>
        <v>0</v>
      </c>
      <c r="V117">
        <f>V114*V115</f>
        <v>1E-4</v>
      </c>
      <c r="W117" s="214">
        <f>W114*W115</f>
        <v>1.0000000000000002E-2</v>
      </c>
      <c r="X117" s="214">
        <f t="shared" ref="X117:AF117" si="6">X114*X115</f>
        <v>4.0000000000000008E-2</v>
      </c>
      <c r="Y117" s="214">
        <f t="shared" si="6"/>
        <v>0.09</v>
      </c>
      <c r="Z117" s="257">
        <f t="shared" si="6"/>
        <v>0.16000000000000003</v>
      </c>
      <c r="AA117" s="257">
        <f t="shared" si="6"/>
        <v>0.25</v>
      </c>
      <c r="AB117" s="257">
        <f t="shared" si="6"/>
        <v>0.36</v>
      </c>
      <c r="AC117" s="257">
        <f t="shared" si="6"/>
        <v>0.48999999999999994</v>
      </c>
      <c r="AD117" s="257">
        <f t="shared" si="6"/>
        <v>0.64000000000000012</v>
      </c>
      <c r="AE117" s="257">
        <f t="shared" si="6"/>
        <v>0.81</v>
      </c>
      <c r="AF117" s="257">
        <f t="shared" si="6"/>
        <v>0.90249999999999997</v>
      </c>
    </row>
    <row r="118" spans="18:33" x14ac:dyDescent="0.2">
      <c r="W118" s="214"/>
      <c r="X118" s="214"/>
      <c r="Y118" s="214"/>
      <c r="Z118" s="257"/>
      <c r="AA118" s="257"/>
      <c r="AB118" s="257"/>
      <c r="AC118" s="257"/>
      <c r="AD118" s="257"/>
      <c r="AE118" s="257"/>
      <c r="AF118" s="257"/>
    </row>
    <row r="119" spans="18:33" x14ac:dyDescent="0.2">
      <c r="S119" t="s">
        <v>781</v>
      </c>
      <c r="U119" s="57">
        <f>U108-U117</f>
        <v>1</v>
      </c>
      <c r="V119" s="57">
        <f>V108-V117</f>
        <v>999.99990000000003</v>
      </c>
      <c r="W119" s="719">
        <f>W108-W117</f>
        <v>1.0900000000000001</v>
      </c>
      <c r="X119" s="719">
        <f t="shared" ref="X119:AF119" si="7">X108-X117</f>
        <v>1.06</v>
      </c>
      <c r="Y119" s="719">
        <f t="shared" si="7"/>
        <v>1.01</v>
      </c>
      <c r="Z119" s="722">
        <f t="shared" si="7"/>
        <v>0.94000000000000006</v>
      </c>
      <c r="AA119" s="722">
        <f t="shared" si="7"/>
        <v>0.85000000000000009</v>
      </c>
      <c r="AB119" s="722">
        <f t="shared" si="7"/>
        <v>0.7400000000000001</v>
      </c>
      <c r="AC119" s="722">
        <f t="shared" si="7"/>
        <v>0.6100000000000001</v>
      </c>
      <c r="AD119" s="722">
        <f t="shared" si="7"/>
        <v>0.45999999999999996</v>
      </c>
      <c r="AE119" s="722">
        <f t="shared" si="7"/>
        <v>0.29000000000000004</v>
      </c>
      <c r="AF119" s="722">
        <f t="shared" si="7"/>
        <v>0.19750000000000012</v>
      </c>
    </row>
    <row r="120" spans="18:33" x14ac:dyDescent="0.2">
      <c r="U120" s="57"/>
      <c r="V120" s="57"/>
      <c r="W120" s="719"/>
      <c r="X120" s="719"/>
      <c r="Y120" s="719"/>
      <c r="Z120" s="722"/>
      <c r="AA120" s="722"/>
      <c r="AB120" s="722"/>
      <c r="AC120" s="722"/>
      <c r="AD120" s="722"/>
      <c r="AE120" s="722"/>
      <c r="AF120" s="722"/>
    </row>
    <row r="121" spans="18:33" x14ac:dyDescent="0.2">
      <c r="S121" t="s">
        <v>1076</v>
      </c>
      <c r="U121" s="841" t="e">
        <f>U92/U117</f>
        <v>#DIV/0!</v>
      </c>
      <c r="V121" s="841">
        <f>V92/V117</f>
        <v>10000000</v>
      </c>
      <c r="W121" s="719">
        <f>W92/W117</f>
        <v>99999.999999999985</v>
      </c>
      <c r="X121" s="719">
        <f t="shared" ref="X121:Y121" si="8">X92/X117</f>
        <v>24999.999999999996</v>
      </c>
      <c r="Y121" s="719">
        <f t="shared" si="8"/>
        <v>11111.111111111111</v>
      </c>
      <c r="Z121" s="722">
        <f>Z92/Z117</f>
        <v>6249.9999999999991</v>
      </c>
      <c r="AA121" s="722">
        <f t="shared" ref="AA121:AF121" si="9">AA92/AA117</f>
        <v>4000</v>
      </c>
      <c r="AB121" s="722">
        <f t="shared" si="9"/>
        <v>2777.7777777777778</v>
      </c>
      <c r="AC121" s="722">
        <f t="shared" si="9"/>
        <v>2040.8163265306125</v>
      </c>
      <c r="AD121" s="722">
        <f t="shared" si="9"/>
        <v>1562.4999999999998</v>
      </c>
      <c r="AE121" s="722">
        <f t="shared" si="9"/>
        <v>1234.5679012345679</v>
      </c>
      <c r="AF121" s="722">
        <f t="shared" si="9"/>
        <v>1108.03324099723</v>
      </c>
      <c r="AG121" t="s">
        <v>591</v>
      </c>
    </row>
    <row r="122" spans="18:33" x14ac:dyDescent="0.2">
      <c r="U122" s="57"/>
      <c r="V122" s="57"/>
      <c r="W122" s="719"/>
      <c r="X122" s="719"/>
      <c r="Y122" s="719"/>
      <c r="Z122" s="722"/>
      <c r="AA122" s="722"/>
      <c r="AB122" s="722"/>
      <c r="AC122" s="722"/>
      <c r="AD122" s="722"/>
      <c r="AE122" s="722"/>
      <c r="AF122" s="722"/>
    </row>
    <row r="123" spans="18:33" x14ac:dyDescent="0.2">
      <c r="W123" s="214"/>
      <c r="X123" s="214"/>
      <c r="Y123" s="214"/>
      <c r="Z123" s="257"/>
      <c r="AA123" s="257"/>
      <c r="AB123" s="257"/>
      <c r="AC123" s="257"/>
      <c r="AD123" s="257"/>
      <c r="AE123" s="257"/>
      <c r="AF123" s="257"/>
    </row>
    <row r="124" spans="18:33" x14ac:dyDescent="0.2">
      <c r="S124" t="s">
        <v>782</v>
      </c>
      <c r="U124" s="498">
        <f>U92/U119</f>
        <v>1000</v>
      </c>
      <c r="V124" s="498">
        <f>V92/V119</f>
        <v>1.0000001000000101</v>
      </c>
      <c r="W124" s="720">
        <f>W92/W119</f>
        <v>917.43119266055044</v>
      </c>
      <c r="X124" s="720">
        <f t="shared" ref="X124:AF124" si="10">X92/X119</f>
        <v>943.39622641509425</v>
      </c>
      <c r="Y124" s="720">
        <f t="shared" si="10"/>
        <v>990.09900990099004</v>
      </c>
      <c r="Z124" s="723">
        <f t="shared" si="10"/>
        <v>1063.8297872340424</v>
      </c>
      <c r="AA124" s="723">
        <f t="shared" si="10"/>
        <v>1176.4705882352939</v>
      </c>
      <c r="AB124" s="723">
        <f t="shared" si="10"/>
        <v>1351.3513513513512</v>
      </c>
      <c r="AC124" s="723">
        <f t="shared" si="10"/>
        <v>1639.3442622950818</v>
      </c>
      <c r="AD124" s="723">
        <f t="shared" si="10"/>
        <v>2173.913043478261</v>
      </c>
      <c r="AE124" s="723">
        <f t="shared" si="10"/>
        <v>3448.2758620689651</v>
      </c>
      <c r="AF124" s="723">
        <f t="shared" si="10"/>
        <v>5063.2911392405031</v>
      </c>
      <c r="AG124" t="s">
        <v>591</v>
      </c>
    </row>
    <row r="125" spans="18:33" x14ac:dyDescent="0.2">
      <c r="W125" s="214"/>
      <c r="X125" s="214"/>
      <c r="Y125" s="214"/>
      <c r="Z125" s="257"/>
      <c r="AA125" s="257"/>
      <c r="AB125" s="257"/>
      <c r="AC125" s="257"/>
      <c r="AD125" s="257"/>
      <c r="AE125" s="257"/>
      <c r="AF125" s="257"/>
    </row>
  </sheetData>
  <mergeCells count="4">
    <mergeCell ref="C22:D22"/>
    <mergeCell ref="C23:D23"/>
    <mergeCell ref="W89:Y89"/>
    <mergeCell ref="Z89:AF89"/>
  </mergeCells>
  <phoneticPr fontId="5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EBCF-D9FA-4CA0-B706-42D96B4A45FD}">
  <sheetPr>
    <tabColor rgb="FF92D050"/>
  </sheetPr>
  <dimension ref="F4:AE153"/>
  <sheetViews>
    <sheetView topLeftCell="C122" workbookViewId="0">
      <selection activeCell="N143" sqref="N143"/>
    </sheetView>
  </sheetViews>
  <sheetFormatPr defaultRowHeight="18" x14ac:dyDescent="0.25"/>
  <cols>
    <col min="6" max="6" width="14" style="752" customWidth="1"/>
    <col min="7" max="7" width="9" style="753"/>
    <col min="8" max="8" width="11.5" customWidth="1"/>
    <col min="11" max="11" width="15" customWidth="1"/>
    <col min="15" max="15" width="13.125" bestFit="1" customWidth="1"/>
    <col min="16" max="16" width="13.375" bestFit="1" customWidth="1"/>
    <col min="18" max="18" width="14.125" customWidth="1"/>
    <col min="19" max="22" width="11.5" bestFit="1" customWidth="1"/>
    <col min="23" max="23" width="13.375" bestFit="1" customWidth="1"/>
    <col min="24" max="27" width="11.5" bestFit="1" customWidth="1"/>
    <col min="28" max="30" width="12.75" bestFit="1" customWidth="1"/>
    <col min="31" max="31" width="14.125" customWidth="1"/>
  </cols>
  <sheetData>
    <row r="4" spans="6:13" ht="18.75" thickBot="1" x14ac:dyDescent="0.3"/>
    <row r="5" spans="6:13" x14ac:dyDescent="0.25">
      <c r="F5" s="752" t="s">
        <v>1054</v>
      </c>
      <c r="G5" s="753" t="s">
        <v>8</v>
      </c>
      <c r="H5" t="s">
        <v>1056</v>
      </c>
      <c r="K5" s="811"/>
      <c r="L5" s="812"/>
      <c r="M5" s="813"/>
    </row>
    <row r="6" spans="6:13" x14ac:dyDescent="0.25">
      <c r="K6" s="814"/>
      <c r="L6" s="815"/>
      <c r="M6" s="816"/>
    </row>
    <row r="7" spans="6:13" x14ac:dyDescent="0.25">
      <c r="K7" s="814"/>
      <c r="L7" s="815"/>
      <c r="M7" s="816"/>
    </row>
    <row r="8" spans="6:13" x14ac:dyDescent="0.25">
      <c r="K8" s="814"/>
      <c r="L8" s="815"/>
      <c r="M8" s="816"/>
    </row>
    <row r="9" spans="6:13" x14ac:dyDescent="0.25">
      <c r="K9" s="814"/>
      <c r="L9" s="815"/>
      <c r="M9" s="816"/>
    </row>
    <row r="10" spans="6:13" x14ac:dyDescent="0.25">
      <c r="K10" s="814"/>
      <c r="L10" s="815"/>
      <c r="M10" s="816"/>
    </row>
    <row r="11" spans="6:13" x14ac:dyDescent="0.25">
      <c r="K11" s="814"/>
      <c r="L11" s="815"/>
      <c r="M11" s="816"/>
    </row>
    <row r="12" spans="6:13" x14ac:dyDescent="0.25">
      <c r="K12" s="814"/>
      <c r="L12" s="815"/>
      <c r="M12" s="816"/>
    </row>
    <row r="13" spans="6:13" x14ac:dyDescent="0.25">
      <c r="K13" s="814"/>
      <c r="L13" s="815"/>
      <c r="M13" s="816"/>
    </row>
    <row r="14" spans="6:13" ht="18.75" thickBot="1" x14ac:dyDescent="0.3">
      <c r="K14" s="817"/>
      <c r="L14" s="818"/>
      <c r="M14" s="819"/>
    </row>
    <row r="15" spans="6:13" x14ac:dyDescent="0.25">
      <c r="K15" s="158"/>
      <c r="L15" s="158"/>
      <c r="M15" s="158"/>
    </row>
    <row r="16" spans="6:13" x14ac:dyDescent="0.25">
      <c r="K16" s="158"/>
      <c r="L16" s="158"/>
      <c r="M16" s="158"/>
    </row>
    <row r="17" spans="6:31" ht="18.75" thickBot="1" x14ac:dyDescent="0.3"/>
    <row r="18" spans="6:31" x14ac:dyDescent="0.25">
      <c r="F18" s="752" t="s">
        <v>1055</v>
      </c>
      <c r="H18" t="s">
        <v>1059</v>
      </c>
      <c r="K18" s="820"/>
      <c r="O18" s="141" t="s">
        <v>729</v>
      </c>
      <c r="R18" s="141" t="s">
        <v>734</v>
      </c>
      <c r="S18" t="s">
        <v>736</v>
      </c>
    </row>
    <row r="19" spans="6:31" ht="18.75" thickBot="1" x14ac:dyDescent="0.3">
      <c r="K19" s="821"/>
    </row>
    <row r="20" spans="6:31" ht="34.5" customHeight="1" thickBot="1" x14ac:dyDescent="0.3">
      <c r="G20" s="753" t="s">
        <v>583</v>
      </c>
      <c r="K20" s="822"/>
      <c r="Q20" s="791" t="s">
        <v>733</v>
      </c>
      <c r="R20" s="792"/>
      <c r="S20" s="792"/>
      <c r="T20" s="792"/>
      <c r="U20" s="793"/>
    </row>
    <row r="21" spans="6:31" ht="18.75" thickBot="1" x14ac:dyDescent="0.3">
      <c r="Q21" s="328"/>
      <c r="R21" s="189"/>
      <c r="S21" s="189"/>
      <c r="T21" s="650"/>
      <c r="U21" s="330"/>
    </row>
    <row r="22" spans="6:31" x14ac:dyDescent="0.25">
      <c r="H22" s="575" t="s">
        <v>1067</v>
      </c>
      <c r="Q22" s="492" t="s">
        <v>47</v>
      </c>
      <c r="R22" s="188" t="s">
        <v>455</v>
      </c>
      <c r="S22" s="491">
        <v>1.2</v>
      </c>
      <c r="T22" s="189" t="s">
        <v>753</v>
      </c>
      <c r="U22" s="330"/>
    </row>
    <row r="23" spans="6:31" x14ac:dyDescent="0.25">
      <c r="Q23" s="492" t="s">
        <v>47</v>
      </c>
      <c r="R23" s="188" t="s">
        <v>735</v>
      </c>
      <c r="S23" s="493">
        <v>1.1000000000000001</v>
      </c>
      <c r="T23" s="189" t="s">
        <v>754</v>
      </c>
      <c r="U23" s="330"/>
    </row>
    <row r="24" spans="6:31" ht="18.75" thickBot="1" x14ac:dyDescent="0.3">
      <c r="Q24" s="492" t="s">
        <v>47</v>
      </c>
      <c r="R24" s="188" t="s">
        <v>745</v>
      </c>
      <c r="S24" s="497">
        <v>1</v>
      </c>
      <c r="T24" s="189" t="s">
        <v>755</v>
      </c>
      <c r="U24" s="330"/>
    </row>
    <row r="25" spans="6:31" ht="18.75" thickBot="1" x14ac:dyDescent="0.3">
      <c r="Q25" s="332"/>
      <c r="R25" s="333"/>
      <c r="S25" s="333"/>
      <c r="T25" s="333"/>
      <c r="U25" s="335"/>
    </row>
    <row r="29" spans="6:31" ht="18.75" thickBot="1" x14ac:dyDescent="0.3">
      <c r="Q29" s="575" t="s">
        <v>1063</v>
      </c>
    </row>
    <row r="30" spans="6:31" ht="43.5" customHeight="1" thickBot="1" x14ac:dyDescent="0.3">
      <c r="G30" s="753" t="s">
        <v>778</v>
      </c>
      <c r="H30" t="s">
        <v>1057</v>
      </c>
      <c r="K30" s="751"/>
      <c r="L30" s="724" t="s">
        <v>720</v>
      </c>
      <c r="O30" s="141" t="s">
        <v>717</v>
      </c>
      <c r="Q30" s="794" t="s">
        <v>694</v>
      </c>
      <c r="R30" s="784"/>
      <c r="S30" s="731" t="s">
        <v>668</v>
      </c>
      <c r="T30" s="732" t="s">
        <v>669</v>
      </c>
      <c r="U30" s="732" t="s">
        <v>670</v>
      </c>
      <c r="V30" s="732" t="s">
        <v>671</v>
      </c>
      <c r="W30" s="732" t="s">
        <v>672</v>
      </c>
      <c r="X30" s="732" t="s">
        <v>673</v>
      </c>
      <c r="Y30" s="732" t="s">
        <v>674</v>
      </c>
      <c r="Z30" s="732" t="s">
        <v>675</v>
      </c>
      <c r="AA30" s="732" t="s">
        <v>676</v>
      </c>
      <c r="AB30" s="732" t="s">
        <v>677</v>
      </c>
      <c r="AC30" s="732" t="s">
        <v>678</v>
      </c>
      <c r="AD30" s="741" t="s">
        <v>679</v>
      </c>
      <c r="AE30" s="808" t="s">
        <v>732</v>
      </c>
    </row>
    <row r="31" spans="6:31" ht="18.75" thickBot="1" x14ac:dyDescent="0.3">
      <c r="O31" t="s">
        <v>736</v>
      </c>
      <c r="P31" s="148" t="s">
        <v>731</v>
      </c>
      <c r="Q31" s="787"/>
      <c r="R31" s="810"/>
      <c r="S31" s="733" t="s">
        <v>656</v>
      </c>
      <c r="T31" s="734" t="s">
        <v>657</v>
      </c>
      <c r="U31" s="734" t="s">
        <v>658</v>
      </c>
      <c r="V31" s="734" t="s">
        <v>659</v>
      </c>
      <c r="W31" s="734" t="s">
        <v>660</v>
      </c>
      <c r="X31" s="734" t="s">
        <v>661</v>
      </c>
      <c r="Y31" s="734" t="s">
        <v>662</v>
      </c>
      <c r="Z31" s="734" t="s">
        <v>663</v>
      </c>
      <c r="AA31" s="734" t="s">
        <v>664</v>
      </c>
      <c r="AB31" s="734" t="s">
        <v>665</v>
      </c>
      <c r="AC31" s="734" t="s">
        <v>666</v>
      </c>
      <c r="AD31" s="738" t="s">
        <v>667</v>
      </c>
      <c r="AE31" s="809"/>
    </row>
    <row r="32" spans="6:31" ht="18.75" thickBot="1" x14ac:dyDescent="0.3">
      <c r="Q32" s="787" t="s">
        <v>697</v>
      </c>
      <c r="R32" s="802"/>
      <c r="S32" s="729">
        <v>1</v>
      </c>
      <c r="T32" s="746">
        <v>2</v>
      </c>
      <c r="U32" s="746">
        <v>3</v>
      </c>
      <c r="V32" s="747">
        <v>4</v>
      </c>
      <c r="W32" s="747">
        <v>5</v>
      </c>
      <c r="X32" s="747">
        <v>6</v>
      </c>
      <c r="Y32" s="746">
        <v>7</v>
      </c>
      <c r="Z32" s="746">
        <v>8</v>
      </c>
      <c r="AA32" s="746">
        <v>9</v>
      </c>
      <c r="AB32" s="747">
        <v>10</v>
      </c>
      <c r="AC32" s="730">
        <v>11</v>
      </c>
      <c r="AD32" s="739">
        <v>12</v>
      </c>
      <c r="AE32" s="809"/>
    </row>
    <row r="33" spans="8:31" ht="57.75" thickBot="1" x14ac:dyDescent="0.3">
      <c r="P33" s="749" t="str">
        <f>S31</f>
        <v>World</v>
      </c>
      <c r="Q33" s="727" t="s">
        <v>698</v>
      </c>
      <c r="R33" s="728" t="s">
        <v>695</v>
      </c>
      <c r="S33" s="735">
        <f t="shared" ref="S33:AD33" si="0">S32/$AE$33</f>
        <v>8.2644628099173556E-2</v>
      </c>
      <c r="T33" s="737">
        <f t="shared" si="0"/>
        <v>0.16528925619834711</v>
      </c>
      <c r="U33" s="737">
        <f t="shared" si="0"/>
        <v>0.24793388429752067</v>
      </c>
      <c r="V33" s="737">
        <f t="shared" si="0"/>
        <v>0.33057851239669422</v>
      </c>
      <c r="W33" s="737">
        <f t="shared" si="0"/>
        <v>0.41322314049586778</v>
      </c>
      <c r="X33" s="737">
        <f t="shared" si="0"/>
        <v>0.49586776859504134</v>
      </c>
      <c r="Y33" s="737">
        <f t="shared" si="0"/>
        <v>0.57851239669421495</v>
      </c>
      <c r="Z33" s="737">
        <f t="shared" si="0"/>
        <v>0.66115702479338845</v>
      </c>
      <c r="AA33" s="737">
        <f t="shared" si="0"/>
        <v>0.74380165289256206</v>
      </c>
      <c r="AB33" s="737">
        <f t="shared" si="0"/>
        <v>0.82644628099173556</v>
      </c>
      <c r="AC33" s="736">
        <f t="shared" si="0"/>
        <v>0.90909090909090917</v>
      </c>
      <c r="AD33" s="742">
        <f t="shared" si="0"/>
        <v>0.99173553719008267</v>
      </c>
      <c r="AE33" s="740">
        <v>12.1</v>
      </c>
    </row>
    <row r="34" spans="8:31" ht="18.75" thickBot="1" x14ac:dyDescent="0.3">
      <c r="H34" s="575" t="s">
        <v>1065</v>
      </c>
      <c r="P34" t="s">
        <v>1064</v>
      </c>
      <c r="Q34" s="725"/>
      <c r="R34" s="743"/>
      <c r="S34" s="744"/>
      <c r="T34" s="744"/>
      <c r="U34" s="744"/>
      <c r="V34" s="744"/>
      <c r="W34" s="744"/>
      <c r="X34" s="744"/>
      <c r="Y34" s="744"/>
      <c r="Z34" s="744"/>
      <c r="AA34" s="744"/>
      <c r="AB34" s="744"/>
      <c r="AC34" s="744"/>
      <c r="AD34" s="744"/>
      <c r="AE34" s="745"/>
    </row>
    <row r="35" spans="8:31" ht="18.75" thickBot="1" x14ac:dyDescent="0.3">
      <c r="H35" s="575" t="s">
        <v>1066</v>
      </c>
      <c r="P35" s="148"/>
      <c r="Q35" s="794" t="s">
        <v>694</v>
      </c>
      <c r="R35" s="784"/>
      <c r="S35" s="731" t="s">
        <v>668</v>
      </c>
      <c r="T35" s="732" t="s">
        <v>669</v>
      </c>
      <c r="U35" s="732" t="s">
        <v>670</v>
      </c>
      <c r="V35" s="732" t="s">
        <v>671</v>
      </c>
      <c r="W35" s="732" t="s">
        <v>672</v>
      </c>
      <c r="X35" s="732" t="s">
        <v>673</v>
      </c>
      <c r="Y35" s="732" t="s">
        <v>674</v>
      </c>
      <c r="Z35" s="732" t="s">
        <v>675</v>
      </c>
      <c r="AA35" s="732" t="s">
        <v>676</v>
      </c>
      <c r="AB35" s="732" t="s">
        <v>677</v>
      </c>
      <c r="AC35" s="732" t="s">
        <v>678</v>
      </c>
      <c r="AD35" s="741" t="s">
        <v>679</v>
      </c>
      <c r="AE35" s="808" t="s">
        <v>732</v>
      </c>
    </row>
    <row r="36" spans="8:31" ht="18.75" thickBot="1" x14ac:dyDescent="0.3">
      <c r="P36" s="148"/>
      <c r="Q36" s="787"/>
      <c r="R36" s="810"/>
      <c r="S36" s="733" t="s">
        <v>656</v>
      </c>
      <c r="T36" s="734" t="s">
        <v>657</v>
      </c>
      <c r="U36" s="734" t="s">
        <v>658</v>
      </c>
      <c r="V36" s="734" t="s">
        <v>659</v>
      </c>
      <c r="W36" s="734" t="s">
        <v>660</v>
      </c>
      <c r="X36" s="734" t="s">
        <v>661</v>
      </c>
      <c r="Y36" s="734" t="s">
        <v>662</v>
      </c>
      <c r="Z36" s="734" t="s">
        <v>663</v>
      </c>
      <c r="AA36" s="734" t="s">
        <v>664</v>
      </c>
      <c r="AB36" s="734" t="s">
        <v>665</v>
      </c>
      <c r="AC36" s="734" t="s">
        <v>666</v>
      </c>
      <c r="AD36" s="738" t="s">
        <v>667</v>
      </c>
      <c r="AE36" s="809"/>
    </row>
    <row r="37" spans="8:31" ht="18.75" thickBot="1" x14ac:dyDescent="0.3">
      <c r="P37" s="148"/>
      <c r="Q37" s="787" t="s">
        <v>697</v>
      </c>
      <c r="R37" s="802"/>
      <c r="S37" s="729">
        <v>12</v>
      </c>
      <c r="T37" s="746">
        <v>1</v>
      </c>
      <c r="U37" s="746">
        <v>2</v>
      </c>
      <c r="V37" s="747">
        <v>3</v>
      </c>
      <c r="W37" s="747">
        <v>4</v>
      </c>
      <c r="X37" s="747">
        <v>5</v>
      </c>
      <c r="Y37" s="746">
        <v>6</v>
      </c>
      <c r="Z37" s="746">
        <v>7</v>
      </c>
      <c r="AA37" s="746">
        <v>8</v>
      </c>
      <c r="AB37" s="747">
        <v>9</v>
      </c>
      <c r="AC37" s="730">
        <v>10</v>
      </c>
      <c r="AD37" s="739">
        <v>11</v>
      </c>
      <c r="AE37" s="809"/>
    </row>
    <row r="38" spans="8:31" ht="57.75" thickBot="1" x14ac:dyDescent="0.3">
      <c r="P38" s="749" t="str">
        <f>T36</f>
        <v>Country</v>
      </c>
      <c r="Q38" s="727" t="s">
        <v>698</v>
      </c>
      <c r="R38" s="728" t="s">
        <v>695</v>
      </c>
      <c r="S38" s="735">
        <f t="shared" ref="S38:AD38" si="1">S37/$AE$33</f>
        <v>0.99173553719008267</v>
      </c>
      <c r="T38" s="737">
        <f t="shared" si="1"/>
        <v>8.2644628099173556E-2</v>
      </c>
      <c r="U38" s="737">
        <f t="shared" si="1"/>
        <v>0.16528925619834711</v>
      </c>
      <c r="V38" s="737">
        <f t="shared" si="1"/>
        <v>0.24793388429752067</v>
      </c>
      <c r="W38" s="737">
        <f t="shared" si="1"/>
        <v>0.33057851239669422</v>
      </c>
      <c r="X38" s="737">
        <f t="shared" si="1"/>
        <v>0.41322314049586778</v>
      </c>
      <c r="Y38" s="737">
        <f t="shared" si="1"/>
        <v>0.49586776859504134</v>
      </c>
      <c r="Z38" s="737">
        <f t="shared" si="1"/>
        <v>0.57851239669421495</v>
      </c>
      <c r="AA38" s="737">
        <f t="shared" si="1"/>
        <v>0.66115702479338845</v>
      </c>
      <c r="AB38" s="737">
        <f t="shared" si="1"/>
        <v>0.74380165289256206</v>
      </c>
      <c r="AC38" s="736">
        <f t="shared" si="1"/>
        <v>0.82644628099173556</v>
      </c>
      <c r="AD38" s="742">
        <f t="shared" si="1"/>
        <v>0.90909090909090917</v>
      </c>
      <c r="AE38" s="740">
        <v>12.1</v>
      </c>
    </row>
    <row r="39" spans="8:31" ht="18.75" thickBot="1" x14ac:dyDescent="0.3">
      <c r="P39" t="s">
        <v>1064</v>
      </c>
      <c r="Q39" s="725"/>
      <c r="R39" s="743"/>
      <c r="S39" s="744"/>
      <c r="T39" s="744"/>
      <c r="U39" s="744"/>
      <c r="V39" s="744"/>
      <c r="W39" s="744"/>
      <c r="X39" s="744"/>
      <c r="Y39" s="744"/>
      <c r="Z39" s="744"/>
      <c r="AA39" s="744"/>
      <c r="AB39" s="744"/>
      <c r="AC39" s="744"/>
      <c r="AD39" s="744"/>
      <c r="AE39" s="745"/>
    </row>
    <row r="40" spans="8:31" ht="18.75" thickBot="1" x14ac:dyDescent="0.3">
      <c r="P40" s="148"/>
      <c r="Q40" s="794" t="s">
        <v>694</v>
      </c>
      <c r="R40" s="784"/>
      <c r="S40" s="731" t="s">
        <v>668</v>
      </c>
      <c r="T40" s="732" t="s">
        <v>669</v>
      </c>
      <c r="U40" s="732" t="s">
        <v>670</v>
      </c>
      <c r="V40" s="732" t="s">
        <v>671</v>
      </c>
      <c r="W40" s="732" t="s">
        <v>672</v>
      </c>
      <c r="X40" s="732" t="s">
        <v>673</v>
      </c>
      <c r="Y40" s="732" t="s">
        <v>674</v>
      </c>
      <c r="Z40" s="732" t="s">
        <v>675</v>
      </c>
      <c r="AA40" s="732" t="s">
        <v>676</v>
      </c>
      <c r="AB40" s="732" t="s">
        <v>677</v>
      </c>
      <c r="AC40" s="732" t="s">
        <v>678</v>
      </c>
      <c r="AD40" s="741" t="s">
        <v>679</v>
      </c>
      <c r="AE40" s="808" t="s">
        <v>732</v>
      </c>
    </row>
    <row r="41" spans="8:31" ht="18.75" thickBot="1" x14ac:dyDescent="0.3">
      <c r="P41" s="148"/>
      <c r="Q41" s="787"/>
      <c r="R41" s="810"/>
      <c r="S41" s="733" t="s">
        <v>656</v>
      </c>
      <c r="T41" s="734" t="s">
        <v>657</v>
      </c>
      <c r="U41" s="734" t="s">
        <v>658</v>
      </c>
      <c r="V41" s="734" t="s">
        <v>659</v>
      </c>
      <c r="W41" s="734" t="s">
        <v>660</v>
      </c>
      <c r="X41" s="734" t="s">
        <v>661</v>
      </c>
      <c r="Y41" s="734" t="s">
        <v>662</v>
      </c>
      <c r="Z41" s="734" t="s">
        <v>663</v>
      </c>
      <c r="AA41" s="734" t="s">
        <v>664</v>
      </c>
      <c r="AB41" s="734" t="s">
        <v>665</v>
      </c>
      <c r="AC41" s="734" t="s">
        <v>666</v>
      </c>
      <c r="AD41" s="738" t="s">
        <v>667</v>
      </c>
      <c r="AE41" s="809"/>
    </row>
    <row r="42" spans="8:31" ht="18.75" thickBot="1" x14ac:dyDescent="0.3">
      <c r="P42" s="148"/>
      <c r="Q42" s="787" t="s">
        <v>697</v>
      </c>
      <c r="R42" s="802"/>
      <c r="S42" s="729">
        <v>11</v>
      </c>
      <c r="T42" s="746">
        <v>12</v>
      </c>
      <c r="U42" s="746">
        <v>1</v>
      </c>
      <c r="V42" s="747">
        <v>2</v>
      </c>
      <c r="W42" s="747">
        <v>3</v>
      </c>
      <c r="X42" s="747">
        <v>4</v>
      </c>
      <c r="Y42" s="746">
        <v>5</v>
      </c>
      <c r="Z42" s="746">
        <v>6</v>
      </c>
      <c r="AA42" s="746">
        <v>7</v>
      </c>
      <c r="AB42" s="747">
        <v>8</v>
      </c>
      <c r="AC42" s="730">
        <v>9</v>
      </c>
      <c r="AD42" s="739">
        <v>10</v>
      </c>
      <c r="AE42" s="809"/>
    </row>
    <row r="43" spans="8:31" ht="57.75" thickBot="1" x14ac:dyDescent="0.3">
      <c r="P43" s="749" t="str">
        <f>U41</f>
        <v>Society</v>
      </c>
      <c r="Q43" s="727" t="s">
        <v>698</v>
      </c>
      <c r="R43" s="728" t="s">
        <v>695</v>
      </c>
      <c r="S43" s="735">
        <f t="shared" ref="S43:AD43" si="2">S42/$AE$33</f>
        <v>0.90909090909090917</v>
      </c>
      <c r="T43" s="737">
        <f t="shared" si="2"/>
        <v>0.99173553719008267</v>
      </c>
      <c r="U43" s="737">
        <f t="shared" si="2"/>
        <v>8.2644628099173556E-2</v>
      </c>
      <c r="V43" s="737">
        <f t="shared" si="2"/>
        <v>0.16528925619834711</v>
      </c>
      <c r="W43" s="737">
        <f t="shared" si="2"/>
        <v>0.24793388429752067</v>
      </c>
      <c r="X43" s="737">
        <f t="shared" si="2"/>
        <v>0.33057851239669422</v>
      </c>
      <c r="Y43" s="737">
        <f t="shared" si="2"/>
        <v>0.41322314049586778</v>
      </c>
      <c r="Z43" s="737">
        <f t="shared" si="2"/>
        <v>0.49586776859504134</v>
      </c>
      <c r="AA43" s="737">
        <f t="shared" si="2"/>
        <v>0.57851239669421495</v>
      </c>
      <c r="AB43" s="737">
        <f t="shared" si="2"/>
        <v>0.66115702479338845</v>
      </c>
      <c r="AC43" s="736">
        <f t="shared" si="2"/>
        <v>0.74380165289256206</v>
      </c>
      <c r="AD43" s="742">
        <f t="shared" si="2"/>
        <v>0.82644628099173556</v>
      </c>
      <c r="AE43" s="740">
        <v>12.1</v>
      </c>
    </row>
    <row r="44" spans="8:31" ht="18.75" thickBot="1" x14ac:dyDescent="0.3">
      <c r="P44" t="s">
        <v>1064</v>
      </c>
      <c r="Q44" s="725"/>
      <c r="R44" s="743"/>
      <c r="S44" s="744"/>
      <c r="T44" s="744"/>
      <c r="U44" s="744"/>
      <c r="V44" s="744"/>
      <c r="W44" s="744"/>
      <c r="X44" s="744"/>
      <c r="Y44" s="744"/>
      <c r="Z44" s="744"/>
      <c r="AA44" s="744"/>
      <c r="AB44" s="744"/>
      <c r="AC44" s="744"/>
      <c r="AD44" s="744"/>
      <c r="AE44" s="745"/>
    </row>
    <row r="45" spans="8:31" ht="18.75" thickBot="1" x14ac:dyDescent="0.3">
      <c r="P45" s="148"/>
      <c r="Q45" s="794" t="s">
        <v>694</v>
      </c>
      <c r="R45" s="784"/>
      <c r="S45" s="731" t="s">
        <v>668</v>
      </c>
      <c r="T45" s="732" t="s">
        <v>669</v>
      </c>
      <c r="U45" s="732" t="s">
        <v>670</v>
      </c>
      <c r="V45" s="732" t="s">
        <v>671</v>
      </c>
      <c r="W45" s="732" t="s">
        <v>672</v>
      </c>
      <c r="X45" s="732" t="s">
        <v>673</v>
      </c>
      <c r="Y45" s="732" t="s">
        <v>674</v>
      </c>
      <c r="Z45" s="732" t="s">
        <v>675</v>
      </c>
      <c r="AA45" s="732" t="s">
        <v>676</v>
      </c>
      <c r="AB45" s="732" t="s">
        <v>677</v>
      </c>
      <c r="AC45" s="732" t="s">
        <v>678</v>
      </c>
      <c r="AD45" s="741" t="s">
        <v>679</v>
      </c>
      <c r="AE45" s="808" t="s">
        <v>732</v>
      </c>
    </row>
    <row r="46" spans="8:31" ht="18.75" thickBot="1" x14ac:dyDescent="0.3">
      <c r="P46" s="148"/>
      <c r="Q46" s="787"/>
      <c r="R46" s="810"/>
      <c r="S46" s="733" t="s">
        <v>656</v>
      </c>
      <c r="T46" s="734" t="s">
        <v>657</v>
      </c>
      <c r="U46" s="734" t="s">
        <v>658</v>
      </c>
      <c r="V46" s="734" t="s">
        <v>659</v>
      </c>
      <c r="W46" s="734" t="s">
        <v>660</v>
      </c>
      <c r="X46" s="734" t="s">
        <v>661</v>
      </c>
      <c r="Y46" s="734" t="s">
        <v>662</v>
      </c>
      <c r="Z46" s="734" t="s">
        <v>663</v>
      </c>
      <c r="AA46" s="734" t="s">
        <v>664</v>
      </c>
      <c r="AB46" s="734" t="s">
        <v>665</v>
      </c>
      <c r="AC46" s="734" t="s">
        <v>666</v>
      </c>
      <c r="AD46" s="738" t="s">
        <v>667</v>
      </c>
      <c r="AE46" s="809"/>
    </row>
    <row r="47" spans="8:31" ht="18.75" thickBot="1" x14ac:dyDescent="0.3">
      <c r="P47" s="148"/>
      <c r="Q47" s="787" t="s">
        <v>697</v>
      </c>
      <c r="R47" s="802"/>
      <c r="S47" s="729">
        <v>10</v>
      </c>
      <c r="T47" s="746">
        <v>11</v>
      </c>
      <c r="U47" s="746">
        <v>12</v>
      </c>
      <c r="V47" s="747">
        <v>1</v>
      </c>
      <c r="W47" s="747">
        <v>2</v>
      </c>
      <c r="X47" s="747">
        <v>3</v>
      </c>
      <c r="Y47" s="746">
        <v>4</v>
      </c>
      <c r="Z47" s="746">
        <v>5</v>
      </c>
      <c r="AA47" s="746">
        <v>6</v>
      </c>
      <c r="AB47" s="747">
        <v>7</v>
      </c>
      <c r="AC47" s="730">
        <v>8</v>
      </c>
      <c r="AD47" s="739">
        <v>9</v>
      </c>
      <c r="AE47" s="809"/>
    </row>
    <row r="48" spans="8:31" ht="57.75" thickBot="1" x14ac:dyDescent="0.3">
      <c r="P48" s="749" t="str">
        <f>V46</f>
        <v>Business</v>
      </c>
      <c r="Q48" s="727" t="s">
        <v>698</v>
      </c>
      <c r="R48" s="728" t="s">
        <v>695</v>
      </c>
      <c r="S48" s="735">
        <f t="shared" ref="S48:AD48" si="3">S47/$AE$33</f>
        <v>0.82644628099173556</v>
      </c>
      <c r="T48" s="737">
        <f t="shared" si="3"/>
        <v>0.90909090909090917</v>
      </c>
      <c r="U48" s="737">
        <f t="shared" si="3"/>
        <v>0.99173553719008267</v>
      </c>
      <c r="V48" s="737">
        <f t="shared" si="3"/>
        <v>8.2644628099173556E-2</v>
      </c>
      <c r="W48" s="737">
        <f t="shared" si="3"/>
        <v>0.16528925619834711</v>
      </c>
      <c r="X48" s="737">
        <f t="shared" si="3"/>
        <v>0.24793388429752067</v>
      </c>
      <c r="Y48" s="737">
        <f t="shared" si="3"/>
        <v>0.33057851239669422</v>
      </c>
      <c r="Z48" s="737">
        <f t="shared" si="3"/>
        <v>0.41322314049586778</v>
      </c>
      <c r="AA48" s="737">
        <f t="shared" si="3"/>
        <v>0.49586776859504134</v>
      </c>
      <c r="AB48" s="737">
        <f t="shared" si="3"/>
        <v>0.57851239669421495</v>
      </c>
      <c r="AC48" s="736">
        <f t="shared" si="3"/>
        <v>0.66115702479338845</v>
      </c>
      <c r="AD48" s="742">
        <f t="shared" si="3"/>
        <v>0.74380165289256206</v>
      </c>
      <c r="AE48" s="740">
        <v>12.1</v>
      </c>
    </row>
    <row r="49" spans="16:31" ht="18.75" thickBot="1" x14ac:dyDescent="0.3">
      <c r="P49" t="s">
        <v>1064</v>
      </c>
      <c r="Q49" s="725"/>
      <c r="R49" s="743"/>
      <c r="S49" s="744"/>
      <c r="T49" s="744"/>
      <c r="U49" s="744"/>
      <c r="V49" s="744"/>
      <c r="W49" s="744"/>
      <c r="X49" s="744"/>
      <c r="Y49" s="744"/>
      <c r="Z49" s="744"/>
      <c r="AA49" s="744"/>
      <c r="AB49" s="744"/>
      <c r="AC49" s="744"/>
      <c r="AD49" s="744"/>
      <c r="AE49" s="745"/>
    </row>
    <row r="50" spans="16:31" ht="18.75" thickBot="1" x14ac:dyDescent="0.3">
      <c r="P50" s="148"/>
      <c r="Q50" s="794" t="s">
        <v>694</v>
      </c>
      <c r="R50" s="784"/>
      <c r="S50" s="731" t="s">
        <v>668</v>
      </c>
      <c r="T50" s="732" t="s">
        <v>669</v>
      </c>
      <c r="U50" s="732" t="s">
        <v>670</v>
      </c>
      <c r="V50" s="732" t="s">
        <v>671</v>
      </c>
      <c r="W50" s="732" t="s">
        <v>672</v>
      </c>
      <c r="X50" s="732" t="s">
        <v>673</v>
      </c>
      <c r="Y50" s="732" t="s">
        <v>674</v>
      </c>
      <c r="Z50" s="732" t="s">
        <v>675</v>
      </c>
      <c r="AA50" s="732" t="s">
        <v>676</v>
      </c>
      <c r="AB50" s="732" t="s">
        <v>677</v>
      </c>
      <c r="AC50" s="732" t="s">
        <v>678</v>
      </c>
      <c r="AD50" s="741" t="s">
        <v>679</v>
      </c>
      <c r="AE50" s="808" t="s">
        <v>732</v>
      </c>
    </row>
    <row r="51" spans="16:31" ht="18.75" thickBot="1" x14ac:dyDescent="0.3">
      <c r="P51" s="148"/>
      <c r="Q51" s="787"/>
      <c r="R51" s="810"/>
      <c r="S51" s="733" t="s">
        <v>656</v>
      </c>
      <c r="T51" s="734" t="s">
        <v>657</v>
      </c>
      <c r="U51" s="734" t="s">
        <v>658</v>
      </c>
      <c r="V51" s="734" t="s">
        <v>659</v>
      </c>
      <c r="W51" s="734" t="s">
        <v>660</v>
      </c>
      <c r="X51" s="734" t="s">
        <v>661</v>
      </c>
      <c r="Y51" s="734" t="s">
        <v>662</v>
      </c>
      <c r="Z51" s="734" t="s">
        <v>663</v>
      </c>
      <c r="AA51" s="734" t="s">
        <v>664</v>
      </c>
      <c r="AB51" s="734" t="s">
        <v>665</v>
      </c>
      <c r="AC51" s="734" t="s">
        <v>666</v>
      </c>
      <c r="AD51" s="738" t="s">
        <v>667</v>
      </c>
      <c r="AE51" s="809"/>
    </row>
    <row r="52" spans="16:31" ht="18.75" thickBot="1" x14ac:dyDescent="0.3">
      <c r="P52" s="148"/>
      <c r="Q52" s="787" t="s">
        <v>697</v>
      </c>
      <c r="R52" s="802"/>
      <c r="S52" s="729">
        <v>9</v>
      </c>
      <c r="T52" s="746">
        <v>10</v>
      </c>
      <c r="U52" s="746">
        <v>11</v>
      </c>
      <c r="V52" s="747">
        <v>12</v>
      </c>
      <c r="W52" s="747">
        <v>1</v>
      </c>
      <c r="X52" s="747">
        <v>2</v>
      </c>
      <c r="Y52" s="746">
        <v>3</v>
      </c>
      <c r="Z52" s="746">
        <v>4</v>
      </c>
      <c r="AA52" s="746">
        <v>5</v>
      </c>
      <c r="AB52" s="747">
        <v>6</v>
      </c>
      <c r="AC52" s="730">
        <v>7</v>
      </c>
      <c r="AD52" s="739">
        <v>8</v>
      </c>
      <c r="AE52" s="809"/>
    </row>
    <row r="53" spans="16:31" ht="57.75" thickBot="1" x14ac:dyDescent="0.3">
      <c r="P53" s="749" t="str">
        <f>W51</f>
        <v>Organization</v>
      </c>
      <c r="Q53" s="727" t="s">
        <v>698</v>
      </c>
      <c r="R53" s="728" t="s">
        <v>695</v>
      </c>
      <c r="S53" s="735">
        <f t="shared" ref="S53:AD53" si="4">S52/$AE$33</f>
        <v>0.74380165289256206</v>
      </c>
      <c r="T53" s="737">
        <f t="shared" si="4"/>
        <v>0.82644628099173556</v>
      </c>
      <c r="U53" s="737">
        <f t="shared" si="4"/>
        <v>0.90909090909090917</v>
      </c>
      <c r="V53" s="737">
        <f t="shared" si="4"/>
        <v>0.99173553719008267</v>
      </c>
      <c r="W53" s="737">
        <f t="shared" si="4"/>
        <v>8.2644628099173556E-2</v>
      </c>
      <c r="X53" s="737">
        <f t="shared" si="4"/>
        <v>0.16528925619834711</v>
      </c>
      <c r="Y53" s="737">
        <f t="shared" si="4"/>
        <v>0.24793388429752067</v>
      </c>
      <c r="Z53" s="737">
        <f t="shared" si="4"/>
        <v>0.33057851239669422</v>
      </c>
      <c r="AA53" s="737">
        <f t="shared" si="4"/>
        <v>0.41322314049586778</v>
      </c>
      <c r="AB53" s="737">
        <f t="shared" si="4"/>
        <v>0.49586776859504134</v>
      </c>
      <c r="AC53" s="736">
        <f t="shared" si="4"/>
        <v>0.57851239669421495</v>
      </c>
      <c r="AD53" s="742">
        <f t="shared" si="4"/>
        <v>0.66115702479338845</v>
      </c>
      <c r="AE53" s="740">
        <v>12.1</v>
      </c>
    </row>
    <row r="54" spans="16:31" ht="18.75" thickBot="1" x14ac:dyDescent="0.3">
      <c r="P54" t="s">
        <v>1064</v>
      </c>
      <c r="Q54" s="725"/>
      <c r="R54" s="743"/>
      <c r="S54" s="744"/>
      <c r="T54" s="744"/>
      <c r="U54" s="744"/>
      <c r="V54" s="744"/>
      <c r="W54" s="744"/>
      <c r="X54" s="744"/>
      <c r="Y54" s="744"/>
      <c r="Z54" s="744"/>
      <c r="AA54" s="744"/>
      <c r="AB54" s="744"/>
      <c r="AC54" s="744"/>
      <c r="AD54" s="744"/>
      <c r="AE54" s="745"/>
    </row>
    <row r="55" spans="16:31" ht="18.75" thickBot="1" x14ac:dyDescent="0.3">
      <c r="P55" s="148"/>
      <c r="Q55" s="794" t="s">
        <v>694</v>
      </c>
      <c r="R55" s="784"/>
      <c r="S55" s="731" t="s">
        <v>668</v>
      </c>
      <c r="T55" s="732" t="s">
        <v>669</v>
      </c>
      <c r="U55" s="732" t="s">
        <v>670</v>
      </c>
      <c r="V55" s="732" t="s">
        <v>671</v>
      </c>
      <c r="W55" s="732" t="s">
        <v>672</v>
      </c>
      <c r="X55" s="732" t="s">
        <v>673</v>
      </c>
      <c r="Y55" s="732" t="s">
        <v>674</v>
      </c>
      <c r="Z55" s="732" t="s">
        <v>675</v>
      </c>
      <c r="AA55" s="732" t="s">
        <v>676</v>
      </c>
      <c r="AB55" s="732" t="s">
        <v>677</v>
      </c>
      <c r="AC55" s="732" t="s">
        <v>678</v>
      </c>
      <c r="AD55" s="741" t="s">
        <v>679</v>
      </c>
      <c r="AE55" s="808" t="s">
        <v>732</v>
      </c>
    </row>
    <row r="56" spans="16:31" ht="18.75" thickBot="1" x14ac:dyDescent="0.3">
      <c r="P56" s="148"/>
      <c r="Q56" s="787"/>
      <c r="R56" s="810"/>
      <c r="S56" s="733" t="s">
        <v>656</v>
      </c>
      <c r="T56" s="734" t="s">
        <v>657</v>
      </c>
      <c r="U56" s="734" t="s">
        <v>658</v>
      </c>
      <c r="V56" s="734" t="s">
        <v>659</v>
      </c>
      <c r="W56" s="734" t="s">
        <v>660</v>
      </c>
      <c r="X56" s="734" t="s">
        <v>661</v>
      </c>
      <c r="Y56" s="734" t="s">
        <v>662</v>
      </c>
      <c r="Z56" s="734" t="s">
        <v>663</v>
      </c>
      <c r="AA56" s="734" t="s">
        <v>664</v>
      </c>
      <c r="AB56" s="734" t="s">
        <v>665</v>
      </c>
      <c r="AC56" s="734" t="s">
        <v>666</v>
      </c>
      <c r="AD56" s="738" t="s">
        <v>667</v>
      </c>
      <c r="AE56" s="809"/>
    </row>
    <row r="57" spans="16:31" ht="18.75" thickBot="1" x14ac:dyDescent="0.3">
      <c r="P57" s="148"/>
      <c r="Q57" s="787" t="s">
        <v>697</v>
      </c>
      <c r="R57" s="802"/>
      <c r="S57" s="729">
        <v>8</v>
      </c>
      <c r="T57" s="746">
        <v>9</v>
      </c>
      <c r="U57" s="746">
        <v>10</v>
      </c>
      <c r="V57" s="747">
        <v>11</v>
      </c>
      <c r="W57" s="747">
        <v>12</v>
      </c>
      <c r="X57" s="747">
        <v>1</v>
      </c>
      <c r="Y57" s="746">
        <v>2</v>
      </c>
      <c r="Z57" s="746">
        <v>3</v>
      </c>
      <c r="AA57" s="746">
        <v>4</v>
      </c>
      <c r="AB57" s="747">
        <v>5</v>
      </c>
      <c r="AC57" s="730">
        <v>6</v>
      </c>
      <c r="AD57" s="739">
        <v>7</v>
      </c>
      <c r="AE57" s="809"/>
    </row>
    <row r="58" spans="16:31" ht="57.75" thickBot="1" x14ac:dyDescent="0.3">
      <c r="P58" s="749" t="str">
        <f>X56</f>
        <v>Team</v>
      </c>
      <c r="Q58" s="727" t="s">
        <v>698</v>
      </c>
      <c r="R58" s="728" t="s">
        <v>695</v>
      </c>
      <c r="S58" s="735">
        <f t="shared" ref="S58:AD58" si="5">S57/$AE$33</f>
        <v>0.66115702479338845</v>
      </c>
      <c r="T58" s="737">
        <f t="shared" si="5"/>
        <v>0.74380165289256206</v>
      </c>
      <c r="U58" s="737">
        <f t="shared" si="5"/>
        <v>0.82644628099173556</v>
      </c>
      <c r="V58" s="737">
        <f t="shared" si="5"/>
        <v>0.90909090909090917</v>
      </c>
      <c r="W58" s="737">
        <f t="shared" si="5"/>
        <v>0.99173553719008267</v>
      </c>
      <c r="X58" s="737">
        <f t="shared" si="5"/>
        <v>8.2644628099173556E-2</v>
      </c>
      <c r="Y58" s="737">
        <f t="shared" si="5"/>
        <v>0.16528925619834711</v>
      </c>
      <c r="Z58" s="737">
        <f t="shared" si="5"/>
        <v>0.24793388429752067</v>
      </c>
      <c r="AA58" s="737">
        <f t="shared" si="5"/>
        <v>0.33057851239669422</v>
      </c>
      <c r="AB58" s="737">
        <f t="shared" si="5"/>
        <v>0.41322314049586778</v>
      </c>
      <c r="AC58" s="736">
        <f t="shared" si="5"/>
        <v>0.49586776859504134</v>
      </c>
      <c r="AD58" s="742">
        <f t="shared" si="5"/>
        <v>0.57851239669421495</v>
      </c>
      <c r="AE58" s="740">
        <v>12.1</v>
      </c>
    </row>
    <row r="59" spans="16:31" ht="18.75" thickBot="1" x14ac:dyDescent="0.3">
      <c r="P59" t="s">
        <v>1064</v>
      </c>
      <c r="Q59" s="725"/>
      <c r="R59" s="743"/>
      <c r="S59" s="744"/>
      <c r="T59" s="744"/>
      <c r="U59" s="744"/>
      <c r="V59" s="744"/>
      <c r="W59" s="744"/>
      <c r="X59" s="744"/>
      <c r="Y59" s="744"/>
      <c r="Z59" s="744"/>
      <c r="AA59" s="744"/>
      <c r="AB59" s="744"/>
      <c r="AC59" s="744"/>
      <c r="AD59" s="744"/>
      <c r="AE59" s="745"/>
    </row>
    <row r="60" spans="16:31" ht="18.75" thickBot="1" x14ac:dyDescent="0.3">
      <c r="P60" s="148"/>
      <c r="Q60" s="794" t="s">
        <v>694</v>
      </c>
      <c r="R60" s="784"/>
      <c r="S60" s="731" t="s">
        <v>668</v>
      </c>
      <c r="T60" s="732" t="s">
        <v>669</v>
      </c>
      <c r="U60" s="732" t="s">
        <v>670</v>
      </c>
      <c r="V60" s="732" t="s">
        <v>671</v>
      </c>
      <c r="W60" s="732" t="s">
        <v>672</v>
      </c>
      <c r="X60" s="732" t="s">
        <v>673</v>
      </c>
      <c r="Y60" s="732" t="s">
        <v>674</v>
      </c>
      <c r="Z60" s="732" t="s">
        <v>675</v>
      </c>
      <c r="AA60" s="732" t="s">
        <v>676</v>
      </c>
      <c r="AB60" s="732" t="s">
        <v>677</v>
      </c>
      <c r="AC60" s="732" t="s">
        <v>678</v>
      </c>
      <c r="AD60" s="741" t="s">
        <v>679</v>
      </c>
      <c r="AE60" s="808" t="s">
        <v>732</v>
      </c>
    </row>
    <row r="61" spans="16:31" ht="18.75" thickBot="1" x14ac:dyDescent="0.3">
      <c r="P61" s="148"/>
      <c r="Q61" s="787"/>
      <c r="R61" s="810"/>
      <c r="S61" s="733" t="s">
        <v>656</v>
      </c>
      <c r="T61" s="734" t="s">
        <v>657</v>
      </c>
      <c r="U61" s="734" t="s">
        <v>658</v>
      </c>
      <c r="V61" s="734" t="s">
        <v>659</v>
      </c>
      <c r="W61" s="734" t="s">
        <v>660</v>
      </c>
      <c r="X61" s="734" t="s">
        <v>661</v>
      </c>
      <c r="Y61" s="734" t="s">
        <v>662</v>
      </c>
      <c r="Z61" s="734" t="s">
        <v>663</v>
      </c>
      <c r="AA61" s="734" t="s">
        <v>664</v>
      </c>
      <c r="AB61" s="734" t="s">
        <v>665</v>
      </c>
      <c r="AC61" s="734" t="s">
        <v>666</v>
      </c>
      <c r="AD61" s="738" t="s">
        <v>667</v>
      </c>
      <c r="AE61" s="809"/>
    </row>
    <row r="62" spans="16:31" ht="18.75" thickBot="1" x14ac:dyDescent="0.3">
      <c r="P62" s="148"/>
      <c r="Q62" s="787" t="s">
        <v>697</v>
      </c>
      <c r="R62" s="802"/>
      <c r="S62" s="729">
        <v>7</v>
      </c>
      <c r="T62" s="746">
        <v>8</v>
      </c>
      <c r="U62" s="746">
        <v>9</v>
      </c>
      <c r="V62" s="747">
        <v>10</v>
      </c>
      <c r="W62" s="747">
        <v>11</v>
      </c>
      <c r="X62" s="747">
        <v>12</v>
      </c>
      <c r="Y62" s="746">
        <v>1</v>
      </c>
      <c r="Z62" s="746">
        <v>2</v>
      </c>
      <c r="AA62" s="746">
        <v>3</v>
      </c>
      <c r="AB62" s="747">
        <v>4</v>
      </c>
      <c r="AC62" s="730">
        <v>5</v>
      </c>
      <c r="AD62" s="739">
        <v>6</v>
      </c>
      <c r="AE62" s="809"/>
    </row>
    <row r="63" spans="16:31" ht="57.75" thickBot="1" x14ac:dyDescent="0.3">
      <c r="P63" s="749" t="str">
        <f>Y61</f>
        <v>Product</v>
      </c>
      <c r="Q63" s="727" t="s">
        <v>698</v>
      </c>
      <c r="R63" s="728" t="s">
        <v>695</v>
      </c>
      <c r="S63" s="735">
        <f t="shared" ref="S63:AD63" si="6">S62/$AE$33</f>
        <v>0.57851239669421495</v>
      </c>
      <c r="T63" s="737">
        <f t="shared" si="6"/>
        <v>0.66115702479338845</v>
      </c>
      <c r="U63" s="737">
        <f t="shared" si="6"/>
        <v>0.74380165289256206</v>
      </c>
      <c r="V63" s="737">
        <f t="shared" si="6"/>
        <v>0.82644628099173556</v>
      </c>
      <c r="W63" s="737">
        <f t="shared" si="6"/>
        <v>0.90909090909090917</v>
      </c>
      <c r="X63" s="737">
        <f t="shared" si="6"/>
        <v>0.99173553719008267</v>
      </c>
      <c r="Y63" s="737">
        <f t="shared" si="6"/>
        <v>8.2644628099173556E-2</v>
      </c>
      <c r="Z63" s="737">
        <f t="shared" si="6"/>
        <v>0.16528925619834711</v>
      </c>
      <c r="AA63" s="737">
        <f t="shared" si="6"/>
        <v>0.24793388429752067</v>
      </c>
      <c r="AB63" s="737">
        <f t="shared" si="6"/>
        <v>0.33057851239669422</v>
      </c>
      <c r="AC63" s="736">
        <f t="shared" si="6"/>
        <v>0.41322314049586778</v>
      </c>
      <c r="AD63" s="742">
        <f t="shared" si="6"/>
        <v>0.49586776859504134</v>
      </c>
      <c r="AE63" s="740">
        <v>12.1</v>
      </c>
    </row>
    <row r="64" spans="16:31" ht="18.75" thickBot="1" x14ac:dyDescent="0.3">
      <c r="P64" t="s">
        <v>1064</v>
      </c>
      <c r="Q64" s="725"/>
      <c r="R64" s="743"/>
      <c r="S64" s="744"/>
      <c r="T64" s="744"/>
      <c r="U64" s="744"/>
      <c r="V64" s="744"/>
      <c r="W64" s="744"/>
      <c r="X64" s="744"/>
      <c r="Y64" s="744"/>
      <c r="Z64" s="744"/>
      <c r="AA64" s="744"/>
      <c r="AB64" s="744"/>
      <c r="AC64" s="744"/>
      <c r="AD64" s="744"/>
      <c r="AE64" s="745"/>
    </row>
    <row r="65" spans="16:31" ht="18.75" thickBot="1" x14ac:dyDescent="0.3">
      <c r="P65" s="148"/>
      <c r="Q65" s="794" t="s">
        <v>694</v>
      </c>
      <c r="R65" s="784"/>
      <c r="S65" s="731" t="s">
        <v>668</v>
      </c>
      <c r="T65" s="732" t="s">
        <v>669</v>
      </c>
      <c r="U65" s="732" t="s">
        <v>670</v>
      </c>
      <c r="V65" s="732" t="s">
        <v>671</v>
      </c>
      <c r="W65" s="732" t="s">
        <v>672</v>
      </c>
      <c r="X65" s="732" t="s">
        <v>673</v>
      </c>
      <c r="Y65" s="732" t="s">
        <v>674</v>
      </c>
      <c r="Z65" s="732" t="s">
        <v>675</v>
      </c>
      <c r="AA65" s="732" t="s">
        <v>676</v>
      </c>
      <c r="AB65" s="732" t="s">
        <v>677</v>
      </c>
      <c r="AC65" s="732" t="s">
        <v>678</v>
      </c>
      <c r="AD65" s="741" t="s">
        <v>679</v>
      </c>
      <c r="AE65" s="808" t="s">
        <v>732</v>
      </c>
    </row>
    <row r="66" spans="16:31" ht="18.75" thickBot="1" x14ac:dyDescent="0.3">
      <c r="P66" s="148"/>
      <c r="Q66" s="787"/>
      <c r="R66" s="810"/>
      <c r="S66" s="733" t="s">
        <v>656</v>
      </c>
      <c r="T66" s="734" t="s">
        <v>657</v>
      </c>
      <c r="U66" s="734" t="s">
        <v>658</v>
      </c>
      <c r="V66" s="734" t="s">
        <v>659</v>
      </c>
      <c r="W66" s="734" t="s">
        <v>660</v>
      </c>
      <c r="X66" s="734" t="s">
        <v>661</v>
      </c>
      <c r="Y66" s="734" t="s">
        <v>662</v>
      </c>
      <c r="Z66" s="734" t="s">
        <v>663</v>
      </c>
      <c r="AA66" s="734" t="s">
        <v>664</v>
      </c>
      <c r="AB66" s="734" t="s">
        <v>665</v>
      </c>
      <c r="AC66" s="734" t="s">
        <v>666</v>
      </c>
      <c r="AD66" s="738" t="s">
        <v>667</v>
      </c>
      <c r="AE66" s="809"/>
    </row>
    <row r="67" spans="16:31" ht="18.75" thickBot="1" x14ac:dyDescent="0.3">
      <c r="P67" s="148"/>
      <c r="Q67" s="787" t="s">
        <v>697</v>
      </c>
      <c r="R67" s="802"/>
      <c r="S67" s="729">
        <v>6</v>
      </c>
      <c r="T67" s="746">
        <v>7</v>
      </c>
      <c r="U67" s="746">
        <v>8</v>
      </c>
      <c r="V67" s="747">
        <v>9</v>
      </c>
      <c r="W67" s="747">
        <v>10</v>
      </c>
      <c r="X67" s="747">
        <v>11</v>
      </c>
      <c r="Y67" s="746">
        <v>12</v>
      </c>
      <c r="Z67" s="746">
        <v>1</v>
      </c>
      <c r="AA67" s="746">
        <v>2</v>
      </c>
      <c r="AB67" s="747">
        <v>3</v>
      </c>
      <c r="AC67" s="730">
        <v>4</v>
      </c>
      <c r="AD67" s="739">
        <v>5</v>
      </c>
      <c r="AE67" s="809"/>
    </row>
    <row r="68" spans="16:31" ht="57.75" thickBot="1" x14ac:dyDescent="0.3">
      <c r="P68" s="749" t="str">
        <f>Z66</f>
        <v>Process</v>
      </c>
      <c r="Q68" s="727" t="s">
        <v>698</v>
      </c>
      <c r="R68" s="728" t="s">
        <v>695</v>
      </c>
      <c r="S68" s="735">
        <f t="shared" ref="S68:AD68" si="7">S67/$AE$33</f>
        <v>0.49586776859504134</v>
      </c>
      <c r="T68" s="737">
        <f t="shared" si="7"/>
        <v>0.57851239669421495</v>
      </c>
      <c r="U68" s="737">
        <f t="shared" si="7"/>
        <v>0.66115702479338845</v>
      </c>
      <c r="V68" s="737">
        <f t="shared" si="7"/>
        <v>0.74380165289256206</v>
      </c>
      <c r="W68" s="737">
        <f t="shared" si="7"/>
        <v>0.82644628099173556</v>
      </c>
      <c r="X68" s="737">
        <f t="shared" si="7"/>
        <v>0.90909090909090917</v>
      </c>
      <c r="Y68" s="737">
        <f t="shared" si="7"/>
        <v>0.99173553719008267</v>
      </c>
      <c r="Z68" s="737">
        <f t="shared" si="7"/>
        <v>8.2644628099173556E-2</v>
      </c>
      <c r="AA68" s="737">
        <f t="shared" si="7"/>
        <v>0.16528925619834711</v>
      </c>
      <c r="AB68" s="737">
        <f t="shared" si="7"/>
        <v>0.24793388429752067</v>
      </c>
      <c r="AC68" s="736">
        <f t="shared" si="7"/>
        <v>0.33057851239669422</v>
      </c>
      <c r="AD68" s="742">
        <f t="shared" si="7"/>
        <v>0.41322314049586778</v>
      </c>
      <c r="AE68" s="740">
        <v>12.1</v>
      </c>
    </row>
    <row r="69" spans="16:31" ht="18.75" thickBot="1" x14ac:dyDescent="0.3">
      <c r="P69" t="s">
        <v>1064</v>
      </c>
      <c r="Q69" s="725"/>
      <c r="R69" s="743"/>
      <c r="S69" s="744"/>
      <c r="T69" s="744"/>
      <c r="U69" s="744"/>
      <c r="V69" s="744"/>
      <c r="W69" s="744"/>
      <c r="X69" s="744"/>
      <c r="Y69" s="744"/>
      <c r="Z69" s="744"/>
      <c r="AA69" s="744"/>
      <c r="AB69" s="744"/>
      <c r="AC69" s="744"/>
      <c r="AD69" s="744"/>
      <c r="AE69" s="745"/>
    </row>
    <row r="70" spans="16:31" ht="18.75" thickBot="1" x14ac:dyDescent="0.3">
      <c r="P70" s="148"/>
      <c r="Q70" s="794" t="s">
        <v>694</v>
      </c>
      <c r="R70" s="784"/>
      <c r="S70" s="731" t="s">
        <v>668</v>
      </c>
      <c r="T70" s="732" t="s">
        <v>669</v>
      </c>
      <c r="U70" s="732" t="s">
        <v>670</v>
      </c>
      <c r="V70" s="732" t="s">
        <v>671</v>
      </c>
      <c r="W70" s="732" t="s">
        <v>672</v>
      </c>
      <c r="X70" s="732" t="s">
        <v>673</v>
      </c>
      <c r="Y70" s="732" t="s">
        <v>674</v>
      </c>
      <c r="Z70" s="732" t="s">
        <v>675</v>
      </c>
      <c r="AA70" s="732" t="s">
        <v>676</v>
      </c>
      <c r="AB70" s="732" t="s">
        <v>677</v>
      </c>
      <c r="AC70" s="732" t="s">
        <v>678</v>
      </c>
      <c r="AD70" s="741" t="s">
        <v>679</v>
      </c>
      <c r="AE70" s="808" t="s">
        <v>732</v>
      </c>
    </row>
    <row r="71" spans="16:31" ht="18.75" thickBot="1" x14ac:dyDescent="0.3">
      <c r="P71" s="148"/>
      <c r="Q71" s="787"/>
      <c r="R71" s="810"/>
      <c r="S71" s="733" t="s">
        <v>656</v>
      </c>
      <c r="T71" s="734" t="s">
        <v>657</v>
      </c>
      <c r="U71" s="734" t="s">
        <v>658</v>
      </c>
      <c r="V71" s="734" t="s">
        <v>659</v>
      </c>
      <c r="W71" s="734" t="s">
        <v>660</v>
      </c>
      <c r="X71" s="734" t="s">
        <v>661</v>
      </c>
      <c r="Y71" s="734" t="s">
        <v>662</v>
      </c>
      <c r="Z71" s="734" t="s">
        <v>663</v>
      </c>
      <c r="AA71" s="734" t="s">
        <v>664</v>
      </c>
      <c r="AB71" s="734" t="s">
        <v>665</v>
      </c>
      <c r="AC71" s="734" t="s">
        <v>666</v>
      </c>
      <c r="AD71" s="738" t="s">
        <v>667</v>
      </c>
      <c r="AE71" s="809"/>
    </row>
    <row r="72" spans="16:31" ht="18.75" thickBot="1" x14ac:dyDescent="0.3">
      <c r="P72" s="148"/>
      <c r="Q72" s="787" t="s">
        <v>697</v>
      </c>
      <c r="R72" s="802"/>
      <c r="S72" s="729">
        <v>5</v>
      </c>
      <c r="T72" s="746">
        <v>6</v>
      </c>
      <c r="U72" s="746">
        <v>7</v>
      </c>
      <c r="V72" s="747">
        <v>8</v>
      </c>
      <c r="W72" s="747">
        <v>9</v>
      </c>
      <c r="X72" s="747">
        <v>10</v>
      </c>
      <c r="Y72" s="746">
        <v>11</v>
      </c>
      <c r="Z72" s="746">
        <v>12</v>
      </c>
      <c r="AA72" s="746">
        <v>1</v>
      </c>
      <c r="AB72" s="747">
        <v>2</v>
      </c>
      <c r="AC72" s="730">
        <v>3</v>
      </c>
      <c r="AD72" s="739">
        <v>4</v>
      </c>
      <c r="AE72" s="809"/>
    </row>
    <row r="73" spans="16:31" ht="57.75" thickBot="1" x14ac:dyDescent="0.3">
      <c r="P73" s="749" t="str">
        <f>AA71</f>
        <v>Problem</v>
      </c>
      <c r="Q73" s="727" t="s">
        <v>698</v>
      </c>
      <c r="R73" s="728" t="s">
        <v>695</v>
      </c>
      <c r="S73" s="735">
        <f t="shared" ref="S73:AD73" si="8">S72/$AE$33</f>
        <v>0.41322314049586778</v>
      </c>
      <c r="T73" s="737">
        <f t="shared" si="8"/>
        <v>0.49586776859504134</v>
      </c>
      <c r="U73" s="737">
        <f t="shared" si="8"/>
        <v>0.57851239669421495</v>
      </c>
      <c r="V73" s="737">
        <f t="shared" si="8"/>
        <v>0.66115702479338845</v>
      </c>
      <c r="W73" s="737">
        <f t="shared" si="8"/>
        <v>0.74380165289256206</v>
      </c>
      <c r="X73" s="737">
        <f t="shared" si="8"/>
        <v>0.82644628099173556</v>
      </c>
      <c r="Y73" s="737">
        <f t="shared" si="8"/>
        <v>0.90909090909090917</v>
      </c>
      <c r="Z73" s="737">
        <f t="shared" si="8"/>
        <v>0.99173553719008267</v>
      </c>
      <c r="AA73" s="737">
        <f t="shared" si="8"/>
        <v>8.2644628099173556E-2</v>
      </c>
      <c r="AB73" s="737">
        <f t="shared" si="8"/>
        <v>0.16528925619834711</v>
      </c>
      <c r="AC73" s="736">
        <f t="shared" si="8"/>
        <v>0.24793388429752067</v>
      </c>
      <c r="AD73" s="742">
        <f t="shared" si="8"/>
        <v>0.33057851239669422</v>
      </c>
      <c r="AE73" s="740">
        <v>12.1</v>
      </c>
    </row>
    <row r="74" spans="16:31" ht="18.75" thickBot="1" x14ac:dyDescent="0.3">
      <c r="P74" t="s">
        <v>1064</v>
      </c>
      <c r="Q74" s="725"/>
      <c r="R74" s="743"/>
      <c r="S74" s="744"/>
      <c r="T74" s="744"/>
      <c r="U74" s="744"/>
      <c r="V74" s="744"/>
      <c r="W74" s="744"/>
      <c r="X74" s="744"/>
      <c r="Y74" s="744"/>
      <c r="Z74" s="744"/>
      <c r="AA74" s="744"/>
      <c r="AB74" s="744"/>
      <c r="AC74" s="744"/>
      <c r="AD74" s="744"/>
      <c r="AE74" s="745"/>
    </row>
    <row r="75" spans="16:31" ht="18.75" thickBot="1" x14ac:dyDescent="0.3">
      <c r="P75" s="148"/>
      <c r="Q75" s="794" t="s">
        <v>694</v>
      </c>
      <c r="R75" s="784"/>
      <c r="S75" s="731" t="s">
        <v>668</v>
      </c>
      <c r="T75" s="732" t="s">
        <v>669</v>
      </c>
      <c r="U75" s="732" t="s">
        <v>670</v>
      </c>
      <c r="V75" s="732" t="s">
        <v>671</v>
      </c>
      <c r="W75" s="732" t="s">
        <v>672</v>
      </c>
      <c r="X75" s="732" t="s">
        <v>673</v>
      </c>
      <c r="Y75" s="732" t="s">
        <v>674</v>
      </c>
      <c r="Z75" s="732" t="s">
        <v>675</v>
      </c>
      <c r="AA75" s="732" t="s">
        <v>676</v>
      </c>
      <c r="AB75" s="732" t="s">
        <v>677</v>
      </c>
      <c r="AC75" s="732" t="s">
        <v>678</v>
      </c>
      <c r="AD75" s="741" t="s">
        <v>679</v>
      </c>
      <c r="AE75" s="808" t="s">
        <v>732</v>
      </c>
    </row>
    <row r="76" spans="16:31" ht="18.75" thickBot="1" x14ac:dyDescent="0.3">
      <c r="P76" s="148"/>
      <c r="Q76" s="787"/>
      <c r="R76" s="810"/>
      <c r="S76" s="733" t="s">
        <v>656</v>
      </c>
      <c r="T76" s="734" t="s">
        <v>657</v>
      </c>
      <c r="U76" s="734" t="s">
        <v>658</v>
      </c>
      <c r="V76" s="734" t="s">
        <v>659</v>
      </c>
      <c r="W76" s="734" t="s">
        <v>660</v>
      </c>
      <c r="X76" s="734" t="s">
        <v>661</v>
      </c>
      <c r="Y76" s="734" t="s">
        <v>662</v>
      </c>
      <c r="Z76" s="734" t="s">
        <v>663</v>
      </c>
      <c r="AA76" s="734" t="s">
        <v>664</v>
      </c>
      <c r="AB76" s="734" t="s">
        <v>665</v>
      </c>
      <c r="AC76" s="734" t="s">
        <v>666</v>
      </c>
      <c r="AD76" s="738" t="s">
        <v>667</v>
      </c>
      <c r="AE76" s="809"/>
    </row>
    <row r="77" spans="16:31" ht="18.75" thickBot="1" x14ac:dyDescent="0.3">
      <c r="P77" s="148"/>
      <c r="Q77" s="787" t="s">
        <v>697</v>
      </c>
      <c r="R77" s="802"/>
      <c r="S77" s="729">
        <v>4</v>
      </c>
      <c r="T77" s="746">
        <v>5</v>
      </c>
      <c r="U77" s="746">
        <v>6</v>
      </c>
      <c r="V77" s="747">
        <v>7</v>
      </c>
      <c r="W77" s="747">
        <v>8</v>
      </c>
      <c r="X77" s="747">
        <v>9</v>
      </c>
      <c r="Y77" s="746">
        <v>10</v>
      </c>
      <c r="Z77" s="746">
        <v>11</v>
      </c>
      <c r="AA77" s="746">
        <v>12</v>
      </c>
      <c r="AB77" s="747">
        <v>1</v>
      </c>
      <c r="AC77" s="730">
        <v>2</v>
      </c>
      <c r="AD77" s="739">
        <v>3</v>
      </c>
      <c r="AE77" s="809"/>
    </row>
    <row r="78" spans="16:31" ht="57.75" thickBot="1" x14ac:dyDescent="0.3">
      <c r="P78" s="749" t="str">
        <f>AB76</f>
        <v>Uncertainty</v>
      </c>
      <c r="Q78" s="727" t="s">
        <v>698</v>
      </c>
      <c r="R78" s="728" t="s">
        <v>695</v>
      </c>
      <c r="S78" s="735">
        <f t="shared" ref="S78:AD78" si="9">S77/$AE$33</f>
        <v>0.33057851239669422</v>
      </c>
      <c r="T78" s="737">
        <f t="shared" si="9"/>
        <v>0.41322314049586778</v>
      </c>
      <c r="U78" s="737">
        <f t="shared" si="9"/>
        <v>0.49586776859504134</v>
      </c>
      <c r="V78" s="737">
        <f t="shared" si="9"/>
        <v>0.57851239669421495</v>
      </c>
      <c r="W78" s="737">
        <f t="shared" si="9"/>
        <v>0.66115702479338845</v>
      </c>
      <c r="X78" s="737">
        <f t="shared" si="9"/>
        <v>0.74380165289256206</v>
      </c>
      <c r="Y78" s="737">
        <f t="shared" si="9"/>
        <v>0.82644628099173556</v>
      </c>
      <c r="Z78" s="737">
        <f t="shared" si="9"/>
        <v>0.90909090909090917</v>
      </c>
      <c r="AA78" s="737">
        <f t="shared" si="9"/>
        <v>0.99173553719008267</v>
      </c>
      <c r="AB78" s="737">
        <f t="shared" si="9"/>
        <v>8.2644628099173556E-2</v>
      </c>
      <c r="AC78" s="736">
        <f t="shared" si="9"/>
        <v>0.16528925619834711</v>
      </c>
      <c r="AD78" s="742">
        <f t="shared" si="9"/>
        <v>0.24793388429752067</v>
      </c>
      <c r="AE78" s="740">
        <v>12.1</v>
      </c>
    </row>
    <row r="79" spans="16:31" ht="18.75" thickBot="1" x14ac:dyDescent="0.3">
      <c r="P79" t="s">
        <v>1064</v>
      </c>
      <c r="Q79" s="725"/>
      <c r="R79" s="743"/>
      <c r="S79" s="744"/>
      <c r="T79" s="744"/>
      <c r="U79" s="744"/>
      <c r="V79" s="744"/>
      <c r="W79" s="744"/>
      <c r="X79" s="744"/>
      <c r="Y79" s="744"/>
      <c r="Z79" s="744"/>
      <c r="AA79" s="744"/>
      <c r="AB79" s="744"/>
      <c r="AC79" s="744"/>
      <c r="AD79" s="744"/>
      <c r="AE79" s="745"/>
    </row>
    <row r="80" spans="16:31" ht="18.75" thickBot="1" x14ac:dyDescent="0.3">
      <c r="P80" s="148"/>
      <c r="Q80" s="794" t="s">
        <v>694</v>
      </c>
      <c r="R80" s="784"/>
      <c r="S80" s="731" t="s">
        <v>668</v>
      </c>
      <c r="T80" s="732" t="s">
        <v>669</v>
      </c>
      <c r="U80" s="732" t="s">
        <v>670</v>
      </c>
      <c r="V80" s="732" t="s">
        <v>671</v>
      </c>
      <c r="W80" s="732" t="s">
        <v>672</v>
      </c>
      <c r="X80" s="732" t="s">
        <v>673</v>
      </c>
      <c r="Y80" s="732" t="s">
        <v>674</v>
      </c>
      <c r="Z80" s="732" t="s">
        <v>675</v>
      </c>
      <c r="AA80" s="732" t="s">
        <v>676</v>
      </c>
      <c r="AB80" s="732" t="s">
        <v>677</v>
      </c>
      <c r="AC80" s="732" t="s">
        <v>678</v>
      </c>
      <c r="AD80" s="741" t="s">
        <v>679</v>
      </c>
      <c r="AE80" s="808" t="s">
        <v>732</v>
      </c>
    </row>
    <row r="81" spans="7:31" ht="18.75" thickBot="1" x14ac:dyDescent="0.3">
      <c r="P81" s="148"/>
      <c r="Q81" s="787"/>
      <c r="R81" s="810"/>
      <c r="S81" s="733" t="s">
        <v>656</v>
      </c>
      <c r="T81" s="734" t="s">
        <v>657</v>
      </c>
      <c r="U81" s="734" t="s">
        <v>658</v>
      </c>
      <c r="V81" s="734" t="s">
        <v>659</v>
      </c>
      <c r="W81" s="734" t="s">
        <v>660</v>
      </c>
      <c r="X81" s="734" t="s">
        <v>661</v>
      </c>
      <c r="Y81" s="734" t="s">
        <v>662</v>
      </c>
      <c r="Z81" s="734" t="s">
        <v>663</v>
      </c>
      <c r="AA81" s="734" t="s">
        <v>664</v>
      </c>
      <c r="AB81" s="734" t="s">
        <v>665</v>
      </c>
      <c r="AC81" s="734" t="s">
        <v>666</v>
      </c>
      <c r="AD81" s="738" t="s">
        <v>667</v>
      </c>
      <c r="AE81" s="809"/>
    </row>
    <row r="82" spans="7:31" ht="18.75" thickBot="1" x14ac:dyDescent="0.3">
      <c r="P82" s="148"/>
      <c r="Q82" s="787" t="s">
        <v>697</v>
      </c>
      <c r="R82" s="802"/>
      <c r="S82" s="729">
        <v>3</v>
      </c>
      <c r="T82" s="746">
        <v>4</v>
      </c>
      <c r="U82" s="746">
        <v>5</v>
      </c>
      <c r="V82" s="747">
        <v>6</v>
      </c>
      <c r="W82" s="747">
        <v>7</v>
      </c>
      <c r="X82" s="747">
        <v>8</v>
      </c>
      <c r="Y82" s="746">
        <v>9</v>
      </c>
      <c r="Z82" s="746">
        <v>10</v>
      </c>
      <c r="AA82" s="746">
        <v>11</v>
      </c>
      <c r="AB82" s="747">
        <v>12</v>
      </c>
      <c r="AC82" s="730">
        <v>1</v>
      </c>
      <c r="AD82" s="739">
        <v>2</v>
      </c>
      <c r="AE82" s="809"/>
    </row>
    <row r="83" spans="7:31" ht="57.75" thickBot="1" x14ac:dyDescent="0.3">
      <c r="P83" s="750" t="str">
        <f>AC81</f>
        <v>Completion</v>
      </c>
      <c r="Q83" s="727" t="s">
        <v>698</v>
      </c>
      <c r="R83" s="728" t="s">
        <v>695</v>
      </c>
      <c r="S83" s="735">
        <f t="shared" ref="S83:AD83" si="10">S82/$AE$33</f>
        <v>0.24793388429752067</v>
      </c>
      <c r="T83" s="737">
        <f t="shared" si="10"/>
        <v>0.33057851239669422</v>
      </c>
      <c r="U83" s="737">
        <f t="shared" si="10"/>
        <v>0.41322314049586778</v>
      </c>
      <c r="V83" s="737">
        <f t="shared" si="10"/>
        <v>0.49586776859504134</v>
      </c>
      <c r="W83" s="737">
        <f t="shared" si="10"/>
        <v>0.57851239669421495</v>
      </c>
      <c r="X83" s="737">
        <f t="shared" si="10"/>
        <v>0.66115702479338845</v>
      </c>
      <c r="Y83" s="737">
        <f t="shared" si="10"/>
        <v>0.74380165289256206</v>
      </c>
      <c r="Z83" s="737">
        <f t="shared" si="10"/>
        <v>0.82644628099173556</v>
      </c>
      <c r="AA83" s="737">
        <f t="shared" si="10"/>
        <v>0.90909090909090917</v>
      </c>
      <c r="AB83" s="737">
        <f t="shared" si="10"/>
        <v>0.99173553719008267</v>
      </c>
      <c r="AC83" s="736">
        <f t="shared" si="10"/>
        <v>8.2644628099173556E-2</v>
      </c>
      <c r="AD83" s="742">
        <f t="shared" si="10"/>
        <v>0.16528925619834711</v>
      </c>
      <c r="AE83" s="740">
        <v>12.1</v>
      </c>
    </row>
    <row r="84" spans="7:31" ht="18.75" thickBot="1" x14ac:dyDescent="0.3">
      <c r="P84" t="s">
        <v>1064</v>
      </c>
      <c r="Q84" s="725"/>
      <c r="R84" s="743"/>
      <c r="S84" s="744"/>
      <c r="T84" s="744"/>
      <c r="U84" s="744"/>
      <c r="V84" s="744"/>
      <c r="W84" s="744"/>
      <c r="X84" s="744"/>
      <c r="Y84" s="744"/>
      <c r="Z84" s="744"/>
      <c r="AA84" s="744"/>
      <c r="AB84" s="744"/>
      <c r="AC84" s="744"/>
      <c r="AD84" s="744"/>
      <c r="AE84" s="745"/>
    </row>
    <row r="85" spans="7:31" ht="18.75" thickBot="1" x14ac:dyDescent="0.3">
      <c r="P85" s="148"/>
      <c r="Q85" s="794" t="s">
        <v>694</v>
      </c>
      <c r="R85" s="784"/>
      <c r="S85" s="731" t="s">
        <v>668</v>
      </c>
      <c r="T85" s="732" t="s">
        <v>669</v>
      </c>
      <c r="U85" s="732" t="s">
        <v>670</v>
      </c>
      <c r="V85" s="732" t="s">
        <v>671</v>
      </c>
      <c r="W85" s="732" t="s">
        <v>672</v>
      </c>
      <c r="X85" s="732" t="s">
        <v>673</v>
      </c>
      <c r="Y85" s="732" t="s">
        <v>674</v>
      </c>
      <c r="Z85" s="732" t="s">
        <v>675</v>
      </c>
      <c r="AA85" s="732" t="s">
        <v>676</v>
      </c>
      <c r="AB85" s="732" t="s">
        <v>677</v>
      </c>
      <c r="AC85" s="732" t="s">
        <v>678</v>
      </c>
      <c r="AD85" s="741" t="s">
        <v>679</v>
      </c>
      <c r="AE85" s="808" t="s">
        <v>732</v>
      </c>
    </row>
    <row r="86" spans="7:31" ht="18.75" thickBot="1" x14ac:dyDescent="0.3">
      <c r="P86" s="148"/>
      <c r="Q86" s="787"/>
      <c r="R86" s="810"/>
      <c r="S86" s="733" t="s">
        <v>656</v>
      </c>
      <c r="T86" s="734" t="s">
        <v>657</v>
      </c>
      <c r="U86" s="734" t="s">
        <v>658</v>
      </c>
      <c r="V86" s="734" t="s">
        <v>659</v>
      </c>
      <c r="W86" s="734" t="s">
        <v>660</v>
      </c>
      <c r="X86" s="734" t="s">
        <v>661</v>
      </c>
      <c r="Y86" s="734" t="s">
        <v>662</v>
      </c>
      <c r="Z86" s="734" t="s">
        <v>663</v>
      </c>
      <c r="AA86" s="734" t="s">
        <v>664</v>
      </c>
      <c r="AB86" s="734" t="s">
        <v>665</v>
      </c>
      <c r="AC86" s="734" t="s">
        <v>666</v>
      </c>
      <c r="AD86" s="738" t="s">
        <v>667</v>
      </c>
      <c r="AE86" s="809"/>
    </row>
    <row r="87" spans="7:31" ht="18.75" thickBot="1" x14ac:dyDescent="0.3">
      <c r="P87" s="148"/>
      <c r="Q87" s="787" t="s">
        <v>697</v>
      </c>
      <c r="R87" s="802"/>
      <c r="S87" s="729">
        <v>2</v>
      </c>
      <c r="T87" s="746">
        <v>3</v>
      </c>
      <c r="U87" s="746">
        <v>4</v>
      </c>
      <c r="V87" s="747">
        <v>5</v>
      </c>
      <c r="W87" s="747">
        <v>6</v>
      </c>
      <c r="X87" s="747">
        <v>7</v>
      </c>
      <c r="Y87" s="746">
        <v>8</v>
      </c>
      <c r="Z87" s="746">
        <v>9</v>
      </c>
      <c r="AA87" s="746">
        <v>10</v>
      </c>
      <c r="AB87" s="747">
        <v>11</v>
      </c>
      <c r="AC87" s="730">
        <v>12</v>
      </c>
      <c r="AD87" s="739">
        <v>1</v>
      </c>
      <c r="AE87" s="809"/>
    </row>
    <row r="88" spans="7:31" ht="57.75" thickBot="1" x14ac:dyDescent="0.3">
      <c r="P88" s="749" t="str">
        <f>AD86</f>
        <v>Self</v>
      </c>
      <c r="Q88" s="727" t="s">
        <v>698</v>
      </c>
      <c r="R88" s="728" t="s">
        <v>695</v>
      </c>
      <c r="S88" s="735">
        <f t="shared" ref="S88:AD88" si="11">S87/$AE$33</f>
        <v>0.16528925619834711</v>
      </c>
      <c r="T88" s="737">
        <f t="shared" si="11"/>
        <v>0.24793388429752067</v>
      </c>
      <c r="U88" s="737">
        <f t="shared" si="11"/>
        <v>0.33057851239669422</v>
      </c>
      <c r="V88" s="737">
        <f t="shared" si="11"/>
        <v>0.41322314049586778</v>
      </c>
      <c r="W88" s="737">
        <f t="shared" si="11"/>
        <v>0.49586776859504134</v>
      </c>
      <c r="X88" s="737">
        <f t="shared" si="11"/>
        <v>0.57851239669421495</v>
      </c>
      <c r="Y88" s="737">
        <f t="shared" si="11"/>
        <v>0.66115702479338845</v>
      </c>
      <c r="Z88" s="737">
        <f t="shared" si="11"/>
        <v>0.74380165289256206</v>
      </c>
      <c r="AA88" s="737">
        <f t="shared" si="11"/>
        <v>0.82644628099173556</v>
      </c>
      <c r="AB88" s="737">
        <f t="shared" si="11"/>
        <v>0.90909090909090917</v>
      </c>
      <c r="AC88" s="736">
        <f t="shared" si="11"/>
        <v>0.99173553719008267</v>
      </c>
      <c r="AD88" s="742">
        <f t="shared" si="11"/>
        <v>8.2644628099173556E-2</v>
      </c>
      <c r="AE88" s="740">
        <v>12.1</v>
      </c>
    </row>
    <row r="89" spans="7:31" x14ac:dyDescent="0.25">
      <c r="P89" t="s">
        <v>1064</v>
      </c>
      <c r="Q89" s="725"/>
      <c r="R89" s="743"/>
      <c r="S89" s="744"/>
      <c r="T89" s="744"/>
      <c r="U89" s="744"/>
      <c r="V89" s="744"/>
      <c r="W89" s="744"/>
      <c r="X89" s="744"/>
      <c r="Y89" s="744"/>
      <c r="Z89" s="744"/>
      <c r="AA89" s="744"/>
      <c r="AB89" s="744"/>
      <c r="AC89" s="744"/>
      <c r="AD89" s="744"/>
      <c r="AE89" s="748"/>
    </row>
    <row r="91" spans="7:31" x14ac:dyDescent="0.25">
      <c r="O91" s="141" t="s">
        <v>718</v>
      </c>
      <c r="R91" s="141" t="s">
        <v>738</v>
      </c>
      <c r="T91" t="s">
        <v>736</v>
      </c>
    </row>
    <row r="92" spans="7:31" ht="18.75" thickBot="1" x14ac:dyDescent="0.3"/>
    <row r="93" spans="7:31" ht="18.75" thickBot="1" x14ac:dyDescent="0.3">
      <c r="Q93" s="789" t="s">
        <v>50</v>
      </c>
      <c r="R93" s="799" t="s">
        <v>737</v>
      </c>
      <c r="S93" s="800"/>
      <c r="T93" s="800"/>
      <c r="U93" s="800"/>
      <c r="V93" s="801"/>
      <c r="W93" s="789" t="s">
        <v>565</v>
      </c>
    </row>
    <row r="94" spans="7:31" ht="29.25" thickBot="1" x14ac:dyDescent="0.3">
      <c r="G94" s="753" t="s">
        <v>779</v>
      </c>
      <c r="H94" t="s">
        <v>1058</v>
      </c>
      <c r="K94" s="751"/>
      <c r="Q94" s="798"/>
      <c r="R94" s="185" t="s">
        <v>30</v>
      </c>
      <c r="S94" s="186" t="s">
        <v>31</v>
      </c>
      <c r="T94" s="186" t="s">
        <v>32</v>
      </c>
      <c r="U94" s="186" t="s">
        <v>33</v>
      </c>
      <c r="V94" s="187" t="s">
        <v>34</v>
      </c>
      <c r="W94" s="790"/>
    </row>
    <row r="95" spans="7:31" x14ac:dyDescent="0.25">
      <c r="Q95" s="377">
        <v>12</v>
      </c>
      <c r="R95" s="587">
        <v>0.12</v>
      </c>
      <c r="S95" s="586">
        <v>0.12</v>
      </c>
      <c r="T95" s="586">
        <v>0.12</v>
      </c>
      <c r="U95" s="586">
        <v>0.12</v>
      </c>
      <c r="V95" s="588">
        <v>0.12</v>
      </c>
      <c r="W95" s="400">
        <f t="shared" ref="W95:W118" si="12">SUM(R95:V95)</f>
        <v>0.6</v>
      </c>
    </row>
    <row r="96" spans="7:31" x14ac:dyDescent="0.25">
      <c r="Q96" s="378">
        <v>11</v>
      </c>
      <c r="R96" s="179">
        <v>0.11</v>
      </c>
      <c r="S96" s="180">
        <v>0.11</v>
      </c>
      <c r="T96" s="180">
        <v>0.11</v>
      </c>
      <c r="U96" s="180">
        <v>0.11</v>
      </c>
      <c r="V96" s="181">
        <v>0.11</v>
      </c>
      <c r="W96" s="400">
        <f t="shared" si="12"/>
        <v>0.55000000000000004</v>
      </c>
    </row>
    <row r="97" spans="8:23" x14ac:dyDescent="0.25">
      <c r="H97" s="575" t="s">
        <v>1068</v>
      </c>
      <c r="Q97" s="378">
        <v>10</v>
      </c>
      <c r="R97" s="179">
        <v>0.1</v>
      </c>
      <c r="S97" s="180">
        <v>0.1</v>
      </c>
      <c r="T97" s="180">
        <v>0.1</v>
      </c>
      <c r="U97" s="180">
        <v>0.1</v>
      </c>
      <c r="V97" s="181">
        <v>0.1</v>
      </c>
      <c r="W97" s="400">
        <f t="shared" si="12"/>
        <v>0.5</v>
      </c>
    </row>
    <row r="98" spans="8:23" x14ac:dyDescent="0.25">
      <c r="Q98" s="378">
        <v>9</v>
      </c>
      <c r="R98" s="179">
        <v>0.09</v>
      </c>
      <c r="S98" s="180">
        <v>0.09</v>
      </c>
      <c r="T98" s="180">
        <v>0.09</v>
      </c>
      <c r="U98" s="180">
        <v>0.09</v>
      </c>
      <c r="V98" s="181">
        <v>0.09</v>
      </c>
      <c r="W98" s="400">
        <f t="shared" si="12"/>
        <v>0.44999999999999996</v>
      </c>
    </row>
    <row r="99" spans="8:23" x14ac:dyDescent="0.25">
      <c r="Q99" s="378">
        <v>8</v>
      </c>
      <c r="R99" s="179">
        <v>0.08</v>
      </c>
      <c r="S99" s="180">
        <v>0.08</v>
      </c>
      <c r="T99" s="180">
        <v>0.08</v>
      </c>
      <c r="U99" s="180">
        <v>0.08</v>
      </c>
      <c r="V99" s="181">
        <v>0.08</v>
      </c>
      <c r="W99" s="400">
        <f t="shared" si="12"/>
        <v>0.4</v>
      </c>
    </row>
    <row r="100" spans="8:23" x14ac:dyDescent="0.25">
      <c r="Q100" s="378">
        <v>7</v>
      </c>
      <c r="R100" s="179">
        <v>7.0000000000000007E-2</v>
      </c>
      <c r="S100" s="180">
        <v>7.0000000000000007E-2</v>
      </c>
      <c r="T100" s="180">
        <v>7.0000000000000007E-2</v>
      </c>
      <c r="U100" s="180">
        <v>7.0000000000000007E-2</v>
      </c>
      <c r="V100" s="181">
        <v>7.0000000000000007E-2</v>
      </c>
      <c r="W100" s="400">
        <f t="shared" si="12"/>
        <v>0.35000000000000003</v>
      </c>
    </row>
    <row r="101" spans="8:23" x14ac:dyDescent="0.25">
      <c r="Q101" s="378">
        <v>6</v>
      </c>
      <c r="R101" s="179">
        <v>0.06</v>
      </c>
      <c r="S101" s="180">
        <v>0.06</v>
      </c>
      <c r="T101" s="180">
        <v>0.06</v>
      </c>
      <c r="U101" s="180">
        <v>0.06</v>
      </c>
      <c r="V101" s="181">
        <v>0.06</v>
      </c>
      <c r="W101" s="400">
        <f t="shared" si="12"/>
        <v>0.3</v>
      </c>
    </row>
    <row r="102" spans="8:23" x14ac:dyDescent="0.25">
      <c r="Q102" s="378">
        <v>5</v>
      </c>
      <c r="R102" s="179">
        <v>0.05</v>
      </c>
      <c r="S102" s="180">
        <v>0.05</v>
      </c>
      <c r="T102" s="180">
        <v>0.05</v>
      </c>
      <c r="U102" s="180">
        <v>0.05</v>
      </c>
      <c r="V102" s="181">
        <v>0.05</v>
      </c>
      <c r="W102" s="400">
        <f t="shared" si="12"/>
        <v>0.25</v>
      </c>
    </row>
    <row r="103" spans="8:23" x14ac:dyDescent="0.25">
      <c r="Q103" s="378">
        <v>4</v>
      </c>
      <c r="R103" s="179">
        <v>0.04</v>
      </c>
      <c r="S103" s="180">
        <v>0.04</v>
      </c>
      <c r="T103" s="180">
        <v>0.04</v>
      </c>
      <c r="U103" s="180">
        <v>0.04</v>
      </c>
      <c r="V103" s="181">
        <v>0.04</v>
      </c>
      <c r="W103" s="400">
        <f t="shared" si="12"/>
        <v>0.2</v>
      </c>
    </row>
    <row r="104" spans="8:23" x14ac:dyDescent="0.25">
      <c r="Q104" s="378">
        <v>3</v>
      </c>
      <c r="R104" s="179">
        <v>0.03</v>
      </c>
      <c r="S104" s="180">
        <v>0.03</v>
      </c>
      <c r="T104" s="180">
        <v>0.03</v>
      </c>
      <c r="U104" s="180">
        <v>0.03</v>
      </c>
      <c r="V104" s="181">
        <v>0.03</v>
      </c>
      <c r="W104" s="400">
        <f t="shared" si="12"/>
        <v>0.15</v>
      </c>
    </row>
    <row r="105" spans="8:23" x14ac:dyDescent="0.25">
      <c r="Q105" s="378">
        <v>2</v>
      </c>
      <c r="R105" s="179">
        <v>0.02</v>
      </c>
      <c r="S105" s="180">
        <v>0.02</v>
      </c>
      <c r="T105" s="180">
        <v>0.02</v>
      </c>
      <c r="U105" s="180">
        <v>0.02</v>
      </c>
      <c r="V105" s="181">
        <v>0.02</v>
      </c>
      <c r="W105" s="400">
        <f t="shared" si="12"/>
        <v>0.1</v>
      </c>
    </row>
    <row r="106" spans="8:23" ht="18.75" thickBot="1" x14ac:dyDescent="0.3">
      <c r="Q106" s="606">
        <v>1</v>
      </c>
      <c r="R106" s="607">
        <v>0.01</v>
      </c>
      <c r="S106" s="608">
        <v>0.01</v>
      </c>
      <c r="T106" s="608">
        <v>0.01</v>
      </c>
      <c r="U106" s="608">
        <v>0.01</v>
      </c>
      <c r="V106" s="609">
        <v>0.01</v>
      </c>
      <c r="W106" s="610">
        <f t="shared" si="12"/>
        <v>0.05</v>
      </c>
    </row>
    <row r="107" spans="8:23" x14ac:dyDescent="0.25">
      <c r="Q107" s="601">
        <v>-1</v>
      </c>
      <c r="R107" s="602">
        <f t="shared" ref="R107:V107" si="13">-R106</f>
        <v>-0.01</v>
      </c>
      <c r="S107" s="603">
        <f t="shared" si="13"/>
        <v>-0.01</v>
      </c>
      <c r="T107" s="603">
        <f t="shared" si="13"/>
        <v>-0.01</v>
      </c>
      <c r="U107" s="603">
        <f t="shared" si="13"/>
        <v>-0.01</v>
      </c>
      <c r="V107" s="604">
        <f t="shared" si="13"/>
        <v>-0.01</v>
      </c>
      <c r="W107" s="605">
        <f t="shared" si="12"/>
        <v>-0.05</v>
      </c>
    </row>
    <row r="108" spans="8:23" x14ac:dyDescent="0.25">
      <c r="Q108" s="388">
        <v>-2</v>
      </c>
      <c r="R108" s="389">
        <f t="shared" ref="R108:V108" si="14">-R105</f>
        <v>-0.02</v>
      </c>
      <c r="S108" s="390">
        <f t="shared" si="14"/>
        <v>-0.02</v>
      </c>
      <c r="T108" s="390">
        <f t="shared" si="14"/>
        <v>-0.02</v>
      </c>
      <c r="U108" s="390">
        <f t="shared" si="14"/>
        <v>-0.02</v>
      </c>
      <c r="V108" s="391">
        <f t="shared" si="14"/>
        <v>-0.02</v>
      </c>
      <c r="W108" s="397">
        <f t="shared" si="12"/>
        <v>-0.1</v>
      </c>
    </row>
    <row r="109" spans="8:23" x14ac:dyDescent="0.25">
      <c r="Q109" s="388">
        <v>-3</v>
      </c>
      <c r="R109" s="389">
        <f t="shared" ref="R109:V109" si="15">-R104</f>
        <v>-0.03</v>
      </c>
      <c r="S109" s="390">
        <f t="shared" si="15"/>
        <v>-0.03</v>
      </c>
      <c r="T109" s="390">
        <f t="shared" si="15"/>
        <v>-0.03</v>
      </c>
      <c r="U109" s="390">
        <f t="shared" si="15"/>
        <v>-0.03</v>
      </c>
      <c r="V109" s="391">
        <f t="shared" si="15"/>
        <v>-0.03</v>
      </c>
      <c r="W109" s="397">
        <f t="shared" si="12"/>
        <v>-0.15</v>
      </c>
    </row>
    <row r="110" spans="8:23" x14ac:dyDescent="0.25">
      <c r="Q110" s="388">
        <v>-4</v>
      </c>
      <c r="R110" s="389">
        <f t="shared" ref="R110:V110" si="16">-R103</f>
        <v>-0.04</v>
      </c>
      <c r="S110" s="390">
        <f t="shared" si="16"/>
        <v>-0.04</v>
      </c>
      <c r="T110" s="390">
        <f t="shared" si="16"/>
        <v>-0.04</v>
      </c>
      <c r="U110" s="390">
        <f t="shared" si="16"/>
        <v>-0.04</v>
      </c>
      <c r="V110" s="391">
        <f t="shared" si="16"/>
        <v>-0.04</v>
      </c>
      <c r="W110" s="397">
        <f t="shared" si="12"/>
        <v>-0.2</v>
      </c>
    </row>
    <row r="111" spans="8:23" x14ac:dyDescent="0.25">
      <c r="Q111" s="388">
        <v>-5</v>
      </c>
      <c r="R111" s="389">
        <f t="shared" ref="R111:V111" si="17">-R102</f>
        <v>-0.05</v>
      </c>
      <c r="S111" s="390">
        <f t="shared" si="17"/>
        <v>-0.05</v>
      </c>
      <c r="T111" s="390">
        <f t="shared" si="17"/>
        <v>-0.05</v>
      </c>
      <c r="U111" s="390">
        <f t="shared" si="17"/>
        <v>-0.05</v>
      </c>
      <c r="V111" s="391">
        <f t="shared" si="17"/>
        <v>-0.05</v>
      </c>
      <c r="W111" s="397">
        <f t="shared" si="12"/>
        <v>-0.25</v>
      </c>
    </row>
    <row r="112" spans="8:23" x14ac:dyDescent="0.25">
      <c r="Q112" s="388">
        <v>-6</v>
      </c>
      <c r="R112" s="389">
        <f t="shared" ref="R112:V112" si="18">-R101</f>
        <v>-0.06</v>
      </c>
      <c r="S112" s="390">
        <f t="shared" si="18"/>
        <v>-0.06</v>
      </c>
      <c r="T112" s="390">
        <f t="shared" si="18"/>
        <v>-0.06</v>
      </c>
      <c r="U112" s="390">
        <f t="shared" si="18"/>
        <v>-0.06</v>
      </c>
      <c r="V112" s="391">
        <f t="shared" si="18"/>
        <v>-0.06</v>
      </c>
      <c r="W112" s="397">
        <f t="shared" si="12"/>
        <v>-0.3</v>
      </c>
    </row>
    <row r="113" spans="6:23" x14ac:dyDescent="0.25">
      <c r="Q113" s="388">
        <v>-7</v>
      </c>
      <c r="R113" s="389">
        <f t="shared" ref="R113:V113" si="19">-R100</f>
        <v>-7.0000000000000007E-2</v>
      </c>
      <c r="S113" s="390">
        <f t="shared" si="19"/>
        <v>-7.0000000000000007E-2</v>
      </c>
      <c r="T113" s="390">
        <f t="shared" si="19"/>
        <v>-7.0000000000000007E-2</v>
      </c>
      <c r="U113" s="390">
        <f t="shared" si="19"/>
        <v>-7.0000000000000007E-2</v>
      </c>
      <c r="V113" s="391">
        <f t="shared" si="19"/>
        <v>-7.0000000000000007E-2</v>
      </c>
      <c r="W113" s="397">
        <f t="shared" si="12"/>
        <v>-0.35000000000000003</v>
      </c>
    </row>
    <row r="114" spans="6:23" x14ac:dyDescent="0.25">
      <c r="Q114" s="388">
        <v>-8</v>
      </c>
      <c r="R114" s="389">
        <f t="shared" ref="R114:V114" si="20">-R99</f>
        <v>-0.08</v>
      </c>
      <c r="S114" s="390">
        <f t="shared" si="20"/>
        <v>-0.08</v>
      </c>
      <c r="T114" s="390">
        <f t="shared" si="20"/>
        <v>-0.08</v>
      </c>
      <c r="U114" s="390">
        <f t="shared" si="20"/>
        <v>-0.08</v>
      </c>
      <c r="V114" s="391">
        <f t="shared" si="20"/>
        <v>-0.08</v>
      </c>
      <c r="W114" s="397">
        <f t="shared" si="12"/>
        <v>-0.4</v>
      </c>
    </row>
    <row r="115" spans="6:23" x14ac:dyDescent="0.25">
      <c r="Q115" s="388">
        <v>-9</v>
      </c>
      <c r="R115" s="389">
        <f t="shared" ref="R115:V115" si="21">-R98</f>
        <v>-0.09</v>
      </c>
      <c r="S115" s="390">
        <f t="shared" si="21"/>
        <v>-0.09</v>
      </c>
      <c r="T115" s="390">
        <f t="shared" si="21"/>
        <v>-0.09</v>
      </c>
      <c r="U115" s="390">
        <f t="shared" si="21"/>
        <v>-0.09</v>
      </c>
      <c r="V115" s="391">
        <f t="shared" si="21"/>
        <v>-0.09</v>
      </c>
      <c r="W115" s="397">
        <f t="shared" si="12"/>
        <v>-0.44999999999999996</v>
      </c>
    </row>
    <row r="116" spans="6:23" x14ac:dyDescent="0.25">
      <c r="Q116" s="388">
        <v>-10</v>
      </c>
      <c r="R116" s="389">
        <f t="shared" ref="R116:V116" si="22">-R97</f>
        <v>-0.1</v>
      </c>
      <c r="S116" s="390">
        <f t="shared" si="22"/>
        <v>-0.1</v>
      </c>
      <c r="T116" s="390">
        <f t="shared" si="22"/>
        <v>-0.1</v>
      </c>
      <c r="U116" s="390">
        <f t="shared" si="22"/>
        <v>-0.1</v>
      </c>
      <c r="V116" s="391">
        <f t="shared" si="22"/>
        <v>-0.1</v>
      </c>
      <c r="W116" s="397">
        <f t="shared" si="12"/>
        <v>-0.5</v>
      </c>
    </row>
    <row r="117" spans="6:23" x14ac:dyDescent="0.25">
      <c r="Q117" s="388">
        <v>-11</v>
      </c>
      <c r="R117" s="389">
        <f t="shared" ref="R117:V117" si="23">-R96</f>
        <v>-0.11</v>
      </c>
      <c r="S117" s="390">
        <f t="shared" si="23"/>
        <v>-0.11</v>
      </c>
      <c r="T117" s="390">
        <f t="shared" si="23"/>
        <v>-0.11</v>
      </c>
      <c r="U117" s="390">
        <f t="shared" si="23"/>
        <v>-0.11</v>
      </c>
      <c r="V117" s="391">
        <f t="shared" si="23"/>
        <v>-0.11</v>
      </c>
      <c r="W117" s="397">
        <f t="shared" si="12"/>
        <v>-0.55000000000000004</v>
      </c>
    </row>
    <row r="118" spans="6:23" ht="18.75" thickBot="1" x14ac:dyDescent="0.3">
      <c r="Q118" s="392">
        <v>-12</v>
      </c>
      <c r="R118" s="393">
        <f t="shared" ref="R118:V118" si="24">-R95</f>
        <v>-0.12</v>
      </c>
      <c r="S118" s="394">
        <f t="shared" si="24"/>
        <v>-0.12</v>
      </c>
      <c r="T118" s="394">
        <f t="shared" si="24"/>
        <v>-0.12</v>
      </c>
      <c r="U118" s="394">
        <f t="shared" si="24"/>
        <v>-0.12</v>
      </c>
      <c r="V118" s="395">
        <f t="shared" si="24"/>
        <v>-0.12</v>
      </c>
      <c r="W118" s="401">
        <f t="shared" si="12"/>
        <v>-0.6</v>
      </c>
    </row>
    <row r="119" spans="6:23" ht="18.75" thickBot="1" x14ac:dyDescent="0.3"/>
    <row r="120" spans="6:23" x14ac:dyDescent="0.25">
      <c r="G120" s="754"/>
      <c r="H120" s="228"/>
      <c r="I120" s="228"/>
      <c r="J120" s="228"/>
      <c r="K120" s="228"/>
      <c r="L120" s="230"/>
    </row>
    <row r="121" spans="6:23" ht="18.75" thickBot="1" x14ac:dyDescent="0.3">
      <c r="G121" s="755"/>
      <c r="H121" s="141" t="s">
        <v>1062</v>
      </c>
      <c r="J121" s="141" t="s">
        <v>759</v>
      </c>
      <c r="K121" s="298" t="s">
        <v>8</v>
      </c>
      <c r="L121" s="232"/>
    </row>
    <row r="122" spans="6:23" x14ac:dyDescent="0.25">
      <c r="G122" s="755"/>
      <c r="K122" s="148" t="s">
        <v>588</v>
      </c>
      <c r="L122" s="232"/>
    </row>
    <row r="123" spans="6:23" x14ac:dyDescent="0.25">
      <c r="G123" s="755"/>
      <c r="K123" s="148"/>
      <c r="L123" s="232"/>
    </row>
    <row r="124" spans="6:23" x14ac:dyDescent="0.25">
      <c r="G124" s="755"/>
      <c r="H124" s="757"/>
      <c r="I124" s="758" t="s">
        <v>584</v>
      </c>
      <c r="J124" s="758" t="s">
        <v>759</v>
      </c>
      <c r="K124" s="279" t="s">
        <v>780</v>
      </c>
      <c r="L124" s="232"/>
    </row>
    <row r="125" spans="6:23" x14ac:dyDescent="0.25">
      <c r="G125" s="755"/>
      <c r="L125" s="232"/>
    </row>
    <row r="126" spans="6:23" ht="18.75" thickBot="1" x14ac:dyDescent="0.3">
      <c r="F126" s="752" t="s">
        <v>1055</v>
      </c>
      <c r="G126" s="755"/>
      <c r="H126" s="141" t="s">
        <v>1062</v>
      </c>
      <c r="J126" s="141" t="s">
        <v>759</v>
      </c>
      <c r="K126" s="298" t="s">
        <v>8</v>
      </c>
      <c r="L126" s="232"/>
      <c r="S126" s="759" t="s">
        <v>1070</v>
      </c>
    </row>
    <row r="127" spans="6:23" x14ac:dyDescent="0.25">
      <c r="G127" s="755"/>
      <c r="K127" s="148" t="s">
        <v>1061</v>
      </c>
      <c r="L127" s="232"/>
    </row>
    <row r="128" spans="6:23" ht="18.75" thickBot="1" x14ac:dyDescent="0.3">
      <c r="G128" s="756"/>
      <c r="H128" s="297"/>
      <c r="I128" s="297"/>
      <c r="J128" s="297"/>
      <c r="K128" s="297"/>
      <c r="L128" s="299"/>
    </row>
    <row r="131" spans="6:21" ht="18.75" thickBot="1" x14ac:dyDescent="0.3"/>
    <row r="132" spans="6:21" x14ac:dyDescent="0.25">
      <c r="F132" s="752" t="s">
        <v>563</v>
      </c>
      <c r="K132" s="820"/>
    </row>
    <row r="133" spans="6:21" x14ac:dyDescent="0.25">
      <c r="K133" s="821"/>
      <c r="L133" t="s">
        <v>562</v>
      </c>
    </row>
    <row r="134" spans="6:21" ht="18.75" thickBot="1" x14ac:dyDescent="0.3">
      <c r="K134" s="822"/>
    </row>
    <row r="136" spans="6:21" x14ac:dyDescent="0.25">
      <c r="H136" s="575" t="s">
        <v>1069</v>
      </c>
    </row>
    <row r="137" spans="6:21" x14ac:dyDescent="0.25">
      <c r="H137" s="575"/>
    </row>
    <row r="139" spans="6:21" x14ac:dyDescent="0.25">
      <c r="Q139" s="141" t="s">
        <v>649</v>
      </c>
      <c r="T139" s="141"/>
    </row>
    <row r="140" spans="6:21" ht="18.75" thickBot="1" x14ac:dyDescent="0.3"/>
    <row r="141" spans="6:21" ht="18.75" thickBot="1" x14ac:dyDescent="0.3">
      <c r="G141" s="754"/>
      <c r="H141" s="228"/>
      <c r="I141" s="228"/>
      <c r="J141" s="760" t="s">
        <v>642</v>
      </c>
      <c r="K141" s="228"/>
      <c r="L141" s="230"/>
      <c r="Q141" s="791" t="s">
        <v>701</v>
      </c>
      <c r="R141" s="792"/>
      <c r="S141" s="792"/>
      <c r="T141" s="792"/>
      <c r="U141" s="793"/>
    </row>
    <row r="142" spans="6:21" ht="25.5" customHeight="1" thickBot="1" x14ac:dyDescent="0.35">
      <c r="G142" s="755"/>
      <c r="H142" s="825" t="s">
        <v>1060</v>
      </c>
      <c r="I142" s="823" t="s">
        <v>1072</v>
      </c>
      <c r="J142" s="823"/>
      <c r="K142" s="298" t="s">
        <v>1073</v>
      </c>
      <c r="L142" s="824" t="s">
        <v>1071</v>
      </c>
      <c r="Q142" s="231"/>
      <c r="T142" s="177"/>
      <c r="U142" s="232"/>
    </row>
    <row r="143" spans="6:21" ht="27.75" customHeight="1" x14ac:dyDescent="0.25">
      <c r="G143" s="755"/>
      <c r="H143" s="825"/>
      <c r="I143" s="823"/>
      <c r="J143" s="823"/>
      <c r="K143" s="726" t="s">
        <v>1074</v>
      </c>
      <c r="L143" s="824"/>
      <c r="Q143" s="357" t="s">
        <v>47</v>
      </c>
      <c r="R143" s="141" t="s">
        <v>568</v>
      </c>
      <c r="T143" s="183">
        <v>2</v>
      </c>
      <c r="U143" s="232"/>
    </row>
    <row r="144" spans="6:21" ht="18.75" thickBot="1" x14ac:dyDescent="0.3">
      <c r="G144" s="756"/>
      <c r="H144" s="297"/>
      <c r="I144" s="297"/>
      <c r="J144" s="761" t="s">
        <v>1075</v>
      </c>
      <c r="K144" s="297"/>
      <c r="L144" s="299"/>
      <c r="Q144" s="357" t="s">
        <v>47</v>
      </c>
      <c r="R144" s="141" t="s">
        <v>43</v>
      </c>
      <c r="T144" s="184">
        <v>1.5</v>
      </c>
      <c r="U144" s="232"/>
    </row>
    <row r="145" spans="17:21" x14ac:dyDescent="0.25">
      <c r="Q145" s="357" t="s">
        <v>47</v>
      </c>
      <c r="R145" s="141" t="s">
        <v>570</v>
      </c>
      <c r="T145" s="184">
        <v>1.2</v>
      </c>
      <c r="U145" s="232"/>
    </row>
    <row r="146" spans="17:21" x14ac:dyDescent="0.25">
      <c r="Q146" s="357" t="s">
        <v>47</v>
      </c>
      <c r="R146" s="141" t="s">
        <v>44</v>
      </c>
      <c r="T146" s="396">
        <v>1</v>
      </c>
      <c r="U146" s="232"/>
    </row>
    <row r="147" spans="17:21" x14ac:dyDescent="0.25">
      <c r="Q147" s="357" t="s">
        <v>47</v>
      </c>
      <c r="R147" s="141" t="s">
        <v>45</v>
      </c>
      <c r="T147" s="184">
        <v>0.9</v>
      </c>
      <c r="U147" s="232"/>
    </row>
    <row r="148" spans="17:21" x14ac:dyDescent="0.25">
      <c r="Q148" s="357" t="s">
        <v>47</v>
      </c>
      <c r="R148" s="141" t="s">
        <v>46</v>
      </c>
      <c r="T148" s="184">
        <v>0.5</v>
      </c>
      <c r="U148" s="232"/>
    </row>
    <row r="149" spans="17:21" x14ac:dyDescent="0.25">
      <c r="Q149" s="357" t="s">
        <v>47</v>
      </c>
      <c r="R149" s="141" t="s">
        <v>569</v>
      </c>
      <c r="T149" s="184">
        <v>0.1</v>
      </c>
      <c r="U149" s="232"/>
    </row>
    <row r="150" spans="17:21" x14ac:dyDescent="0.25">
      <c r="Q150" s="357" t="s">
        <v>47</v>
      </c>
      <c r="R150" s="141" t="s">
        <v>571</v>
      </c>
      <c r="T150" s="399">
        <v>-0.5</v>
      </c>
      <c r="U150" s="232"/>
    </row>
    <row r="151" spans="17:21" x14ac:dyDescent="0.25">
      <c r="Q151" s="357" t="s">
        <v>47</v>
      </c>
      <c r="R151" s="141" t="s">
        <v>566</v>
      </c>
      <c r="T151" s="399">
        <v>-1</v>
      </c>
      <c r="U151" s="232"/>
    </row>
    <row r="152" spans="17:21" ht="18.75" thickBot="1" x14ac:dyDescent="0.3">
      <c r="Q152" s="357" t="s">
        <v>47</v>
      </c>
      <c r="R152" s="141" t="s">
        <v>567</v>
      </c>
      <c r="T152" s="398">
        <v>-2</v>
      </c>
      <c r="U152" s="232"/>
    </row>
    <row r="153" spans="17:21" ht="18.75" thickBot="1" x14ac:dyDescent="0.3">
      <c r="Q153" s="358"/>
      <c r="R153" s="359"/>
      <c r="S153" s="297"/>
      <c r="T153" s="298"/>
      <c r="U153" s="299"/>
    </row>
  </sheetData>
  <mergeCells count="47">
    <mergeCell ref="Q141:U141"/>
    <mergeCell ref="I142:J143"/>
    <mergeCell ref="L142:L143"/>
    <mergeCell ref="H142:H143"/>
    <mergeCell ref="Q80:R81"/>
    <mergeCell ref="AE80:AE82"/>
    <mergeCell ref="Q82:R82"/>
    <mergeCell ref="Q85:R86"/>
    <mergeCell ref="AE85:AE87"/>
    <mergeCell ref="Q87:R87"/>
    <mergeCell ref="AE70:AE72"/>
    <mergeCell ref="Q72:R72"/>
    <mergeCell ref="Q75:R76"/>
    <mergeCell ref="AE75:AE77"/>
    <mergeCell ref="Q77:R77"/>
    <mergeCell ref="Q20:U20"/>
    <mergeCell ref="K5:M14"/>
    <mergeCell ref="K18:K20"/>
    <mergeCell ref="K132:K134"/>
    <mergeCell ref="Q35:R36"/>
    <mergeCell ref="Q30:R31"/>
    <mergeCell ref="Q32:R32"/>
    <mergeCell ref="Q47:R47"/>
    <mergeCell ref="Q50:R51"/>
    <mergeCell ref="Q52:R52"/>
    <mergeCell ref="Q55:R56"/>
    <mergeCell ref="Q57:R57"/>
    <mergeCell ref="Q60:R61"/>
    <mergeCell ref="Q62:R62"/>
    <mergeCell ref="Q65:R66"/>
    <mergeCell ref="Q67:R67"/>
    <mergeCell ref="AE30:AE32"/>
    <mergeCell ref="Q93:Q94"/>
    <mergeCell ref="R93:V93"/>
    <mergeCell ref="W93:W94"/>
    <mergeCell ref="Q45:R46"/>
    <mergeCell ref="AE45:AE47"/>
    <mergeCell ref="AE35:AE37"/>
    <mergeCell ref="Q37:R37"/>
    <mergeCell ref="Q40:R41"/>
    <mergeCell ref="AE40:AE42"/>
    <mergeCell ref="Q42:R42"/>
    <mergeCell ref="AE50:AE52"/>
    <mergeCell ref="AE55:AE57"/>
    <mergeCell ref="AE60:AE62"/>
    <mergeCell ref="AE65:AE67"/>
    <mergeCell ref="Q70:R7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0CEA-26E4-43C7-B816-3C19AED33A9B}">
  <sheetPr>
    <tabColor rgb="FFFF00FF"/>
  </sheetPr>
  <dimension ref="A1"/>
  <sheetViews>
    <sheetView topLeftCell="A4" workbookViewId="0">
      <selection activeCell="V8" sqref="V8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A1E9-C4A1-4DA4-8754-F98BA0065664}">
  <sheetPr>
    <pageSetUpPr fitToPage="1"/>
  </sheetPr>
  <dimension ref="A1:AM59"/>
  <sheetViews>
    <sheetView topLeftCell="A15" zoomScale="120" zoomScaleNormal="120" workbookViewId="0">
      <selection activeCell="L12" sqref="L12"/>
    </sheetView>
  </sheetViews>
  <sheetFormatPr defaultRowHeight="14.25" x14ac:dyDescent="0.2"/>
  <cols>
    <col min="3" max="7" width="17.375" customWidth="1"/>
    <col min="10" max="10" width="11.5" customWidth="1"/>
    <col min="11" max="11" width="14.375" customWidth="1"/>
    <col min="12" max="12" width="15.125" customWidth="1"/>
    <col min="13" max="14" width="15.25" customWidth="1"/>
    <col min="15" max="15" width="16.5" customWidth="1"/>
    <col min="18" max="18" width="8.5" customWidth="1"/>
    <col min="19" max="19" width="14.375" customWidth="1"/>
    <col min="20" max="20" width="15.125" customWidth="1"/>
    <col min="21" max="22" width="15.25" customWidth="1"/>
    <col min="23" max="23" width="16.5" customWidth="1"/>
    <col min="26" max="26" width="8.5" customWidth="1"/>
    <col min="27" max="27" width="14.375" customWidth="1"/>
    <col min="28" max="28" width="15.125" customWidth="1"/>
    <col min="29" max="30" width="15.25" customWidth="1"/>
    <col min="31" max="31" width="16.5" customWidth="1"/>
    <col min="34" max="34" width="8.5" customWidth="1"/>
    <col min="35" max="35" width="14.375" customWidth="1"/>
    <col min="36" max="36" width="15.125" customWidth="1"/>
    <col min="37" max="38" width="15.25" customWidth="1"/>
    <col min="39" max="39" width="16.5" customWidth="1"/>
  </cols>
  <sheetData>
    <row r="1" spans="1:39" ht="18" x14ac:dyDescent="0.25">
      <c r="A1" s="143" t="s">
        <v>42</v>
      </c>
    </row>
    <row r="2" spans="1:39" ht="18" x14ac:dyDescent="0.25">
      <c r="A2" s="143"/>
    </row>
    <row r="3" spans="1:39" ht="18" x14ac:dyDescent="0.25">
      <c r="A3" s="143"/>
      <c r="B3" s="468" t="s">
        <v>581</v>
      </c>
    </row>
    <row r="4" spans="1:39" ht="15" thickBot="1" x14ac:dyDescent="0.25"/>
    <row r="5" spans="1:39" ht="15" thickBot="1" x14ac:dyDescent="0.25">
      <c r="B5" s="828" t="s">
        <v>48</v>
      </c>
      <c r="C5" s="829"/>
      <c r="D5" s="829"/>
      <c r="E5" s="829"/>
      <c r="F5" s="829"/>
      <c r="G5" s="830"/>
      <c r="J5" s="149" t="s">
        <v>51</v>
      </c>
      <c r="L5" s="182">
        <f>'Success Rate'!E9</f>
        <v>2</v>
      </c>
      <c r="M5" s="148" t="str">
        <f>'Success Rate'!C9</f>
        <v>Exceptional</v>
      </c>
      <c r="R5" s="149" t="s">
        <v>49</v>
      </c>
      <c r="T5" s="182">
        <f>'Success Rate'!E10</f>
        <v>1.5</v>
      </c>
      <c r="U5" s="148" t="str">
        <f>'Success Rate'!C10</f>
        <v>Excellent</v>
      </c>
      <c r="Z5" s="149" t="s">
        <v>49</v>
      </c>
      <c r="AB5" s="182">
        <f>'Success Rate'!E11</f>
        <v>1.2</v>
      </c>
      <c r="AC5" s="148" t="str">
        <f>'Success Rate'!C11</f>
        <v>Very good</v>
      </c>
      <c r="AH5" s="149" t="s">
        <v>49</v>
      </c>
      <c r="AJ5" s="182">
        <f>'Success Rate'!E12</f>
        <v>1</v>
      </c>
      <c r="AK5" s="148" t="str">
        <f>'Success Rate'!C12</f>
        <v>Good</v>
      </c>
    </row>
    <row r="7" spans="1:39" x14ac:dyDescent="0.2">
      <c r="B7" s="190" t="s">
        <v>37</v>
      </c>
      <c r="C7" s="191" t="s">
        <v>30</v>
      </c>
      <c r="D7" s="191" t="s">
        <v>31</v>
      </c>
      <c r="E7" s="191" t="s">
        <v>32</v>
      </c>
      <c r="F7" s="191" t="s">
        <v>33</v>
      </c>
      <c r="G7" s="191" t="s">
        <v>34</v>
      </c>
      <c r="J7" s="145" t="s">
        <v>37</v>
      </c>
      <c r="K7" s="142" t="s">
        <v>30</v>
      </c>
      <c r="L7" s="142" t="s">
        <v>31</v>
      </c>
      <c r="M7" s="142" t="s">
        <v>32</v>
      </c>
      <c r="N7" s="142" t="s">
        <v>33</v>
      </c>
      <c r="O7" s="142" t="s">
        <v>34</v>
      </c>
      <c r="R7" s="145" t="s">
        <v>37</v>
      </c>
      <c r="S7" s="142" t="s">
        <v>30</v>
      </c>
      <c r="T7" s="142" t="s">
        <v>31</v>
      </c>
      <c r="U7" s="142" t="s">
        <v>32</v>
      </c>
      <c r="V7" s="142" t="s">
        <v>33</v>
      </c>
      <c r="W7" s="142" t="s">
        <v>34</v>
      </c>
      <c r="Z7" s="145" t="s">
        <v>37</v>
      </c>
      <c r="AA7" s="142" t="s">
        <v>30</v>
      </c>
      <c r="AB7" s="142" t="s">
        <v>31</v>
      </c>
      <c r="AC7" s="142" t="s">
        <v>32</v>
      </c>
      <c r="AD7" s="142" t="s">
        <v>33</v>
      </c>
      <c r="AE7" s="142" t="s">
        <v>34</v>
      </c>
      <c r="AH7" s="145" t="s">
        <v>37</v>
      </c>
      <c r="AI7" s="142" t="s">
        <v>30</v>
      </c>
      <c r="AJ7" s="142" t="s">
        <v>31</v>
      </c>
      <c r="AK7" s="142" t="s">
        <v>32</v>
      </c>
      <c r="AL7" s="142" t="s">
        <v>33</v>
      </c>
      <c r="AM7" s="142" t="s">
        <v>34</v>
      </c>
    </row>
    <row r="8" spans="1:39" x14ac:dyDescent="0.2">
      <c r="B8" s="190"/>
      <c r="C8" s="827" t="s">
        <v>12</v>
      </c>
      <c r="D8" s="827"/>
      <c r="E8" s="827"/>
      <c r="F8" s="827"/>
      <c r="G8" s="827"/>
      <c r="J8" s="144"/>
      <c r="K8" s="826" t="s">
        <v>12</v>
      </c>
      <c r="L8" s="826"/>
      <c r="M8" s="826"/>
      <c r="N8" s="826"/>
      <c r="O8" s="826"/>
      <c r="R8" s="144"/>
      <c r="S8" s="826" t="s">
        <v>12</v>
      </c>
      <c r="T8" s="826"/>
      <c r="U8" s="826"/>
      <c r="V8" s="826"/>
      <c r="W8" s="826"/>
      <c r="Z8" s="144"/>
      <c r="AA8" s="826" t="s">
        <v>12</v>
      </c>
      <c r="AB8" s="826"/>
      <c r="AC8" s="826"/>
      <c r="AD8" s="826"/>
      <c r="AE8" s="826"/>
      <c r="AH8" s="144"/>
      <c r="AI8" s="826" t="s">
        <v>12</v>
      </c>
      <c r="AJ8" s="826"/>
      <c r="AK8" s="826"/>
      <c r="AL8" s="826"/>
      <c r="AM8" s="826"/>
    </row>
    <row r="9" spans="1:39" x14ac:dyDescent="0.2">
      <c r="B9" s="190">
        <v>1</v>
      </c>
      <c r="C9" s="33">
        <f>C25+C40</f>
        <v>43.024632208529034</v>
      </c>
      <c r="D9" s="33">
        <f t="shared" ref="D9:G9" si="0">D25+D40</f>
        <v>41.304454830146916</v>
      </c>
      <c r="E9" s="33">
        <f t="shared" si="0"/>
        <v>41.49625141667034</v>
      </c>
      <c r="F9" s="33">
        <f t="shared" si="0"/>
        <v>40.919825447396349</v>
      </c>
      <c r="G9" s="33">
        <f t="shared" si="0"/>
        <v>40.050078862024307</v>
      </c>
      <c r="J9" s="144">
        <v>1</v>
      </c>
      <c r="K9" s="38">
        <f>$L$5*C9</f>
        <v>86.049264417058069</v>
      </c>
      <c r="L9" s="38">
        <f t="shared" ref="L9:O9" si="1">$L$5*D9</f>
        <v>82.608909660293833</v>
      </c>
      <c r="M9" s="38">
        <f t="shared" si="1"/>
        <v>82.99250283334068</v>
      </c>
      <c r="N9" s="38">
        <f t="shared" si="1"/>
        <v>81.839650894792697</v>
      </c>
      <c r="O9" s="38">
        <f t="shared" si="1"/>
        <v>80.100157724048614</v>
      </c>
      <c r="R9" s="144">
        <v>1</v>
      </c>
      <c r="S9" s="38">
        <f>$T$5*C9</f>
        <v>64.536948312793555</v>
      </c>
      <c r="T9" s="38">
        <f t="shared" ref="T9:W9" si="2">$T$5*D9</f>
        <v>61.956682245220378</v>
      </c>
      <c r="U9" s="38">
        <f t="shared" si="2"/>
        <v>62.244377125005514</v>
      </c>
      <c r="V9" s="38">
        <f t="shared" si="2"/>
        <v>61.379738171094523</v>
      </c>
      <c r="W9" s="38">
        <f t="shared" si="2"/>
        <v>60.075118293036461</v>
      </c>
      <c r="Z9" s="144">
        <v>1</v>
      </c>
      <c r="AA9" s="38">
        <f>$AB$5*C9</f>
        <v>51.629558650234841</v>
      </c>
      <c r="AB9" s="38">
        <f t="shared" ref="AB9:AE9" si="3">$AB$5*D9</f>
        <v>49.565345796176295</v>
      </c>
      <c r="AC9" s="38">
        <f t="shared" si="3"/>
        <v>49.795501700004408</v>
      </c>
      <c r="AD9" s="38">
        <f t="shared" si="3"/>
        <v>49.103790536875614</v>
      </c>
      <c r="AE9" s="38">
        <f t="shared" si="3"/>
        <v>48.06009463442917</v>
      </c>
      <c r="AH9" s="144">
        <v>1</v>
      </c>
      <c r="AI9" s="38">
        <f>$AJ$5*C9</f>
        <v>43.024632208529034</v>
      </c>
      <c r="AJ9" s="38">
        <f t="shared" ref="AJ9:AM9" si="4">$AJ$5*D9</f>
        <v>41.304454830146916</v>
      </c>
      <c r="AK9" s="38">
        <f t="shared" si="4"/>
        <v>41.49625141667034</v>
      </c>
      <c r="AL9" s="38">
        <f t="shared" si="4"/>
        <v>40.919825447396349</v>
      </c>
      <c r="AM9" s="38">
        <f t="shared" si="4"/>
        <v>40.050078862024307</v>
      </c>
    </row>
    <row r="10" spans="1:39" x14ac:dyDescent="0.2">
      <c r="B10" s="190">
        <v>2</v>
      </c>
      <c r="C10" s="33">
        <f t="shared" ref="C10:G20" si="5">C26+C41</f>
        <v>47.279474522665303</v>
      </c>
      <c r="D10" s="33">
        <f t="shared" si="5"/>
        <v>44.990974339485959</v>
      </c>
      <c r="E10" s="33">
        <f t="shared" si="5"/>
        <v>45.599349988752948</v>
      </c>
      <c r="F10" s="33">
        <f t="shared" si="5"/>
        <v>44.370263499011536</v>
      </c>
      <c r="G10" s="33">
        <f t="shared" si="5"/>
        <v>43.938673694011108</v>
      </c>
      <c r="J10" s="144">
        <v>2</v>
      </c>
      <c r="K10" s="38">
        <f t="shared" ref="K10:K20" si="6">$L$5*C10</f>
        <v>94.558949045330607</v>
      </c>
      <c r="L10" s="38">
        <f t="shared" ref="L10:L20" si="7">$L$5*D10</f>
        <v>89.981948678971918</v>
      </c>
      <c r="M10" s="38">
        <f t="shared" ref="M10:M20" si="8">$L$5*E10</f>
        <v>91.198699977505896</v>
      </c>
      <c r="N10" s="38">
        <f t="shared" ref="N10:N20" si="9">$L$5*F10</f>
        <v>88.740526998023071</v>
      </c>
      <c r="O10" s="38">
        <f t="shared" ref="O10:O20" si="10">$L$5*G10</f>
        <v>87.877347388022216</v>
      </c>
      <c r="R10" s="144">
        <v>2</v>
      </c>
      <c r="S10" s="38">
        <f t="shared" ref="S10:S20" si="11">$T$5*C10</f>
        <v>70.919211783997952</v>
      </c>
      <c r="T10" s="38">
        <f t="shared" ref="T10:T20" si="12">$T$5*D10</f>
        <v>67.486461509228945</v>
      </c>
      <c r="U10" s="38">
        <f t="shared" ref="U10:U20" si="13">$T$5*E10</f>
        <v>68.399024983129422</v>
      </c>
      <c r="V10" s="38">
        <f t="shared" ref="V10:V20" si="14">$T$5*F10</f>
        <v>66.5553952485173</v>
      </c>
      <c r="W10" s="38">
        <f t="shared" ref="W10:W20" si="15">$T$5*G10</f>
        <v>65.908010541016665</v>
      </c>
      <c r="Z10" s="144">
        <v>2</v>
      </c>
      <c r="AA10" s="38">
        <f t="shared" ref="AA10:AA20" si="16">$AB$5*C10</f>
        <v>56.735369427198364</v>
      </c>
      <c r="AB10" s="38">
        <f t="shared" ref="AB10:AB20" si="17">$AB$5*D10</f>
        <v>53.989169207383149</v>
      </c>
      <c r="AC10" s="38">
        <f t="shared" ref="AC10:AC20" si="18">$AB$5*E10</f>
        <v>54.719219986503539</v>
      </c>
      <c r="AD10" s="38">
        <f t="shared" ref="AD10:AD20" si="19">$AB$5*F10</f>
        <v>53.244316198813841</v>
      </c>
      <c r="AE10" s="38">
        <f t="shared" ref="AE10:AE20" si="20">$AB$5*G10</f>
        <v>52.726408432813329</v>
      </c>
      <c r="AH10" s="144">
        <v>2</v>
      </c>
      <c r="AI10" s="38">
        <f t="shared" ref="AI10:AI20" si="21">$AJ$5*C10</f>
        <v>47.279474522665303</v>
      </c>
      <c r="AJ10" s="38">
        <f t="shared" ref="AJ10:AJ20" si="22">$AJ$5*D10</f>
        <v>44.990974339485959</v>
      </c>
      <c r="AK10" s="38">
        <f t="shared" ref="AK10:AK20" si="23">$AJ$5*E10</f>
        <v>45.599349988752948</v>
      </c>
      <c r="AL10" s="38">
        <f t="shared" ref="AL10:AL20" si="24">$AJ$5*F10</f>
        <v>44.370263499011536</v>
      </c>
      <c r="AM10" s="38">
        <f t="shared" ref="AM10:AM20" si="25">$AJ$5*G10</f>
        <v>43.938673694011108</v>
      </c>
    </row>
    <row r="11" spans="1:39" x14ac:dyDescent="0.2">
      <c r="B11" s="190">
        <v>3</v>
      </c>
      <c r="C11" s="33">
        <f t="shared" si="5"/>
        <v>48.616182389833938</v>
      </c>
      <c r="D11" s="33">
        <f t="shared" si="5"/>
        <v>47.055372082184476</v>
      </c>
      <c r="E11" s="33">
        <f t="shared" si="5"/>
        <v>46.964332231092044</v>
      </c>
      <c r="F11" s="33">
        <f t="shared" si="5"/>
        <v>45.98789475084746</v>
      </c>
      <c r="G11" s="33">
        <f t="shared" si="5"/>
        <v>45.363963333900429</v>
      </c>
      <c r="J11" s="144">
        <v>3</v>
      </c>
      <c r="K11" s="38">
        <f t="shared" si="6"/>
        <v>97.232364779667876</v>
      </c>
      <c r="L11" s="38">
        <f t="shared" si="7"/>
        <v>94.110744164368953</v>
      </c>
      <c r="M11" s="38">
        <f t="shared" si="8"/>
        <v>93.928664462184088</v>
      </c>
      <c r="N11" s="38">
        <f t="shared" si="9"/>
        <v>91.975789501694919</v>
      </c>
      <c r="O11" s="38">
        <f t="shared" si="10"/>
        <v>90.727926667800858</v>
      </c>
      <c r="R11" s="144">
        <v>3</v>
      </c>
      <c r="S11" s="38">
        <f t="shared" si="11"/>
        <v>72.924273584750907</v>
      </c>
      <c r="T11" s="38">
        <f t="shared" si="12"/>
        <v>70.583058123276714</v>
      </c>
      <c r="U11" s="38">
        <f t="shared" si="13"/>
        <v>70.446498346638066</v>
      </c>
      <c r="V11" s="38">
        <f t="shared" si="14"/>
        <v>68.981842126271189</v>
      </c>
      <c r="W11" s="38">
        <f t="shared" si="15"/>
        <v>68.045945000850651</v>
      </c>
      <c r="Z11" s="144">
        <v>3</v>
      </c>
      <c r="AA11" s="38">
        <f t="shared" si="16"/>
        <v>58.339418867800724</v>
      </c>
      <c r="AB11" s="38">
        <f t="shared" si="17"/>
        <v>56.466446498621373</v>
      </c>
      <c r="AC11" s="38">
        <f t="shared" si="18"/>
        <v>56.35719867731045</v>
      </c>
      <c r="AD11" s="38">
        <f t="shared" si="19"/>
        <v>55.185473701016953</v>
      </c>
      <c r="AE11" s="38">
        <f t="shared" si="20"/>
        <v>54.436756000680511</v>
      </c>
      <c r="AH11" s="144">
        <v>3</v>
      </c>
      <c r="AI11" s="38">
        <f t="shared" si="21"/>
        <v>48.616182389833938</v>
      </c>
      <c r="AJ11" s="38">
        <f t="shared" si="22"/>
        <v>47.055372082184476</v>
      </c>
      <c r="AK11" s="38">
        <f t="shared" si="23"/>
        <v>46.964332231092044</v>
      </c>
      <c r="AL11" s="38">
        <f t="shared" si="24"/>
        <v>45.98789475084746</v>
      </c>
      <c r="AM11" s="38">
        <f t="shared" si="25"/>
        <v>45.363963333900429</v>
      </c>
    </row>
    <row r="12" spans="1:39" x14ac:dyDescent="0.2">
      <c r="B12" s="190">
        <v>4</v>
      </c>
      <c r="C12" s="33">
        <f t="shared" si="5"/>
        <v>49.852080994665059</v>
      </c>
      <c r="D12" s="33">
        <f t="shared" si="5"/>
        <v>47.344467436614856</v>
      </c>
      <c r="E12" s="33">
        <f t="shared" si="5"/>
        <v>47.408548056239141</v>
      </c>
      <c r="F12" s="33">
        <f t="shared" si="5"/>
        <v>46.084070270918673</v>
      </c>
      <c r="G12" s="33">
        <f t="shared" si="5"/>
        <v>46.037438975416556</v>
      </c>
      <c r="J12" s="144">
        <v>4</v>
      </c>
      <c r="K12" s="38">
        <f t="shared" si="6"/>
        <v>99.704161989330117</v>
      </c>
      <c r="L12" s="38">
        <f t="shared" si="7"/>
        <v>94.688934873229712</v>
      </c>
      <c r="M12" s="38">
        <f t="shared" si="8"/>
        <v>94.817096112478282</v>
      </c>
      <c r="N12" s="38">
        <f t="shared" si="9"/>
        <v>92.168140541837346</v>
      </c>
      <c r="O12" s="38">
        <f t="shared" si="10"/>
        <v>92.074877950833113</v>
      </c>
      <c r="R12" s="144">
        <v>4</v>
      </c>
      <c r="S12" s="38">
        <f t="shared" si="11"/>
        <v>74.778121491997581</v>
      </c>
      <c r="T12" s="38">
        <f t="shared" si="12"/>
        <v>71.016701154922288</v>
      </c>
      <c r="U12" s="38">
        <f t="shared" si="13"/>
        <v>71.112822084358712</v>
      </c>
      <c r="V12" s="38">
        <f t="shared" si="14"/>
        <v>69.126105406378002</v>
      </c>
      <c r="W12" s="38">
        <f t="shared" si="15"/>
        <v>69.056158463124831</v>
      </c>
      <c r="Z12" s="144">
        <v>4</v>
      </c>
      <c r="AA12" s="38">
        <f t="shared" si="16"/>
        <v>59.822497193598068</v>
      </c>
      <c r="AB12" s="38">
        <f t="shared" si="17"/>
        <v>56.813360923937829</v>
      </c>
      <c r="AC12" s="38">
        <f t="shared" si="18"/>
        <v>56.890257667486971</v>
      </c>
      <c r="AD12" s="38">
        <f t="shared" si="19"/>
        <v>55.300884325102409</v>
      </c>
      <c r="AE12" s="38">
        <f t="shared" si="20"/>
        <v>55.244926770499866</v>
      </c>
      <c r="AH12" s="144">
        <v>4</v>
      </c>
      <c r="AI12" s="38">
        <f t="shared" si="21"/>
        <v>49.852080994665059</v>
      </c>
      <c r="AJ12" s="38">
        <f t="shared" si="22"/>
        <v>47.344467436614856</v>
      </c>
      <c r="AK12" s="38">
        <f t="shared" si="23"/>
        <v>47.408548056239141</v>
      </c>
      <c r="AL12" s="38">
        <f t="shared" si="24"/>
        <v>46.084070270918673</v>
      </c>
      <c r="AM12" s="38">
        <f t="shared" si="25"/>
        <v>46.037438975416556</v>
      </c>
    </row>
    <row r="13" spans="1:39" x14ac:dyDescent="0.2">
      <c r="B13" s="190">
        <v>5</v>
      </c>
      <c r="C13" s="33">
        <f t="shared" si="5"/>
        <v>45.597238680528775</v>
      </c>
      <c r="D13" s="33">
        <f t="shared" si="5"/>
        <v>43.657947927275821</v>
      </c>
      <c r="E13" s="33">
        <f t="shared" si="5"/>
        <v>43.305449484156512</v>
      </c>
      <c r="F13" s="33">
        <f t="shared" si="5"/>
        <v>42.633632219303479</v>
      </c>
      <c r="G13" s="33">
        <f t="shared" si="5"/>
        <v>42.148844143429763</v>
      </c>
      <c r="J13" s="144">
        <v>5</v>
      </c>
      <c r="K13" s="38">
        <f t="shared" si="6"/>
        <v>91.194477361057551</v>
      </c>
      <c r="L13" s="38">
        <f t="shared" si="7"/>
        <v>87.315895854551641</v>
      </c>
      <c r="M13" s="38">
        <f t="shared" si="8"/>
        <v>86.610898968313023</v>
      </c>
      <c r="N13" s="38">
        <f t="shared" si="9"/>
        <v>85.267264438606958</v>
      </c>
      <c r="O13" s="38">
        <f t="shared" si="10"/>
        <v>84.297688286859525</v>
      </c>
      <c r="R13" s="144">
        <v>5</v>
      </c>
      <c r="S13" s="38">
        <f t="shared" si="11"/>
        <v>68.395858020793156</v>
      </c>
      <c r="T13" s="38">
        <f t="shared" si="12"/>
        <v>65.486921890913735</v>
      </c>
      <c r="U13" s="38">
        <f t="shared" si="13"/>
        <v>64.958174226234775</v>
      </c>
      <c r="V13" s="38">
        <f t="shared" si="14"/>
        <v>63.950448328955218</v>
      </c>
      <c r="W13" s="38">
        <f t="shared" si="15"/>
        <v>63.223266215144648</v>
      </c>
      <c r="Z13" s="144">
        <v>5</v>
      </c>
      <c r="AA13" s="38">
        <f t="shared" si="16"/>
        <v>54.716686416634531</v>
      </c>
      <c r="AB13" s="38">
        <f t="shared" si="17"/>
        <v>52.389537512730982</v>
      </c>
      <c r="AC13" s="38">
        <f t="shared" si="18"/>
        <v>51.966539380987811</v>
      </c>
      <c r="AD13" s="38">
        <f t="shared" si="19"/>
        <v>51.160358663164175</v>
      </c>
      <c r="AE13" s="38">
        <f t="shared" si="20"/>
        <v>50.578612972115714</v>
      </c>
      <c r="AH13" s="144">
        <v>5</v>
      </c>
      <c r="AI13" s="38">
        <f t="shared" si="21"/>
        <v>45.597238680528775</v>
      </c>
      <c r="AJ13" s="38">
        <f t="shared" si="22"/>
        <v>43.657947927275821</v>
      </c>
      <c r="AK13" s="38">
        <f t="shared" si="23"/>
        <v>43.305449484156512</v>
      </c>
      <c r="AL13" s="38">
        <f t="shared" si="24"/>
        <v>42.633632219303479</v>
      </c>
      <c r="AM13" s="38">
        <f t="shared" si="25"/>
        <v>42.148844143429763</v>
      </c>
    </row>
    <row r="14" spans="1:39" x14ac:dyDescent="0.2">
      <c r="B14" s="190">
        <v>6</v>
      </c>
      <c r="C14" s="33">
        <f t="shared" si="5"/>
        <v>44.260530813360155</v>
      </c>
      <c r="D14" s="33">
        <f t="shared" si="5"/>
        <v>41.593550184577296</v>
      </c>
      <c r="E14" s="33">
        <f t="shared" si="5"/>
        <v>41.94046724181743</v>
      </c>
      <c r="F14" s="33">
        <f t="shared" si="5"/>
        <v>41.016000967467562</v>
      </c>
      <c r="G14" s="33">
        <f t="shared" si="5"/>
        <v>40.723554503540441</v>
      </c>
      <c r="J14" s="144">
        <v>6</v>
      </c>
      <c r="K14" s="38">
        <f t="shared" si="6"/>
        <v>88.521061626720311</v>
      </c>
      <c r="L14" s="38">
        <f t="shared" si="7"/>
        <v>83.187100369154592</v>
      </c>
      <c r="M14" s="38">
        <f t="shared" si="8"/>
        <v>83.88093448363486</v>
      </c>
      <c r="N14" s="38">
        <f t="shared" si="9"/>
        <v>82.032001934935124</v>
      </c>
      <c r="O14" s="38">
        <f t="shared" si="10"/>
        <v>81.447109007080883</v>
      </c>
      <c r="R14" s="144">
        <v>6</v>
      </c>
      <c r="S14" s="38">
        <f t="shared" si="11"/>
        <v>66.39079622004023</v>
      </c>
      <c r="T14" s="38">
        <f t="shared" si="12"/>
        <v>62.390325276865944</v>
      </c>
      <c r="U14" s="38">
        <f t="shared" si="13"/>
        <v>62.910700862726145</v>
      </c>
      <c r="V14" s="38">
        <f t="shared" si="14"/>
        <v>61.524001451201343</v>
      </c>
      <c r="W14" s="38">
        <f t="shared" si="15"/>
        <v>61.085331755310662</v>
      </c>
      <c r="Z14" s="144">
        <v>6</v>
      </c>
      <c r="AA14" s="38">
        <f t="shared" si="16"/>
        <v>53.112636976032185</v>
      </c>
      <c r="AB14" s="38">
        <f t="shared" si="17"/>
        <v>49.912260221492751</v>
      </c>
      <c r="AC14" s="38">
        <f t="shared" si="18"/>
        <v>50.328560690180915</v>
      </c>
      <c r="AD14" s="38">
        <f t="shared" si="19"/>
        <v>49.21920116096107</v>
      </c>
      <c r="AE14" s="38">
        <f t="shared" si="20"/>
        <v>48.868265404248525</v>
      </c>
      <c r="AH14" s="144">
        <v>6</v>
      </c>
      <c r="AI14" s="38">
        <f t="shared" si="21"/>
        <v>44.260530813360155</v>
      </c>
      <c r="AJ14" s="38">
        <f t="shared" si="22"/>
        <v>41.593550184577296</v>
      </c>
      <c r="AK14" s="38">
        <f t="shared" si="23"/>
        <v>41.94046724181743</v>
      </c>
      <c r="AL14" s="38">
        <f t="shared" si="24"/>
        <v>41.016000967467562</v>
      </c>
      <c r="AM14" s="38">
        <f t="shared" si="25"/>
        <v>40.723554503540441</v>
      </c>
    </row>
    <row r="15" spans="1:39" x14ac:dyDescent="0.2">
      <c r="B15" s="190">
        <v>7</v>
      </c>
      <c r="C15" s="33">
        <f t="shared" si="5"/>
        <v>43.024632208529034</v>
      </c>
      <c r="D15" s="33">
        <f t="shared" si="5"/>
        <v>41.304454830146916</v>
      </c>
      <c r="E15" s="33">
        <f t="shared" si="5"/>
        <v>41.49625141667034</v>
      </c>
      <c r="F15" s="33">
        <f t="shared" si="5"/>
        <v>40.919825447396349</v>
      </c>
      <c r="G15" s="33">
        <f t="shared" si="5"/>
        <v>40.050078862024307</v>
      </c>
      <c r="J15" s="144">
        <v>7</v>
      </c>
      <c r="K15" s="38">
        <f t="shared" si="6"/>
        <v>86.049264417058069</v>
      </c>
      <c r="L15" s="38">
        <f t="shared" si="7"/>
        <v>82.608909660293833</v>
      </c>
      <c r="M15" s="38">
        <f t="shared" si="8"/>
        <v>82.99250283334068</v>
      </c>
      <c r="N15" s="38">
        <f t="shared" si="9"/>
        <v>81.839650894792697</v>
      </c>
      <c r="O15" s="38">
        <f t="shared" si="10"/>
        <v>80.100157724048614</v>
      </c>
      <c r="R15" s="144">
        <v>7</v>
      </c>
      <c r="S15" s="38">
        <f t="shared" si="11"/>
        <v>64.536948312793555</v>
      </c>
      <c r="T15" s="38">
        <f t="shared" si="12"/>
        <v>61.956682245220378</v>
      </c>
      <c r="U15" s="38">
        <f t="shared" si="13"/>
        <v>62.244377125005514</v>
      </c>
      <c r="V15" s="38">
        <f t="shared" si="14"/>
        <v>61.379738171094523</v>
      </c>
      <c r="W15" s="38">
        <f t="shared" si="15"/>
        <v>60.075118293036461</v>
      </c>
      <c r="Z15" s="144">
        <v>7</v>
      </c>
      <c r="AA15" s="38">
        <f t="shared" si="16"/>
        <v>51.629558650234841</v>
      </c>
      <c r="AB15" s="38">
        <f t="shared" si="17"/>
        <v>49.565345796176295</v>
      </c>
      <c r="AC15" s="38">
        <f t="shared" si="18"/>
        <v>49.795501700004408</v>
      </c>
      <c r="AD15" s="38">
        <f t="shared" si="19"/>
        <v>49.103790536875614</v>
      </c>
      <c r="AE15" s="38">
        <f t="shared" si="20"/>
        <v>48.06009463442917</v>
      </c>
      <c r="AH15" s="144">
        <v>7</v>
      </c>
      <c r="AI15" s="38">
        <f t="shared" si="21"/>
        <v>43.024632208529034</v>
      </c>
      <c r="AJ15" s="38">
        <f t="shared" si="22"/>
        <v>41.304454830146916</v>
      </c>
      <c r="AK15" s="38">
        <f t="shared" si="23"/>
        <v>41.49625141667034</v>
      </c>
      <c r="AL15" s="38">
        <f t="shared" si="24"/>
        <v>40.919825447396349</v>
      </c>
      <c r="AM15" s="38">
        <f t="shared" si="25"/>
        <v>40.050078862024307</v>
      </c>
    </row>
    <row r="16" spans="1:39" x14ac:dyDescent="0.2">
      <c r="B16" s="190">
        <v>8</v>
      </c>
      <c r="C16" s="33">
        <f t="shared" si="5"/>
        <v>47.279474522665303</v>
      </c>
      <c r="D16" s="33">
        <f t="shared" si="5"/>
        <v>44.990974339485959</v>
      </c>
      <c r="E16" s="33">
        <f t="shared" si="5"/>
        <v>45.599349988752948</v>
      </c>
      <c r="F16" s="33">
        <f t="shared" si="5"/>
        <v>44.370263499011536</v>
      </c>
      <c r="G16" s="33">
        <f t="shared" si="5"/>
        <v>43.938673694011108</v>
      </c>
      <c r="J16" s="144">
        <v>8</v>
      </c>
      <c r="K16" s="38">
        <f t="shared" si="6"/>
        <v>94.558949045330607</v>
      </c>
      <c r="L16" s="38">
        <f t="shared" si="7"/>
        <v>89.981948678971918</v>
      </c>
      <c r="M16" s="38">
        <f t="shared" si="8"/>
        <v>91.198699977505896</v>
      </c>
      <c r="N16" s="38">
        <f t="shared" si="9"/>
        <v>88.740526998023071</v>
      </c>
      <c r="O16" s="38">
        <f t="shared" si="10"/>
        <v>87.877347388022216</v>
      </c>
      <c r="R16" s="144">
        <v>8</v>
      </c>
      <c r="S16" s="38">
        <f t="shared" si="11"/>
        <v>70.919211783997952</v>
      </c>
      <c r="T16" s="38">
        <f t="shared" si="12"/>
        <v>67.486461509228945</v>
      </c>
      <c r="U16" s="38">
        <f t="shared" si="13"/>
        <v>68.399024983129422</v>
      </c>
      <c r="V16" s="38">
        <f t="shared" si="14"/>
        <v>66.5553952485173</v>
      </c>
      <c r="W16" s="38">
        <f t="shared" si="15"/>
        <v>65.908010541016665</v>
      </c>
      <c r="Z16" s="144">
        <v>8</v>
      </c>
      <c r="AA16" s="38">
        <f t="shared" si="16"/>
        <v>56.735369427198364</v>
      </c>
      <c r="AB16" s="38">
        <f t="shared" si="17"/>
        <v>53.989169207383149</v>
      </c>
      <c r="AC16" s="38">
        <f t="shared" si="18"/>
        <v>54.719219986503539</v>
      </c>
      <c r="AD16" s="38">
        <f t="shared" si="19"/>
        <v>53.244316198813841</v>
      </c>
      <c r="AE16" s="38">
        <f t="shared" si="20"/>
        <v>52.726408432813329</v>
      </c>
      <c r="AH16" s="144">
        <v>8</v>
      </c>
      <c r="AI16" s="38">
        <f t="shared" si="21"/>
        <v>47.279474522665303</v>
      </c>
      <c r="AJ16" s="38">
        <f t="shared" si="22"/>
        <v>44.990974339485959</v>
      </c>
      <c r="AK16" s="38">
        <f t="shared" si="23"/>
        <v>45.599349988752948</v>
      </c>
      <c r="AL16" s="38">
        <f t="shared" si="24"/>
        <v>44.370263499011536</v>
      </c>
      <c r="AM16" s="38">
        <f t="shared" si="25"/>
        <v>43.938673694011108</v>
      </c>
    </row>
    <row r="17" spans="2:39" x14ac:dyDescent="0.2">
      <c r="B17" s="190">
        <v>9</v>
      </c>
      <c r="C17" s="33">
        <f t="shared" si="5"/>
        <v>48.616182389833938</v>
      </c>
      <c r="D17" s="33">
        <f t="shared" si="5"/>
        <v>47.055372082184476</v>
      </c>
      <c r="E17" s="33">
        <f t="shared" si="5"/>
        <v>46.964332231092044</v>
      </c>
      <c r="F17" s="33">
        <f t="shared" si="5"/>
        <v>45.98789475084746</v>
      </c>
      <c r="G17" s="33">
        <f t="shared" si="5"/>
        <v>45.363963333900429</v>
      </c>
      <c r="J17" s="144">
        <v>9</v>
      </c>
      <c r="K17" s="38">
        <f t="shared" si="6"/>
        <v>97.232364779667876</v>
      </c>
      <c r="L17" s="38">
        <f t="shared" si="7"/>
        <v>94.110744164368953</v>
      </c>
      <c r="M17" s="38">
        <f t="shared" si="8"/>
        <v>93.928664462184088</v>
      </c>
      <c r="N17" s="38">
        <f t="shared" si="9"/>
        <v>91.975789501694919</v>
      </c>
      <c r="O17" s="38">
        <f t="shared" si="10"/>
        <v>90.727926667800858</v>
      </c>
      <c r="R17" s="144">
        <v>9</v>
      </c>
      <c r="S17" s="38">
        <f t="shared" si="11"/>
        <v>72.924273584750907</v>
      </c>
      <c r="T17" s="38">
        <f t="shared" si="12"/>
        <v>70.583058123276714</v>
      </c>
      <c r="U17" s="38">
        <f t="shared" si="13"/>
        <v>70.446498346638066</v>
      </c>
      <c r="V17" s="38">
        <f t="shared" si="14"/>
        <v>68.981842126271189</v>
      </c>
      <c r="W17" s="38">
        <f t="shared" si="15"/>
        <v>68.045945000850651</v>
      </c>
      <c r="Z17" s="144">
        <v>9</v>
      </c>
      <c r="AA17" s="38">
        <f t="shared" si="16"/>
        <v>58.339418867800724</v>
      </c>
      <c r="AB17" s="38">
        <f t="shared" si="17"/>
        <v>56.466446498621373</v>
      </c>
      <c r="AC17" s="38">
        <f t="shared" si="18"/>
        <v>56.35719867731045</v>
      </c>
      <c r="AD17" s="38">
        <f t="shared" si="19"/>
        <v>55.185473701016953</v>
      </c>
      <c r="AE17" s="38">
        <f t="shared" si="20"/>
        <v>54.436756000680511</v>
      </c>
      <c r="AH17" s="144">
        <v>9</v>
      </c>
      <c r="AI17" s="38">
        <f t="shared" si="21"/>
        <v>48.616182389833938</v>
      </c>
      <c r="AJ17" s="38">
        <f t="shared" si="22"/>
        <v>47.055372082184476</v>
      </c>
      <c r="AK17" s="38">
        <f t="shared" si="23"/>
        <v>46.964332231092044</v>
      </c>
      <c r="AL17" s="38">
        <f t="shared" si="24"/>
        <v>45.98789475084746</v>
      </c>
      <c r="AM17" s="38">
        <f t="shared" si="25"/>
        <v>45.363963333900429</v>
      </c>
    </row>
    <row r="18" spans="2:39" x14ac:dyDescent="0.2">
      <c r="B18" s="190">
        <v>10</v>
      </c>
      <c r="C18" s="33">
        <f t="shared" si="5"/>
        <v>49.852080994665059</v>
      </c>
      <c r="D18" s="33">
        <f t="shared" si="5"/>
        <v>47.344467436614856</v>
      </c>
      <c r="E18" s="33">
        <f t="shared" si="5"/>
        <v>47.408548056239141</v>
      </c>
      <c r="F18" s="33">
        <f t="shared" si="5"/>
        <v>46.084070270918673</v>
      </c>
      <c r="G18" s="33">
        <f t="shared" si="5"/>
        <v>46.037438975416556</v>
      </c>
      <c r="J18" s="144">
        <v>10</v>
      </c>
      <c r="K18" s="38">
        <f t="shared" si="6"/>
        <v>99.704161989330117</v>
      </c>
      <c r="L18" s="38">
        <f t="shared" si="7"/>
        <v>94.688934873229712</v>
      </c>
      <c r="M18" s="38">
        <f t="shared" si="8"/>
        <v>94.817096112478282</v>
      </c>
      <c r="N18" s="38">
        <f t="shared" si="9"/>
        <v>92.168140541837346</v>
      </c>
      <c r="O18" s="38">
        <f t="shared" si="10"/>
        <v>92.074877950833113</v>
      </c>
      <c r="R18" s="144">
        <v>10</v>
      </c>
      <c r="S18" s="38">
        <f t="shared" si="11"/>
        <v>74.778121491997581</v>
      </c>
      <c r="T18" s="38">
        <f t="shared" si="12"/>
        <v>71.016701154922288</v>
      </c>
      <c r="U18" s="38">
        <f t="shared" si="13"/>
        <v>71.112822084358712</v>
      </c>
      <c r="V18" s="38">
        <f t="shared" si="14"/>
        <v>69.126105406378002</v>
      </c>
      <c r="W18" s="38">
        <f t="shared" si="15"/>
        <v>69.056158463124831</v>
      </c>
      <c r="Z18" s="144">
        <v>10</v>
      </c>
      <c r="AA18" s="38">
        <f t="shared" si="16"/>
        <v>59.822497193598068</v>
      </c>
      <c r="AB18" s="38">
        <f t="shared" si="17"/>
        <v>56.813360923937829</v>
      </c>
      <c r="AC18" s="38">
        <f t="shared" si="18"/>
        <v>56.890257667486971</v>
      </c>
      <c r="AD18" s="38">
        <f t="shared" si="19"/>
        <v>55.300884325102409</v>
      </c>
      <c r="AE18" s="38">
        <f t="shared" si="20"/>
        <v>55.244926770499866</v>
      </c>
      <c r="AH18" s="144">
        <v>10</v>
      </c>
      <c r="AI18" s="38">
        <f t="shared" si="21"/>
        <v>49.852080994665059</v>
      </c>
      <c r="AJ18" s="38">
        <f t="shared" si="22"/>
        <v>47.344467436614856</v>
      </c>
      <c r="AK18" s="38">
        <f t="shared" si="23"/>
        <v>47.408548056239141</v>
      </c>
      <c r="AL18" s="38">
        <f t="shared" si="24"/>
        <v>46.084070270918673</v>
      </c>
      <c r="AM18" s="38">
        <f t="shared" si="25"/>
        <v>46.037438975416556</v>
      </c>
    </row>
    <row r="19" spans="2:39" x14ac:dyDescent="0.2">
      <c r="B19" s="190">
        <v>11</v>
      </c>
      <c r="C19" s="33">
        <f t="shared" si="5"/>
        <v>45.597238680528775</v>
      </c>
      <c r="D19" s="33">
        <f t="shared" si="5"/>
        <v>43.657947927275821</v>
      </c>
      <c r="E19" s="33">
        <f t="shared" si="5"/>
        <v>43.305449484156512</v>
      </c>
      <c r="F19" s="33">
        <f t="shared" si="5"/>
        <v>42.633632219303479</v>
      </c>
      <c r="G19" s="33">
        <f t="shared" si="5"/>
        <v>42.148844143429763</v>
      </c>
      <c r="J19" s="144">
        <v>11</v>
      </c>
      <c r="K19" s="38">
        <f t="shared" si="6"/>
        <v>91.194477361057551</v>
      </c>
      <c r="L19" s="38">
        <f t="shared" si="7"/>
        <v>87.315895854551641</v>
      </c>
      <c r="M19" s="38">
        <f t="shared" si="8"/>
        <v>86.610898968313023</v>
      </c>
      <c r="N19" s="38">
        <f t="shared" si="9"/>
        <v>85.267264438606958</v>
      </c>
      <c r="O19" s="38">
        <f t="shared" si="10"/>
        <v>84.297688286859525</v>
      </c>
      <c r="R19" s="144">
        <v>11</v>
      </c>
      <c r="S19" s="38">
        <f t="shared" si="11"/>
        <v>68.395858020793156</v>
      </c>
      <c r="T19" s="38">
        <f t="shared" si="12"/>
        <v>65.486921890913735</v>
      </c>
      <c r="U19" s="38">
        <f t="shared" si="13"/>
        <v>64.958174226234775</v>
      </c>
      <c r="V19" s="38">
        <f t="shared" si="14"/>
        <v>63.950448328955218</v>
      </c>
      <c r="W19" s="38">
        <f t="shared" si="15"/>
        <v>63.223266215144648</v>
      </c>
      <c r="Z19" s="144">
        <v>11</v>
      </c>
      <c r="AA19" s="38">
        <f t="shared" si="16"/>
        <v>54.716686416634531</v>
      </c>
      <c r="AB19" s="38">
        <f t="shared" si="17"/>
        <v>52.389537512730982</v>
      </c>
      <c r="AC19" s="38">
        <f t="shared" si="18"/>
        <v>51.966539380987811</v>
      </c>
      <c r="AD19" s="38">
        <f t="shared" si="19"/>
        <v>51.160358663164175</v>
      </c>
      <c r="AE19" s="38">
        <f t="shared" si="20"/>
        <v>50.578612972115714</v>
      </c>
      <c r="AH19" s="144">
        <v>11</v>
      </c>
      <c r="AI19" s="38">
        <f t="shared" si="21"/>
        <v>45.597238680528775</v>
      </c>
      <c r="AJ19" s="38">
        <f t="shared" si="22"/>
        <v>43.657947927275821</v>
      </c>
      <c r="AK19" s="38">
        <f t="shared" si="23"/>
        <v>43.305449484156512</v>
      </c>
      <c r="AL19" s="38">
        <f t="shared" si="24"/>
        <v>42.633632219303479</v>
      </c>
      <c r="AM19" s="38">
        <f t="shared" si="25"/>
        <v>42.148844143429763</v>
      </c>
    </row>
    <row r="20" spans="2:39" x14ac:dyDescent="0.2">
      <c r="B20" s="190">
        <v>12</v>
      </c>
      <c r="C20" s="33">
        <f t="shared" si="5"/>
        <v>44.260530813360155</v>
      </c>
      <c r="D20" s="33">
        <f t="shared" si="5"/>
        <v>41.593550184577296</v>
      </c>
      <c r="E20" s="33">
        <f t="shared" si="5"/>
        <v>41.94046724181743</v>
      </c>
      <c r="F20" s="33">
        <f t="shared" si="5"/>
        <v>41.016000967467562</v>
      </c>
      <c r="G20" s="33">
        <f t="shared" si="5"/>
        <v>40.723554503540441</v>
      </c>
      <c r="J20" s="144">
        <v>12</v>
      </c>
      <c r="K20" s="38">
        <f t="shared" si="6"/>
        <v>88.521061626720311</v>
      </c>
      <c r="L20" s="38">
        <f t="shared" si="7"/>
        <v>83.187100369154592</v>
      </c>
      <c r="M20" s="38">
        <f t="shared" si="8"/>
        <v>83.88093448363486</v>
      </c>
      <c r="N20" s="38">
        <f t="shared" si="9"/>
        <v>82.032001934935124</v>
      </c>
      <c r="O20" s="38">
        <f t="shared" si="10"/>
        <v>81.447109007080883</v>
      </c>
      <c r="R20" s="144">
        <v>12</v>
      </c>
      <c r="S20" s="38">
        <f t="shared" si="11"/>
        <v>66.39079622004023</v>
      </c>
      <c r="T20" s="38">
        <f t="shared" si="12"/>
        <v>62.390325276865944</v>
      </c>
      <c r="U20" s="38">
        <f t="shared" si="13"/>
        <v>62.910700862726145</v>
      </c>
      <c r="V20" s="38">
        <f t="shared" si="14"/>
        <v>61.524001451201343</v>
      </c>
      <c r="W20" s="38">
        <f t="shared" si="15"/>
        <v>61.085331755310662</v>
      </c>
      <c r="Z20" s="144">
        <v>12</v>
      </c>
      <c r="AA20" s="38">
        <f t="shared" si="16"/>
        <v>53.112636976032185</v>
      </c>
      <c r="AB20" s="38">
        <f t="shared" si="17"/>
        <v>49.912260221492751</v>
      </c>
      <c r="AC20" s="38">
        <f t="shared" si="18"/>
        <v>50.328560690180915</v>
      </c>
      <c r="AD20" s="38">
        <f t="shared" si="19"/>
        <v>49.21920116096107</v>
      </c>
      <c r="AE20" s="38">
        <f t="shared" si="20"/>
        <v>48.868265404248525</v>
      </c>
      <c r="AH20" s="144">
        <v>12</v>
      </c>
      <c r="AI20" s="38">
        <f t="shared" si="21"/>
        <v>44.260530813360155</v>
      </c>
      <c r="AJ20" s="38">
        <f t="shared" si="22"/>
        <v>41.593550184577296</v>
      </c>
      <c r="AK20" s="38">
        <f t="shared" si="23"/>
        <v>41.94046724181743</v>
      </c>
      <c r="AL20" s="38">
        <f t="shared" si="24"/>
        <v>41.016000967467562</v>
      </c>
      <c r="AM20" s="38">
        <f t="shared" si="25"/>
        <v>40.723554503540441</v>
      </c>
    </row>
    <row r="23" spans="2:39" x14ac:dyDescent="0.2">
      <c r="B23" s="188" t="s">
        <v>40</v>
      </c>
      <c r="C23" s="189"/>
      <c r="D23" s="189"/>
      <c r="E23" s="189"/>
      <c r="F23" s="189"/>
      <c r="G23" s="189"/>
      <c r="J23" s="141" t="s">
        <v>40</v>
      </c>
      <c r="R23" s="141" t="s">
        <v>40</v>
      </c>
      <c r="Z23" s="141" t="s">
        <v>40</v>
      </c>
      <c r="AH23" s="141" t="s">
        <v>40</v>
      </c>
    </row>
    <row r="24" spans="2:39" x14ac:dyDescent="0.2">
      <c r="B24" s="190" t="s">
        <v>37</v>
      </c>
      <c r="C24" s="142" t="s">
        <v>30</v>
      </c>
      <c r="D24" s="191" t="s">
        <v>31</v>
      </c>
      <c r="E24" s="472" t="s">
        <v>32</v>
      </c>
      <c r="F24" s="470" t="s">
        <v>33</v>
      </c>
      <c r="G24" s="150" t="s">
        <v>34</v>
      </c>
      <c r="J24" s="146" t="s">
        <v>37</v>
      </c>
      <c r="K24" s="85" t="s">
        <v>30</v>
      </c>
      <c r="L24" s="85" t="s">
        <v>31</v>
      </c>
      <c r="M24" s="85" t="s">
        <v>32</v>
      </c>
      <c r="N24" s="85" t="s">
        <v>33</v>
      </c>
      <c r="O24" s="85" t="s">
        <v>34</v>
      </c>
      <c r="R24" s="146" t="s">
        <v>37</v>
      </c>
      <c r="S24" s="85" t="s">
        <v>30</v>
      </c>
      <c r="T24" s="85" t="s">
        <v>31</v>
      </c>
      <c r="U24" s="85" t="s">
        <v>32</v>
      </c>
      <c r="V24" s="85" t="s">
        <v>33</v>
      </c>
      <c r="W24" s="85" t="s">
        <v>34</v>
      </c>
      <c r="Z24" s="146" t="s">
        <v>37</v>
      </c>
      <c r="AA24" s="85" t="s">
        <v>30</v>
      </c>
      <c r="AB24" s="85" t="s">
        <v>31</v>
      </c>
      <c r="AC24" s="85" t="s">
        <v>32</v>
      </c>
      <c r="AD24" s="85" t="s">
        <v>33</v>
      </c>
      <c r="AE24" s="85" t="s">
        <v>34</v>
      </c>
      <c r="AH24" s="146" t="s">
        <v>37</v>
      </c>
      <c r="AI24" s="85" t="s">
        <v>30</v>
      </c>
      <c r="AJ24" s="85" t="s">
        <v>31</v>
      </c>
      <c r="AK24" s="85" t="s">
        <v>32</v>
      </c>
      <c r="AL24" s="85" t="s">
        <v>33</v>
      </c>
      <c r="AM24" s="85" t="s">
        <v>34</v>
      </c>
    </row>
    <row r="25" spans="2:39" x14ac:dyDescent="0.2">
      <c r="B25" s="190">
        <v>1</v>
      </c>
      <c r="C25" s="469">
        <f>('Detailed Avalerem Tables'!X23+'Detailed Avalerem Tables'!X72+'Detailed Avalerem Tables'!X120+'Detailed Avalerem Tables'!X168+'Detailed Avalerem Tables'!X216+'Detailed Avalerem Tables'!AZ23+'Detailed Avalerem Tables'!AZ72+'Detailed Avalerem Tables'!AZ120+'Detailed Avalerem Tables'!AZ168+'Detailed Avalerem Tables'!AZ216+'Detailed Avalerem Tables'!CB23+'Detailed Avalerem Tables'!CB72+'Detailed Avalerem Tables'!CB120+'Detailed Avalerem Tables'!CB168+'Detailed Avalerem Tables'!CB216+'Detailed Avalerem Tables'!DD23+'Detailed Avalerem Tables'!DD72+'Detailed Avalerem Tables'!DD120+'Detailed Avalerem Tables'!DD168+'Detailed Avalerem Tables'!DD216+'Detailed Avalerem Tables'!EF23+'Detailed Avalerem Tables'!EF72+'Detailed Avalerem Tables'!EF120+'Detailed Avalerem Tables'!EF168+'Detailed Avalerem Tables'!EF216)/25</f>
        <v>12.468302506855878</v>
      </c>
      <c r="D25" s="474">
        <f>('Detailed Avalerem Tables'!Y23+'Detailed Avalerem Tables'!Y72+'Detailed Avalerem Tables'!Y120+'Detailed Avalerem Tables'!Y168+'Detailed Avalerem Tables'!Y216+'Detailed Avalerem Tables'!BA23+'Detailed Avalerem Tables'!BA72+'Detailed Avalerem Tables'!BA120+'Detailed Avalerem Tables'!BA168+'Detailed Avalerem Tables'!BA216+'Detailed Avalerem Tables'!CC23+'Detailed Avalerem Tables'!CC72+'Detailed Avalerem Tables'!CC120+'Detailed Avalerem Tables'!CC168+'Detailed Avalerem Tables'!CC216+'Detailed Avalerem Tables'!DE23+'Detailed Avalerem Tables'!DE72+'Detailed Avalerem Tables'!DE120+'Detailed Avalerem Tables'!DE168+'Detailed Avalerem Tables'!DE216+'Detailed Avalerem Tables'!EG23+'Detailed Avalerem Tables'!EG72+'Detailed Avalerem Tables'!EG120+'Detailed Avalerem Tables'!EG168+'Detailed Avalerem Tables'!EG216)/25</f>
        <v>12.363520434532601</v>
      </c>
      <c r="E25" s="473">
        <f>('Detailed Avalerem Tables'!Z23+'Detailed Avalerem Tables'!Z72+'Detailed Avalerem Tables'!Z120+'Detailed Avalerem Tables'!Z168+'Detailed Avalerem Tables'!Z216+'Detailed Avalerem Tables'!BB23+'Detailed Avalerem Tables'!BB72+'Detailed Avalerem Tables'!BB120+'Detailed Avalerem Tables'!BB168+'Detailed Avalerem Tables'!BB216+'Detailed Avalerem Tables'!CD23+'Detailed Avalerem Tables'!CD72+'Detailed Avalerem Tables'!CD120+'Detailed Avalerem Tables'!CD168+'Detailed Avalerem Tables'!CD216+'Detailed Avalerem Tables'!DF23+'Detailed Avalerem Tables'!DF72+'Detailed Avalerem Tables'!DF120+'Detailed Avalerem Tables'!DF168+'Detailed Avalerem Tables'!DF216+'Detailed Avalerem Tables'!EH23+'Detailed Avalerem Tables'!EH72+'Detailed Avalerem Tables'!EH120+'Detailed Avalerem Tables'!EH168+'Detailed Avalerem Tables'!EH216)/25</f>
        <v>12.487747390847485</v>
      </c>
      <c r="F25" s="471">
        <f>('Detailed Avalerem Tables'!AA23+'Detailed Avalerem Tables'!AA72+'Detailed Avalerem Tables'!AA120+'Detailed Avalerem Tables'!AA168+'Detailed Avalerem Tables'!AA216+'Detailed Avalerem Tables'!BC23+'Detailed Avalerem Tables'!BC72+'Detailed Avalerem Tables'!BC120+'Detailed Avalerem Tables'!BC168+'Detailed Avalerem Tables'!BC216+'Detailed Avalerem Tables'!CE23+'Detailed Avalerem Tables'!CE72+'Detailed Avalerem Tables'!CE120+'Detailed Avalerem Tables'!CE168+'Detailed Avalerem Tables'!CE216+'Detailed Avalerem Tables'!DG23+'Detailed Avalerem Tables'!DG72+'Detailed Avalerem Tables'!DG120+'Detailed Avalerem Tables'!DG168+'Detailed Avalerem Tables'!DG216+'Detailed Avalerem Tables'!EI23+'Detailed Avalerem Tables'!EI72+'Detailed Avalerem Tables'!EI120+'Detailed Avalerem Tables'!EI168+'Detailed Avalerem Tables'!EI216)/25</f>
        <v>12.628678446683899</v>
      </c>
      <c r="G25" s="122">
        <f>('Detailed Avalerem Tables'!AB23+'Detailed Avalerem Tables'!AB72+'Detailed Avalerem Tables'!AB120+'Detailed Avalerem Tables'!AB168+'Detailed Avalerem Tables'!AB216+'Detailed Avalerem Tables'!BD23+'Detailed Avalerem Tables'!BD72+'Detailed Avalerem Tables'!BD120+'Detailed Avalerem Tables'!BD168+'Detailed Avalerem Tables'!BD216+'Detailed Avalerem Tables'!CF23+'Detailed Avalerem Tables'!CF72+'Detailed Avalerem Tables'!CF120+'Detailed Avalerem Tables'!CF168+'Detailed Avalerem Tables'!CF216+'Detailed Avalerem Tables'!DH23+'Detailed Avalerem Tables'!DH72+'Detailed Avalerem Tables'!DH120+'Detailed Avalerem Tables'!DH168+'Detailed Avalerem Tables'!DH216+'Detailed Avalerem Tables'!EJ23+'Detailed Avalerem Tables'!EJ72+'Detailed Avalerem Tables'!EJ120+'Detailed Avalerem Tables'!EJ168+'Detailed Avalerem Tables'!EJ216)/25</f>
        <v>12.067767424188476</v>
      </c>
      <c r="J25" s="144">
        <v>1</v>
      </c>
      <c r="K25" s="38">
        <f>$L$5*C25</f>
        <v>24.936605013711755</v>
      </c>
      <c r="L25" s="38">
        <f t="shared" ref="L25:L36" si="26">$L$5*D25</f>
        <v>24.727040869065203</v>
      </c>
      <c r="M25" s="38">
        <f t="shared" ref="M25:M36" si="27">$L$5*E25</f>
        <v>24.97549478169497</v>
      </c>
      <c r="N25" s="38">
        <f t="shared" ref="N25:N36" si="28">$L$5*F25</f>
        <v>25.257356893367799</v>
      </c>
      <c r="O25" s="38">
        <f t="shared" ref="O25:O36" si="29">$L$5*G25</f>
        <v>24.135534848376953</v>
      </c>
      <c r="R25" s="144">
        <v>1</v>
      </c>
      <c r="S25" s="38">
        <f>$T$5*C25</f>
        <v>18.702453760283817</v>
      </c>
      <c r="T25" s="38">
        <f t="shared" ref="T25:T36" si="30">$T$5*D25</f>
        <v>18.545280651798901</v>
      </c>
      <c r="U25" s="38">
        <f t="shared" ref="U25:U36" si="31">$T$5*E25</f>
        <v>18.731621086271225</v>
      </c>
      <c r="V25" s="38">
        <f t="shared" ref="V25:V36" si="32">$T$5*F25</f>
        <v>18.943017670025849</v>
      </c>
      <c r="W25" s="38">
        <f t="shared" ref="W25:W36" si="33">$T$5*G25</f>
        <v>18.101651136282715</v>
      </c>
      <c r="Z25" s="144">
        <v>1</v>
      </c>
      <c r="AA25" s="38">
        <f>$AB$5*C25</f>
        <v>14.961963008227052</v>
      </c>
      <c r="AB25" s="38">
        <f t="shared" ref="AB25:AB36" si="34">$AB$5*D25</f>
        <v>14.836224521439121</v>
      </c>
      <c r="AC25" s="38">
        <f t="shared" ref="AC25:AC36" si="35">$AB$5*E25</f>
        <v>14.985296869016981</v>
      </c>
      <c r="AD25" s="38">
        <f t="shared" ref="AD25:AD36" si="36">$AB$5*F25</f>
        <v>15.154414136020678</v>
      </c>
      <c r="AE25" s="38">
        <f t="shared" ref="AE25:AE36" si="37">$AB$5*G25</f>
        <v>14.48132090902617</v>
      </c>
      <c r="AH25" s="144">
        <v>1</v>
      </c>
      <c r="AI25" s="38">
        <f>$AJ$5*C25</f>
        <v>12.468302506855878</v>
      </c>
      <c r="AJ25" s="38">
        <f t="shared" ref="AJ25:AJ36" si="38">$AJ$5*D25</f>
        <v>12.363520434532601</v>
      </c>
      <c r="AK25" s="38">
        <f t="shared" ref="AK25:AK36" si="39">$AJ$5*E25</f>
        <v>12.487747390847485</v>
      </c>
      <c r="AL25" s="38">
        <f t="shared" ref="AL25:AL36" si="40">$AJ$5*F25</f>
        <v>12.628678446683899</v>
      </c>
      <c r="AM25" s="38">
        <f t="shared" ref="AM25:AM36" si="41">$AJ$5*G25</f>
        <v>12.067767424188476</v>
      </c>
    </row>
    <row r="26" spans="2:39" x14ac:dyDescent="0.2">
      <c r="B26" s="190">
        <v>2</v>
      </c>
      <c r="C26" s="469">
        <f>('Detailed Avalerem Tables'!X24+'Detailed Avalerem Tables'!X73+'Detailed Avalerem Tables'!X121+'Detailed Avalerem Tables'!X169+'Detailed Avalerem Tables'!X217+'Detailed Avalerem Tables'!AZ24+'Detailed Avalerem Tables'!AZ73+'Detailed Avalerem Tables'!AZ121+'Detailed Avalerem Tables'!AZ169+'Detailed Avalerem Tables'!AZ217+'Detailed Avalerem Tables'!CB24+'Detailed Avalerem Tables'!CB73+'Detailed Avalerem Tables'!CB121+'Detailed Avalerem Tables'!CB169+'Detailed Avalerem Tables'!CB217+'Detailed Avalerem Tables'!DD24+'Detailed Avalerem Tables'!DD73+'Detailed Avalerem Tables'!DD121+'Detailed Avalerem Tables'!DD169+'Detailed Avalerem Tables'!DD217+'Detailed Avalerem Tables'!EF24+'Detailed Avalerem Tables'!EF73+'Detailed Avalerem Tables'!EF121+'Detailed Avalerem Tables'!EF169+'Detailed Avalerem Tables'!EF217)/25</f>
        <v>15.430302415329463</v>
      </c>
      <c r="D26" s="474">
        <f>('Detailed Avalerem Tables'!Y24+'Detailed Avalerem Tables'!Y73+'Detailed Avalerem Tables'!Y121+'Detailed Avalerem Tables'!Y169+'Detailed Avalerem Tables'!Y217+'Detailed Avalerem Tables'!BA24+'Detailed Avalerem Tables'!BA73+'Detailed Avalerem Tables'!BA121+'Detailed Avalerem Tables'!BA169+'Detailed Avalerem Tables'!BA217+'Detailed Avalerem Tables'!CC24+'Detailed Avalerem Tables'!CC73+'Detailed Avalerem Tables'!CC121+'Detailed Avalerem Tables'!CC169+'Detailed Avalerem Tables'!CC217+'Detailed Avalerem Tables'!DE24+'Detailed Avalerem Tables'!DE73+'Detailed Avalerem Tables'!DE121+'Detailed Avalerem Tables'!DE169+'Detailed Avalerem Tables'!DE217+'Detailed Avalerem Tables'!EG24+'Detailed Avalerem Tables'!EG73+'Detailed Avalerem Tables'!EG121+'Detailed Avalerem Tables'!EG169+'Detailed Avalerem Tables'!EG217)/25</f>
        <v>14.768225296037503</v>
      </c>
      <c r="E26" s="473">
        <f>('Detailed Avalerem Tables'!Z24+'Detailed Avalerem Tables'!Z73+'Detailed Avalerem Tables'!Z121+'Detailed Avalerem Tables'!Z169+'Detailed Avalerem Tables'!Z217+'Detailed Avalerem Tables'!BB24+'Detailed Avalerem Tables'!BB73+'Detailed Avalerem Tables'!BB121+'Detailed Avalerem Tables'!BB169+'Detailed Avalerem Tables'!BB217+'Detailed Avalerem Tables'!CD24+'Detailed Avalerem Tables'!CD73+'Detailed Avalerem Tables'!CD121+'Detailed Avalerem Tables'!CD169+'Detailed Avalerem Tables'!CD217+'Detailed Avalerem Tables'!DF24+'Detailed Avalerem Tables'!DF73+'Detailed Avalerem Tables'!DF121+'Detailed Avalerem Tables'!DF169+'Detailed Avalerem Tables'!DF217+'Detailed Avalerem Tables'!EH24+'Detailed Avalerem Tables'!EH73+'Detailed Avalerem Tables'!EH121+'Detailed Avalerem Tables'!EH169+'Detailed Avalerem Tables'!EH217)/25</f>
        <v>15.349913711425824</v>
      </c>
      <c r="F26" s="471">
        <f>('Detailed Avalerem Tables'!AA24+'Detailed Avalerem Tables'!AA73+'Detailed Avalerem Tables'!AA121+'Detailed Avalerem Tables'!AA169+'Detailed Avalerem Tables'!AA217+'Detailed Avalerem Tables'!BC24+'Detailed Avalerem Tables'!BC73+'Detailed Avalerem Tables'!BC121+'Detailed Avalerem Tables'!BC169+'Detailed Avalerem Tables'!BC217+'Detailed Avalerem Tables'!CE24+'Detailed Avalerem Tables'!CE73+'Detailed Avalerem Tables'!CE121+'Detailed Avalerem Tables'!CE169+'Detailed Avalerem Tables'!CE217+'Detailed Avalerem Tables'!DG24+'Detailed Avalerem Tables'!DG73+'Detailed Avalerem Tables'!DG121+'Detailed Avalerem Tables'!DG169+'Detailed Avalerem Tables'!DG217+'Detailed Avalerem Tables'!EI24+'Detailed Avalerem Tables'!EI73+'Detailed Avalerem Tables'!EI121+'Detailed Avalerem Tables'!EI169+'Detailed Avalerem Tables'!EI217)/25</f>
        <v>14.818997221199174</v>
      </c>
      <c r="G26" s="122">
        <f>('Detailed Avalerem Tables'!AB24+'Detailed Avalerem Tables'!AB73+'Detailed Avalerem Tables'!AB121+'Detailed Avalerem Tables'!AB169+'Detailed Avalerem Tables'!AB217+'Detailed Avalerem Tables'!BD24+'Detailed Avalerem Tables'!BD73+'Detailed Avalerem Tables'!BD121+'Detailed Avalerem Tables'!BD169+'Detailed Avalerem Tables'!BD217+'Detailed Avalerem Tables'!CF24+'Detailed Avalerem Tables'!CF73+'Detailed Avalerem Tables'!CF121+'Detailed Avalerem Tables'!CF169+'Detailed Avalerem Tables'!CF217+'Detailed Avalerem Tables'!DH24+'Detailed Avalerem Tables'!DH73+'Detailed Avalerem Tables'!DH121+'Detailed Avalerem Tables'!DH169+'Detailed Avalerem Tables'!DH217+'Detailed Avalerem Tables'!EJ24+'Detailed Avalerem Tables'!EJ73+'Detailed Avalerem Tables'!EJ121+'Detailed Avalerem Tables'!EJ169+'Detailed Avalerem Tables'!EJ217)/25</f>
        <v>14.635038472325055</v>
      </c>
      <c r="J26" s="144">
        <v>2</v>
      </c>
      <c r="K26" s="38">
        <f t="shared" ref="K26:K36" si="42">$L$5*C26</f>
        <v>30.860604830658925</v>
      </c>
      <c r="L26" s="38">
        <f t="shared" si="26"/>
        <v>29.536450592075006</v>
      </c>
      <c r="M26" s="38">
        <f t="shared" si="27"/>
        <v>30.699827422851648</v>
      </c>
      <c r="N26" s="38">
        <f t="shared" si="28"/>
        <v>29.637994442398348</v>
      </c>
      <c r="O26" s="38">
        <f t="shared" si="29"/>
        <v>29.270076944650111</v>
      </c>
      <c r="R26" s="144">
        <v>2</v>
      </c>
      <c r="S26" s="38">
        <f t="shared" ref="S26:S36" si="43">$T$5*C26</f>
        <v>23.145453622994193</v>
      </c>
      <c r="T26" s="38">
        <f t="shared" si="30"/>
        <v>22.152337944056256</v>
      </c>
      <c r="U26" s="38">
        <f t="shared" si="31"/>
        <v>23.024870567138734</v>
      </c>
      <c r="V26" s="38">
        <f t="shared" si="32"/>
        <v>22.22849583179876</v>
      </c>
      <c r="W26" s="38">
        <f t="shared" si="33"/>
        <v>21.952557708487582</v>
      </c>
      <c r="Z26" s="144">
        <v>2</v>
      </c>
      <c r="AA26" s="38">
        <f t="shared" ref="AA26:AA36" si="44">$AB$5*C26</f>
        <v>18.516362898395354</v>
      </c>
      <c r="AB26" s="38">
        <f t="shared" si="34"/>
        <v>17.721870355245002</v>
      </c>
      <c r="AC26" s="38">
        <f t="shared" si="35"/>
        <v>18.419896453710987</v>
      </c>
      <c r="AD26" s="38">
        <f t="shared" si="36"/>
        <v>17.782796665439008</v>
      </c>
      <c r="AE26" s="38">
        <f t="shared" si="37"/>
        <v>17.562046166790065</v>
      </c>
      <c r="AH26" s="144">
        <v>2</v>
      </c>
      <c r="AI26" s="38">
        <f t="shared" ref="AI26:AI36" si="45">$AJ$5*C26</f>
        <v>15.430302415329463</v>
      </c>
      <c r="AJ26" s="38">
        <f t="shared" si="38"/>
        <v>14.768225296037503</v>
      </c>
      <c r="AK26" s="38">
        <f t="shared" si="39"/>
        <v>15.349913711425824</v>
      </c>
      <c r="AL26" s="38">
        <f t="shared" si="40"/>
        <v>14.818997221199174</v>
      </c>
      <c r="AM26" s="38">
        <f t="shared" si="41"/>
        <v>14.635038472325055</v>
      </c>
    </row>
    <row r="27" spans="2:39" x14ac:dyDescent="0.2">
      <c r="B27" s="190">
        <v>3</v>
      </c>
      <c r="C27" s="469">
        <f>('Detailed Avalerem Tables'!X25+'Detailed Avalerem Tables'!X74+'Detailed Avalerem Tables'!X122+'Detailed Avalerem Tables'!X170+'Detailed Avalerem Tables'!X218+'Detailed Avalerem Tables'!AZ25+'Detailed Avalerem Tables'!AZ74+'Detailed Avalerem Tables'!AZ122+'Detailed Avalerem Tables'!AZ170+'Detailed Avalerem Tables'!AZ218+'Detailed Avalerem Tables'!CB25+'Detailed Avalerem Tables'!CB74+'Detailed Avalerem Tables'!CB122+'Detailed Avalerem Tables'!CB170+'Detailed Avalerem Tables'!CB218+'Detailed Avalerem Tables'!DD25+'Detailed Avalerem Tables'!DD74+'Detailed Avalerem Tables'!DD122+'Detailed Avalerem Tables'!DD170+'Detailed Avalerem Tables'!DD218+'Detailed Avalerem Tables'!EF25+'Detailed Avalerem Tables'!EF74+'Detailed Avalerem Tables'!EF122+'Detailed Avalerem Tables'!EF170+'Detailed Avalerem Tables'!EF218)/25</f>
        <v>15.474167876835413</v>
      </c>
      <c r="D27" s="474">
        <f>('Detailed Avalerem Tables'!Y25+'Detailed Avalerem Tables'!Y74+'Detailed Avalerem Tables'!Y122+'Detailed Avalerem Tables'!Y170+'Detailed Avalerem Tables'!Y218+'Detailed Avalerem Tables'!BA25+'Detailed Avalerem Tables'!BA74+'Detailed Avalerem Tables'!BA122+'Detailed Avalerem Tables'!BA170+'Detailed Avalerem Tables'!BA218+'Detailed Avalerem Tables'!CC25+'Detailed Avalerem Tables'!CC74+'Detailed Avalerem Tables'!CC122+'Detailed Avalerem Tables'!CC170+'Detailed Avalerem Tables'!CC218+'Detailed Avalerem Tables'!DE25+'Detailed Avalerem Tables'!DE74+'Detailed Avalerem Tables'!DE122+'Detailed Avalerem Tables'!DE170+'Detailed Avalerem Tables'!DE218+'Detailed Avalerem Tables'!EG25+'Detailed Avalerem Tables'!EG74+'Detailed Avalerem Tables'!EG122+'Detailed Avalerem Tables'!EG170+'Detailed Avalerem Tables'!EG218)/25</f>
        <v>15.55080839090189</v>
      </c>
      <c r="E27" s="473">
        <f>('Detailed Avalerem Tables'!Z25+'Detailed Avalerem Tables'!Z74+'Detailed Avalerem Tables'!Z122+'Detailed Avalerem Tables'!Z170+'Detailed Avalerem Tables'!Z218+'Detailed Avalerem Tables'!BB25+'Detailed Avalerem Tables'!BB74+'Detailed Avalerem Tables'!BB122+'Detailed Avalerem Tables'!BB170+'Detailed Avalerem Tables'!BB218+'Detailed Avalerem Tables'!CD25+'Detailed Avalerem Tables'!CD74+'Detailed Avalerem Tables'!CD122+'Detailed Avalerem Tables'!CD170+'Detailed Avalerem Tables'!CD218+'Detailed Avalerem Tables'!DF25+'Detailed Avalerem Tables'!DF74+'Detailed Avalerem Tables'!DF122+'Detailed Avalerem Tables'!DF170+'Detailed Avalerem Tables'!DF218+'Detailed Avalerem Tables'!EH25+'Detailed Avalerem Tables'!EH74+'Detailed Avalerem Tables'!EH122+'Detailed Avalerem Tables'!EH170+'Detailed Avalerem Tables'!EH218)/25</f>
        <v>15.47396370226063</v>
      </c>
      <c r="F27" s="471">
        <f>('Detailed Avalerem Tables'!AA25+'Detailed Avalerem Tables'!AA74+'Detailed Avalerem Tables'!AA122+'Detailed Avalerem Tables'!AA170+'Detailed Avalerem Tables'!AA218+'Detailed Avalerem Tables'!BC25+'Detailed Avalerem Tables'!BC74+'Detailed Avalerem Tables'!BC122+'Detailed Avalerem Tables'!BC170+'Detailed Avalerem Tables'!BC218+'Detailed Avalerem Tables'!CE25+'Detailed Avalerem Tables'!CE74+'Detailed Avalerem Tables'!CE122+'Detailed Avalerem Tables'!CE170+'Detailed Avalerem Tables'!CE218+'Detailed Avalerem Tables'!DG25+'Detailed Avalerem Tables'!DG74+'Detailed Avalerem Tables'!DG122+'Detailed Avalerem Tables'!DG170+'Detailed Avalerem Tables'!DG218+'Detailed Avalerem Tables'!EI25+'Detailed Avalerem Tables'!EI74+'Detailed Avalerem Tables'!EI122+'Detailed Avalerem Tables'!EI170+'Detailed Avalerem Tables'!EI218)/25</f>
        <v>15.176509195935175</v>
      </c>
      <c r="G27" s="122">
        <f>('Detailed Avalerem Tables'!AB25+'Detailed Avalerem Tables'!AB74+'Detailed Avalerem Tables'!AB122+'Detailed Avalerem Tables'!AB170+'Detailed Avalerem Tables'!AB218+'Detailed Avalerem Tables'!BD25+'Detailed Avalerem Tables'!BD74+'Detailed Avalerem Tables'!BD122+'Detailed Avalerem Tables'!BD170+'Detailed Avalerem Tables'!BD218+'Detailed Avalerem Tables'!CF25+'Detailed Avalerem Tables'!CF74+'Detailed Avalerem Tables'!CF122+'Detailed Avalerem Tables'!CF170+'Detailed Avalerem Tables'!CF218+'Detailed Avalerem Tables'!DH25+'Detailed Avalerem Tables'!DH74+'Detailed Avalerem Tables'!DH122+'Detailed Avalerem Tables'!DH170+'Detailed Avalerem Tables'!DH218+'Detailed Avalerem Tables'!EJ25+'Detailed Avalerem Tables'!EJ74+'Detailed Avalerem Tables'!EJ122+'Detailed Avalerem Tables'!EJ170+'Detailed Avalerem Tables'!EJ218)/25</f>
        <v>14.739004328364159</v>
      </c>
      <c r="J27" s="144">
        <v>3</v>
      </c>
      <c r="K27" s="38">
        <f t="shared" si="42"/>
        <v>30.948335753670825</v>
      </c>
      <c r="L27" s="38">
        <f t="shared" si="26"/>
        <v>31.101616781803781</v>
      </c>
      <c r="M27" s="38">
        <f t="shared" si="27"/>
        <v>30.947927404521259</v>
      </c>
      <c r="N27" s="38">
        <f t="shared" si="28"/>
        <v>30.35301839187035</v>
      </c>
      <c r="O27" s="38">
        <f t="shared" si="29"/>
        <v>29.478008656728317</v>
      </c>
      <c r="R27" s="144">
        <v>3</v>
      </c>
      <c r="S27" s="38">
        <f t="shared" si="43"/>
        <v>23.211251815253121</v>
      </c>
      <c r="T27" s="38">
        <f t="shared" si="30"/>
        <v>23.326212586352835</v>
      </c>
      <c r="U27" s="38">
        <f t="shared" si="31"/>
        <v>23.210945553390943</v>
      </c>
      <c r="V27" s="38">
        <f t="shared" si="32"/>
        <v>22.764763793902763</v>
      </c>
      <c r="W27" s="38">
        <f t="shared" si="33"/>
        <v>22.108506492546237</v>
      </c>
      <c r="Z27" s="144">
        <v>3</v>
      </c>
      <c r="AA27" s="38">
        <f t="shared" si="44"/>
        <v>18.569001452202496</v>
      </c>
      <c r="AB27" s="38">
        <f t="shared" si="34"/>
        <v>18.660970069082268</v>
      </c>
      <c r="AC27" s="38">
        <f t="shared" si="35"/>
        <v>18.568756442712754</v>
      </c>
      <c r="AD27" s="38">
        <f t="shared" si="36"/>
        <v>18.21181103512221</v>
      </c>
      <c r="AE27" s="38">
        <f t="shared" si="37"/>
        <v>17.686805194036989</v>
      </c>
      <c r="AH27" s="144">
        <v>3</v>
      </c>
      <c r="AI27" s="38">
        <f t="shared" si="45"/>
        <v>15.474167876835413</v>
      </c>
      <c r="AJ27" s="38">
        <f t="shared" si="38"/>
        <v>15.55080839090189</v>
      </c>
      <c r="AK27" s="38">
        <f t="shared" si="39"/>
        <v>15.47396370226063</v>
      </c>
      <c r="AL27" s="38">
        <f t="shared" si="40"/>
        <v>15.176509195935175</v>
      </c>
      <c r="AM27" s="38">
        <f t="shared" si="41"/>
        <v>14.739004328364159</v>
      </c>
    </row>
    <row r="28" spans="2:39" x14ac:dyDescent="0.2">
      <c r="B28" s="190">
        <v>4</v>
      </c>
      <c r="C28" s="469">
        <f>('Detailed Avalerem Tables'!X26+'Detailed Avalerem Tables'!X75+'Detailed Avalerem Tables'!X123+'Detailed Avalerem Tables'!X171+'Detailed Avalerem Tables'!X219+'Detailed Avalerem Tables'!AZ26+'Detailed Avalerem Tables'!AZ75+'Detailed Avalerem Tables'!AZ123+'Detailed Avalerem Tables'!AZ171+'Detailed Avalerem Tables'!AZ219+'Detailed Avalerem Tables'!CB26+'Detailed Avalerem Tables'!CB75+'Detailed Avalerem Tables'!CB123+'Detailed Avalerem Tables'!CB171+'Detailed Avalerem Tables'!CB219+'Detailed Avalerem Tables'!DD26+'Detailed Avalerem Tables'!DD75+'Detailed Avalerem Tables'!DD123+'Detailed Avalerem Tables'!DD171+'Detailed Avalerem Tables'!DD219+'Detailed Avalerem Tables'!EF26+'Detailed Avalerem Tables'!EF75+'Detailed Avalerem Tables'!EF123+'Detailed Avalerem Tables'!EF171+'Detailed Avalerem Tables'!EF219)/25</f>
        <v>16.710066481666534</v>
      </c>
      <c r="D28" s="474">
        <f>('Detailed Avalerem Tables'!Y26+'Detailed Avalerem Tables'!Y75+'Detailed Avalerem Tables'!Y123+'Detailed Avalerem Tables'!Y171+'Detailed Avalerem Tables'!Y219+'Detailed Avalerem Tables'!BA26+'Detailed Avalerem Tables'!BA75+'Detailed Avalerem Tables'!BA123+'Detailed Avalerem Tables'!BA171+'Detailed Avalerem Tables'!BA219+'Detailed Avalerem Tables'!CC26+'Detailed Avalerem Tables'!CC75+'Detailed Avalerem Tables'!CC123+'Detailed Avalerem Tables'!CC171+'Detailed Avalerem Tables'!CC219+'Detailed Avalerem Tables'!DE26+'Detailed Avalerem Tables'!DE75+'Detailed Avalerem Tables'!DE123+'Detailed Avalerem Tables'!DE171+'Detailed Avalerem Tables'!DE219+'Detailed Avalerem Tables'!EG26+'Detailed Avalerem Tables'!EG75+'Detailed Avalerem Tables'!EG123+'Detailed Avalerem Tables'!EG171+'Detailed Avalerem Tables'!EG219)/25</f>
        <v>15.839903745332272</v>
      </c>
      <c r="E28" s="473">
        <f>('Detailed Avalerem Tables'!Z26+'Detailed Avalerem Tables'!Z75+'Detailed Avalerem Tables'!Z123+'Detailed Avalerem Tables'!Z171+'Detailed Avalerem Tables'!Z219+'Detailed Avalerem Tables'!BB26+'Detailed Avalerem Tables'!BB75+'Detailed Avalerem Tables'!BB123+'Detailed Avalerem Tables'!BB171+'Detailed Avalerem Tables'!BB219+'Detailed Avalerem Tables'!CD26+'Detailed Avalerem Tables'!CD75+'Detailed Avalerem Tables'!CD123+'Detailed Avalerem Tables'!CD171+'Detailed Avalerem Tables'!CD219+'Detailed Avalerem Tables'!DF26+'Detailed Avalerem Tables'!DF75+'Detailed Avalerem Tables'!DF123+'Detailed Avalerem Tables'!DF171+'Detailed Avalerem Tables'!DF219+'Detailed Avalerem Tables'!EH26+'Detailed Avalerem Tables'!EH75+'Detailed Avalerem Tables'!EH123+'Detailed Avalerem Tables'!EH171+'Detailed Avalerem Tables'!EH219)/25</f>
        <v>15.918179527407723</v>
      </c>
      <c r="F28" s="471">
        <f>('Detailed Avalerem Tables'!AA26+'Detailed Avalerem Tables'!AA75+'Detailed Avalerem Tables'!AA123+'Detailed Avalerem Tables'!AA171+'Detailed Avalerem Tables'!AA219+'Detailed Avalerem Tables'!BC26+'Detailed Avalerem Tables'!BC75+'Detailed Avalerem Tables'!BC123+'Detailed Avalerem Tables'!BC171+'Detailed Avalerem Tables'!BC219+'Detailed Avalerem Tables'!CE26+'Detailed Avalerem Tables'!CE75+'Detailed Avalerem Tables'!CE123+'Detailed Avalerem Tables'!CE171+'Detailed Avalerem Tables'!CE219+'Detailed Avalerem Tables'!DG26+'Detailed Avalerem Tables'!DG75+'Detailed Avalerem Tables'!DG123+'Detailed Avalerem Tables'!DG171+'Detailed Avalerem Tables'!DG219+'Detailed Avalerem Tables'!EI26+'Detailed Avalerem Tables'!EI75+'Detailed Avalerem Tables'!EI123+'Detailed Avalerem Tables'!EI171+'Detailed Avalerem Tables'!EI219)/25</f>
        <v>15.27268471600639</v>
      </c>
      <c r="G28" s="122">
        <f>('Detailed Avalerem Tables'!AB26+'Detailed Avalerem Tables'!AB75+'Detailed Avalerem Tables'!AB123+'Detailed Avalerem Tables'!AB171+'Detailed Avalerem Tables'!AB219+'Detailed Avalerem Tables'!BD26+'Detailed Avalerem Tables'!BD75+'Detailed Avalerem Tables'!BD123+'Detailed Avalerem Tables'!BD171+'Detailed Avalerem Tables'!BD219+'Detailed Avalerem Tables'!CF26+'Detailed Avalerem Tables'!CF75+'Detailed Avalerem Tables'!CF123+'Detailed Avalerem Tables'!CF171+'Detailed Avalerem Tables'!CF219+'Detailed Avalerem Tables'!DH26+'Detailed Avalerem Tables'!DH75+'Detailed Avalerem Tables'!DH123+'Detailed Avalerem Tables'!DH171+'Detailed Avalerem Tables'!DH219+'Detailed Avalerem Tables'!EJ26+'Detailed Avalerem Tables'!EJ75+'Detailed Avalerem Tables'!EJ123+'Detailed Avalerem Tables'!EJ171+'Detailed Avalerem Tables'!EJ219)/25</f>
        <v>15.412479969880289</v>
      </c>
      <c r="J28" s="144">
        <v>4</v>
      </c>
      <c r="K28" s="38">
        <f t="shared" si="42"/>
        <v>33.420132963333067</v>
      </c>
      <c r="L28" s="38">
        <f t="shared" si="26"/>
        <v>31.679807490664544</v>
      </c>
      <c r="M28" s="38">
        <f t="shared" si="27"/>
        <v>31.836359054815446</v>
      </c>
      <c r="N28" s="38">
        <f t="shared" si="28"/>
        <v>30.54536943201278</v>
      </c>
      <c r="O28" s="38">
        <f t="shared" si="29"/>
        <v>30.824959939760578</v>
      </c>
      <c r="R28" s="144">
        <v>4</v>
      </c>
      <c r="S28" s="38">
        <f t="shared" si="43"/>
        <v>25.065099722499802</v>
      </c>
      <c r="T28" s="38">
        <f t="shared" si="30"/>
        <v>23.759855617998408</v>
      </c>
      <c r="U28" s="38">
        <f t="shared" si="31"/>
        <v>23.877269291111585</v>
      </c>
      <c r="V28" s="38">
        <f t="shared" si="32"/>
        <v>22.909027074009586</v>
      </c>
      <c r="W28" s="38">
        <f t="shared" si="33"/>
        <v>23.118719954820435</v>
      </c>
      <c r="Z28" s="144">
        <v>4</v>
      </c>
      <c r="AA28" s="38">
        <f t="shared" si="44"/>
        <v>20.05207977799984</v>
      </c>
      <c r="AB28" s="38">
        <f t="shared" si="34"/>
        <v>19.007884494398727</v>
      </c>
      <c r="AC28" s="38">
        <f t="shared" si="35"/>
        <v>19.101815432889268</v>
      </c>
      <c r="AD28" s="38">
        <f t="shared" si="36"/>
        <v>18.327221659207666</v>
      </c>
      <c r="AE28" s="38">
        <f t="shared" si="37"/>
        <v>18.494975963856348</v>
      </c>
      <c r="AH28" s="144">
        <v>4</v>
      </c>
      <c r="AI28" s="38">
        <f t="shared" si="45"/>
        <v>16.710066481666534</v>
      </c>
      <c r="AJ28" s="38">
        <f t="shared" si="38"/>
        <v>15.839903745332272</v>
      </c>
      <c r="AK28" s="38">
        <f t="shared" si="39"/>
        <v>15.918179527407723</v>
      </c>
      <c r="AL28" s="38">
        <f t="shared" si="40"/>
        <v>15.27268471600639</v>
      </c>
      <c r="AM28" s="38">
        <f t="shared" si="41"/>
        <v>15.412479969880289</v>
      </c>
    </row>
    <row r="29" spans="2:39" x14ac:dyDescent="0.2">
      <c r="B29" s="190">
        <v>5</v>
      </c>
      <c r="C29" s="469">
        <f>('Detailed Avalerem Tables'!X27+'Detailed Avalerem Tables'!X76+'Detailed Avalerem Tables'!X124+'Detailed Avalerem Tables'!X172+'Detailed Avalerem Tables'!X220+'Detailed Avalerem Tables'!AZ27+'Detailed Avalerem Tables'!AZ76+'Detailed Avalerem Tables'!AZ124+'Detailed Avalerem Tables'!AZ172+'Detailed Avalerem Tables'!AZ220+'Detailed Avalerem Tables'!CB27+'Detailed Avalerem Tables'!CB76+'Detailed Avalerem Tables'!CB124+'Detailed Avalerem Tables'!CB172+'Detailed Avalerem Tables'!CB220+'Detailed Avalerem Tables'!DD27+'Detailed Avalerem Tables'!DD76+'Detailed Avalerem Tables'!DD124+'Detailed Avalerem Tables'!DD172+'Detailed Avalerem Tables'!DD220+'Detailed Avalerem Tables'!EF27+'Detailed Avalerem Tables'!EF76+'Detailed Avalerem Tables'!EF124+'Detailed Avalerem Tables'!EF172+'Detailed Avalerem Tables'!EF220)/25</f>
        <v>13.748066573192935</v>
      </c>
      <c r="D29" s="474">
        <f>('Detailed Avalerem Tables'!Y27+'Detailed Avalerem Tables'!Y76+'Detailed Avalerem Tables'!Y124+'Detailed Avalerem Tables'!Y172+'Detailed Avalerem Tables'!Y220+'Detailed Avalerem Tables'!BA27+'Detailed Avalerem Tables'!BA76+'Detailed Avalerem Tables'!BA124+'Detailed Avalerem Tables'!BA172+'Detailed Avalerem Tables'!BA220+'Detailed Avalerem Tables'!CC27+'Detailed Avalerem Tables'!CC76+'Detailed Avalerem Tables'!CC124+'Detailed Avalerem Tables'!CC172+'Detailed Avalerem Tables'!CC220+'Detailed Avalerem Tables'!DE27+'Detailed Avalerem Tables'!DE76+'Detailed Avalerem Tables'!DE124+'Detailed Avalerem Tables'!DE172+'Detailed Avalerem Tables'!DE220+'Detailed Avalerem Tables'!EG27+'Detailed Avalerem Tables'!EG76+'Detailed Avalerem Tables'!EG124+'Detailed Avalerem Tables'!EG172+'Detailed Avalerem Tables'!EG220)/25</f>
        <v>13.435198883827368</v>
      </c>
      <c r="E29" s="473">
        <f>('Detailed Avalerem Tables'!Z27+'Detailed Avalerem Tables'!Z76+'Detailed Avalerem Tables'!Z124+'Detailed Avalerem Tables'!Z172+'Detailed Avalerem Tables'!Z220+'Detailed Avalerem Tables'!BB27+'Detailed Avalerem Tables'!BB76+'Detailed Avalerem Tables'!BB124+'Detailed Avalerem Tables'!BB172+'Detailed Avalerem Tables'!BB220+'Detailed Avalerem Tables'!CD27+'Detailed Avalerem Tables'!CD76+'Detailed Avalerem Tables'!CD124+'Detailed Avalerem Tables'!CD172+'Detailed Avalerem Tables'!CD220+'Detailed Avalerem Tables'!DF27+'Detailed Avalerem Tables'!DF76+'Detailed Avalerem Tables'!DF124+'Detailed Avalerem Tables'!DF172+'Detailed Avalerem Tables'!DF220+'Detailed Avalerem Tables'!EH27+'Detailed Avalerem Tables'!EH76+'Detailed Avalerem Tables'!EH124+'Detailed Avalerem Tables'!EH172+'Detailed Avalerem Tables'!EH220)/25</f>
        <v>13.056013206829377</v>
      </c>
      <c r="F29" s="471">
        <f>('Detailed Avalerem Tables'!AA27+'Detailed Avalerem Tables'!AA76+'Detailed Avalerem Tables'!AA124+'Detailed Avalerem Tables'!AA172+'Detailed Avalerem Tables'!AA220+'Detailed Avalerem Tables'!BC27+'Detailed Avalerem Tables'!BC76+'Detailed Avalerem Tables'!BC124+'Detailed Avalerem Tables'!BC172+'Detailed Avalerem Tables'!BC220+'Detailed Avalerem Tables'!CE27+'Detailed Avalerem Tables'!CE76+'Detailed Avalerem Tables'!CE124+'Detailed Avalerem Tables'!CE172+'Detailed Avalerem Tables'!CE220+'Detailed Avalerem Tables'!DG27+'Detailed Avalerem Tables'!DG76+'Detailed Avalerem Tables'!DG124+'Detailed Avalerem Tables'!DG172+'Detailed Avalerem Tables'!DG220+'Detailed Avalerem Tables'!EI27+'Detailed Avalerem Tables'!EI76+'Detailed Avalerem Tables'!EI124+'Detailed Avalerem Tables'!EI172+'Detailed Avalerem Tables'!EI220)/25</f>
        <v>13.082365941491116</v>
      </c>
      <c r="G29" s="122">
        <f>('Detailed Avalerem Tables'!AB27+'Detailed Avalerem Tables'!AB76+'Detailed Avalerem Tables'!AB124+'Detailed Avalerem Tables'!AB172+'Detailed Avalerem Tables'!AB220+'Detailed Avalerem Tables'!BD27+'Detailed Avalerem Tables'!BD76+'Detailed Avalerem Tables'!BD124+'Detailed Avalerem Tables'!BD172+'Detailed Avalerem Tables'!BD220+'Detailed Avalerem Tables'!CF27+'Detailed Avalerem Tables'!CF76+'Detailed Avalerem Tables'!CF124+'Detailed Avalerem Tables'!CF172+'Detailed Avalerem Tables'!CF220+'Detailed Avalerem Tables'!DH27+'Detailed Avalerem Tables'!DH76+'Detailed Avalerem Tables'!DH124+'Detailed Avalerem Tables'!DH172+'Detailed Avalerem Tables'!DH220+'Detailed Avalerem Tables'!EJ27+'Detailed Avalerem Tables'!EJ76+'Detailed Avalerem Tables'!EJ124+'Detailed Avalerem Tables'!EJ172+'Detailed Avalerem Tables'!EJ220)/25</f>
        <v>12.84520892174371</v>
      </c>
      <c r="J29" s="144">
        <v>5</v>
      </c>
      <c r="K29" s="38">
        <f t="shared" si="42"/>
        <v>27.496133146385869</v>
      </c>
      <c r="L29" s="38">
        <f t="shared" si="26"/>
        <v>26.870397767654737</v>
      </c>
      <c r="M29" s="38">
        <f t="shared" si="27"/>
        <v>26.112026413658754</v>
      </c>
      <c r="N29" s="38">
        <f t="shared" si="28"/>
        <v>26.164731882982231</v>
      </c>
      <c r="O29" s="38">
        <f t="shared" si="29"/>
        <v>25.69041784348742</v>
      </c>
      <c r="R29" s="144">
        <v>5</v>
      </c>
      <c r="S29" s="38">
        <f t="shared" si="43"/>
        <v>20.622099859789401</v>
      </c>
      <c r="T29" s="38">
        <f t="shared" si="30"/>
        <v>20.152798325741053</v>
      </c>
      <c r="U29" s="38">
        <f t="shared" si="31"/>
        <v>19.584019810244065</v>
      </c>
      <c r="V29" s="38">
        <f t="shared" si="32"/>
        <v>19.623548912236672</v>
      </c>
      <c r="W29" s="38">
        <f t="shared" si="33"/>
        <v>19.267813382615564</v>
      </c>
      <c r="Z29" s="144">
        <v>5</v>
      </c>
      <c r="AA29" s="38">
        <f t="shared" si="44"/>
        <v>16.49767988783152</v>
      </c>
      <c r="AB29" s="38">
        <f t="shared" si="34"/>
        <v>16.122238660592842</v>
      </c>
      <c r="AC29" s="38">
        <f t="shared" si="35"/>
        <v>15.667215848195251</v>
      </c>
      <c r="AD29" s="38">
        <f t="shared" si="36"/>
        <v>15.698839129789338</v>
      </c>
      <c r="AE29" s="38">
        <f t="shared" si="37"/>
        <v>15.414250706092451</v>
      </c>
      <c r="AH29" s="144">
        <v>5</v>
      </c>
      <c r="AI29" s="38">
        <f t="shared" si="45"/>
        <v>13.748066573192935</v>
      </c>
      <c r="AJ29" s="38">
        <f t="shared" si="38"/>
        <v>13.435198883827368</v>
      </c>
      <c r="AK29" s="38">
        <f t="shared" si="39"/>
        <v>13.056013206829377</v>
      </c>
      <c r="AL29" s="38">
        <f t="shared" si="40"/>
        <v>13.082365941491116</v>
      </c>
      <c r="AM29" s="38">
        <f t="shared" si="41"/>
        <v>12.84520892174371</v>
      </c>
    </row>
    <row r="30" spans="2:39" x14ac:dyDescent="0.2">
      <c r="B30" s="190">
        <v>6</v>
      </c>
      <c r="C30" s="469">
        <f>('Detailed Avalerem Tables'!X28+'Detailed Avalerem Tables'!X77+'Detailed Avalerem Tables'!X125+'Detailed Avalerem Tables'!X173+'Detailed Avalerem Tables'!X221+'Detailed Avalerem Tables'!AZ28+'Detailed Avalerem Tables'!AZ77+'Detailed Avalerem Tables'!AZ125+'Detailed Avalerem Tables'!AZ173+'Detailed Avalerem Tables'!AZ221+'Detailed Avalerem Tables'!CB28+'Detailed Avalerem Tables'!CB77+'Detailed Avalerem Tables'!CB125+'Detailed Avalerem Tables'!CB173+'Detailed Avalerem Tables'!CB221+'Detailed Avalerem Tables'!DD28+'Detailed Avalerem Tables'!DD77+'Detailed Avalerem Tables'!DD125+'Detailed Avalerem Tables'!DD173+'Detailed Avalerem Tables'!DD221+'Detailed Avalerem Tables'!EF28+'Detailed Avalerem Tables'!EF77+'Detailed Avalerem Tables'!EF125+'Detailed Avalerem Tables'!EF173+'Detailed Avalerem Tables'!EF221)/25</f>
        <v>13.704201111686999</v>
      </c>
      <c r="D30" s="474">
        <f>('Detailed Avalerem Tables'!Y28+'Detailed Avalerem Tables'!Y77+'Detailed Avalerem Tables'!Y125+'Detailed Avalerem Tables'!Y173+'Detailed Avalerem Tables'!Y221+'Detailed Avalerem Tables'!BA28+'Detailed Avalerem Tables'!BA77+'Detailed Avalerem Tables'!BA125+'Detailed Avalerem Tables'!BA173+'Detailed Avalerem Tables'!BA221+'Detailed Avalerem Tables'!CC28+'Detailed Avalerem Tables'!CC77+'Detailed Avalerem Tables'!CC125+'Detailed Avalerem Tables'!CC173+'Detailed Avalerem Tables'!CC221+'Detailed Avalerem Tables'!DE28+'Detailed Avalerem Tables'!DE77+'Detailed Avalerem Tables'!DE125+'Detailed Avalerem Tables'!DE173+'Detailed Avalerem Tables'!DE221+'Detailed Avalerem Tables'!EG28+'Detailed Avalerem Tables'!EG77+'Detailed Avalerem Tables'!EG125+'Detailed Avalerem Tables'!EG173+'Detailed Avalerem Tables'!EG221)/25</f>
        <v>12.652615788962985</v>
      </c>
      <c r="E30" s="473">
        <f>('Detailed Avalerem Tables'!Z28+'Detailed Avalerem Tables'!Z77+'Detailed Avalerem Tables'!Z125+'Detailed Avalerem Tables'!Z173+'Detailed Avalerem Tables'!Z221+'Detailed Avalerem Tables'!BB28+'Detailed Avalerem Tables'!BB77+'Detailed Avalerem Tables'!BB125+'Detailed Avalerem Tables'!BB173+'Detailed Avalerem Tables'!BB221+'Detailed Avalerem Tables'!CD28+'Detailed Avalerem Tables'!CD77+'Detailed Avalerem Tables'!CD125+'Detailed Avalerem Tables'!CD173+'Detailed Avalerem Tables'!CD221+'Detailed Avalerem Tables'!DF28+'Detailed Avalerem Tables'!DF77+'Detailed Avalerem Tables'!DF125+'Detailed Avalerem Tables'!DF173+'Detailed Avalerem Tables'!DF221+'Detailed Avalerem Tables'!EH28+'Detailed Avalerem Tables'!EH77+'Detailed Avalerem Tables'!EH125+'Detailed Avalerem Tables'!EH173+'Detailed Avalerem Tables'!EH221)/25</f>
        <v>12.931963215994571</v>
      </c>
      <c r="F30" s="471">
        <f>('Detailed Avalerem Tables'!AA28+'Detailed Avalerem Tables'!AA77+'Detailed Avalerem Tables'!AA125+'Detailed Avalerem Tables'!AA173+'Detailed Avalerem Tables'!AA221+'Detailed Avalerem Tables'!BC28+'Detailed Avalerem Tables'!BC77+'Detailed Avalerem Tables'!BC125+'Detailed Avalerem Tables'!BC173+'Detailed Avalerem Tables'!BC221+'Detailed Avalerem Tables'!CE28+'Detailed Avalerem Tables'!CE77+'Detailed Avalerem Tables'!CE125+'Detailed Avalerem Tables'!CE173+'Detailed Avalerem Tables'!CE221+'Detailed Avalerem Tables'!DG28+'Detailed Avalerem Tables'!DG77+'Detailed Avalerem Tables'!DG125+'Detailed Avalerem Tables'!DG173+'Detailed Avalerem Tables'!DG221+'Detailed Avalerem Tables'!EI28+'Detailed Avalerem Tables'!EI77+'Detailed Avalerem Tables'!EI125+'Detailed Avalerem Tables'!EI173+'Detailed Avalerem Tables'!EI221)/25</f>
        <v>12.724853966755113</v>
      </c>
      <c r="G30" s="122">
        <f>('Detailed Avalerem Tables'!AB28+'Detailed Avalerem Tables'!AB77+'Detailed Avalerem Tables'!AB125+'Detailed Avalerem Tables'!AB173+'Detailed Avalerem Tables'!AB221+'Detailed Avalerem Tables'!BD28+'Detailed Avalerem Tables'!BD77+'Detailed Avalerem Tables'!BD125+'Detailed Avalerem Tables'!BD173+'Detailed Avalerem Tables'!BD221+'Detailed Avalerem Tables'!CF28+'Detailed Avalerem Tables'!CF77+'Detailed Avalerem Tables'!CF125+'Detailed Avalerem Tables'!CF173+'Detailed Avalerem Tables'!CF221+'Detailed Avalerem Tables'!DH28+'Detailed Avalerem Tables'!DH77+'Detailed Avalerem Tables'!DH125+'Detailed Avalerem Tables'!DH173+'Detailed Avalerem Tables'!DH221+'Detailed Avalerem Tables'!EJ28+'Detailed Avalerem Tables'!EJ77+'Detailed Avalerem Tables'!EJ125+'Detailed Avalerem Tables'!EJ173+'Detailed Avalerem Tables'!EJ221)/25</f>
        <v>12.741243065704607</v>
      </c>
      <c r="J30" s="144">
        <v>6</v>
      </c>
      <c r="K30" s="38">
        <f t="shared" si="42"/>
        <v>27.408402223373997</v>
      </c>
      <c r="L30" s="38">
        <f t="shared" si="26"/>
        <v>25.305231577925969</v>
      </c>
      <c r="M30" s="38">
        <f t="shared" si="27"/>
        <v>25.863926431989142</v>
      </c>
      <c r="N30" s="38">
        <f t="shared" si="28"/>
        <v>25.449707933510226</v>
      </c>
      <c r="O30" s="38">
        <f t="shared" si="29"/>
        <v>25.482486131409214</v>
      </c>
      <c r="R30" s="144">
        <v>6</v>
      </c>
      <c r="S30" s="38">
        <f t="shared" si="43"/>
        <v>20.556301667530498</v>
      </c>
      <c r="T30" s="38">
        <f t="shared" si="30"/>
        <v>18.978923683444478</v>
      </c>
      <c r="U30" s="38">
        <f t="shared" si="31"/>
        <v>19.397944823991857</v>
      </c>
      <c r="V30" s="38">
        <f t="shared" si="32"/>
        <v>19.087280950132669</v>
      </c>
      <c r="W30" s="38">
        <f t="shared" si="33"/>
        <v>19.11186459855691</v>
      </c>
      <c r="Z30" s="144">
        <v>6</v>
      </c>
      <c r="AA30" s="38">
        <f t="shared" si="44"/>
        <v>16.445041334024399</v>
      </c>
      <c r="AB30" s="38">
        <f t="shared" si="34"/>
        <v>15.18313894675558</v>
      </c>
      <c r="AC30" s="38">
        <f t="shared" si="35"/>
        <v>15.518355859193484</v>
      </c>
      <c r="AD30" s="38">
        <f t="shared" si="36"/>
        <v>15.269824760106134</v>
      </c>
      <c r="AE30" s="38">
        <f t="shared" si="37"/>
        <v>15.289491678845527</v>
      </c>
      <c r="AH30" s="144">
        <v>6</v>
      </c>
      <c r="AI30" s="38">
        <f t="shared" si="45"/>
        <v>13.704201111686999</v>
      </c>
      <c r="AJ30" s="38">
        <f t="shared" si="38"/>
        <v>12.652615788962985</v>
      </c>
      <c r="AK30" s="38">
        <f t="shared" si="39"/>
        <v>12.931963215994571</v>
      </c>
      <c r="AL30" s="38">
        <f t="shared" si="40"/>
        <v>12.724853966755113</v>
      </c>
      <c r="AM30" s="38">
        <f t="shared" si="41"/>
        <v>12.741243065704607</v>
      </c>
    </row>
    <row r="31" spans="2:39" x14ac:dyDescent="0.2">
      <c r="B31" s="190">
        <v>7</v>
      </c>
      <c r="C31" s="469">
        <f>('Detailed Avalerem Tables'!X29+'Detailed Avalerem Tables'!X78+'Detailed Avalerem Tables'!X126+'Detailed Avalerem Tables'!X174+'Detailed Avalerem Tables'!X222+'Detailed Avalerem Tables'!AZ29+'Detailed Avalerem Tables'!AZ78+'Detailed Avalerem Tables'!AZ126+'Detailed Avalerem Tables'!AZ174+'Detailed Avalerem Tables'!AZ222+'Detailed Avalerem Tables'!CB29+'Detailed Avalerem Tables'!CB78+'Detailed Avalerem Tables'!CB126+'Detailed Avalerem Tables'!CB174+'Detailed Avalerem Tables'!CB222+'Detailed Avalerem Tables'!DD29+'Detailed Avalerem Tables'!DD78+'Detailed Avalerem Tables'!DD126+'Detailed Avalerem Tables'!DD174+'Detailed Avalerem Tables'!DD222+'Detailed Avalerem Tables'!EF29+'Detailed Avalerem Tables'!EF78+'Detailed Avalerem Tables'!EF126+'Detailed Avalerem Tables'!EF174+'Detailed Avalerem Tables'!EF222)/25</f>
        <v>12.468302506855878</v>
      </c>
      <c r="D31" s="474">
        <f>('Detailed Avalerem Tables'!Y29+'Detailed Avalerem Tables'!Y78+'Detailed Avalerem Tables'!Y126+'Detailed Avalerem Tables'!Y174+'Detailed Avalerem Tables'!Y222+'Detailed Avalerem Tables'!BA29+'Detailed Avalerem Tables'!BA78+'Detailed Avalerem Tables'!BA126+'Detailed Avalerem Tables'!BA174+'Detailed Avalerem Tables'!BA222+'Detailed Avalerem Tables'!CC29+'Detailed Avalerem Tables'!CC78+'Detailed Avalerem Tables'!CC126+'Detailed Avalerem Tables'!CC174+'Detailed Avalerem Tables'!CC222+'Detailed Avalerem Tables'!DE29+'Detailed Avalerem Tables'!DE78+'Detailed Avalerem Tables'!DE126+'Detailed Avalerem Tables'!DE174+'Detailed Avalerem Tables'!DE222+'Detailed Avalerem Tables'!EG29+'Detailed Avalerem Tables'!EG78+'Detailed Avalerem Tables'!EG126+'Detailed Avalerem Tables'!EG174+'Detailed Avalerem Tables'!EG222)/25</f>
        <v>12.363520434532601</v>
      </c>
      <c r="E31" s="473">
        <f>('Detailed Avalerem Tables'!Z29+'Detailed Avalerem Tables'!Z78+'Detailed Avalerem Tables'!Z126+'Detailed Avalerem Tables'!Z174+'Detailed Avalerem Tables'!Z222+'Detailed Avalerem Tables'!BB29+'Detailed Avalerem Tables'!BB78+'Detailed Avalerem Tables'!BB126+'Detailed Avalerem Tables'!BB174+'Detailed Avalerem Tables'!BB222+'Detailed Avalerem Tables'!CD29+'Detailed Avalerem Tables'!CD78+'Detailed Avalerem Tables'!CD126+'Detailed Avalerem Tables'!CD174+'Detailed Avalerem Tables'!CD222+'Detailed Avalerem Tables'!DF29+'Detailed Avalerem Tables'!DF78+'Detailed Avalerem Tables'!DF126+'Detailed Avalerem Tables'!DF174+'Detailed Avalerem Tables'!DF222+'Detailed Avalerem Tables'!EH29+'Detailed Avalerem Tables'!EH78+'Detailed Avalerem Tables'!EH126+'Detailed Avalerem Tables'!EH174+'Detailed Avalerem Tables'!EH222)/25</f>
        <v>12.487747390847485</v>
      </c>
      <c r="F31" s="471">
        <f>('Detailed Avalerem Tables'!AA29+'Detailed Avalerem Tables'!AA78+'Detailed Avalerem Tables'!AA126+'Detailed Avalerem Tables'!AA174+'Detailed Avalerem Tables'!AA222+'Detailed Avalerem Tables'!BC29+'Detailed Avalerem Tables'!BC78+'Detailed Avalerem Tables'!BC126+'Detailed Avalerem Tables'!BC174+'Detailed Avalerem Tables'!BC222+'Detailed Avalerem Tables'!CE29+'Detailed Avalerem Tables'!CE78+'Detailed Avalerem Tables'!CE126+'Detailed Avalerem Tables'!CE174+'Detailed Avalerem Tables'!CE222+'Detailed Avalerem Tables'!DG29+'Detailed Avalerem Tables'!DG78+'Detailed Avalerem Tables'!DG126+'Detailed Avalerem Tables'!DG174+'Detailed Avalerem Tables'!DG222+'Detailed Avalerem Tables'!EI29+'Detailed Avalerem Tables'!EI78+'Detailed Avalerem Tables'!EI126+'Detailed Avalerem Tables'!EI174+'Detailed Avalerem Tables'!EI222)/25</f>
        <v>12.628678446683899</v>
      </c>
      <c r="G31" s="122">
        <f>('Detailed Avalerem Tables'!AB29+'Detailed Avalerem Tables'!AB78+'Detailed Avalerem Tables'!AB126+'Detailed Avalerem Tables'!AB174+'Detailed Avalerem Tables'!AB222+'Detailed Avalerem Tables'!BD29+'Detailed Avalerem Tables'!BD78+'Detailed Avalerem Tables'!BD126+'Detailed Avalerem Tables'!BD174+'Detailed Avalerem Tables'!BD222+'Detailed Avalerem Tables'!CF29+'Detailed Avalerem Tables'!CF78+'Detailed Avalerem Tables'!CF126+'Detailed Avalerem Tables'!CF174+'Detailed Avalerem Tables'!CF222+'Detailed Avalerem Tables'!DH29+'Detailed Avalerem Tables'!DH78+'Detailed Avalerem Tables'!DH126+'Detailed Avalerem Tables'!DH174+'Detailed Avalerem Tables'!DH222+'Detailed Avalerem Tables'!EJ29+'Detailed Avalerem Tables'!EJ78+'Detailed Avalerem Tables'!EJ126+'Detailed Avalerem Tables'!EJ174+'Detailed Avalerem Tables'!EJ222)/25</f>
        <v>12.067767424188476</v>
      </c>
      <c r="J31" s="144">
        <v>7</v>
      </c>
      <c r="K31" s="38">
        <f t="shared" si="42"/>
        <v>24.936605013711755</v>
      </c>
      <c r="L31" s="38">
        <f t="shared" si="26"/>
        <v>24.727040869065203</v>
      </c>
      <c r="M31" s="38">
        <f t="shared" si="27"/>
        <v>24.97549478169497</v>
      </c>
      <c r="N31" s="38">
        <f t="shared" si="28"/>
        <v>25.257356893367799</v>
      </c>
      <c r="O31" s="38">
        <f t="shared" si="29"/>
        <v>24.135534848376953</v>
      </c>
      <c r="R31" s="144">
        <v>7</v>
      </c>
      <c r="S31" s="38">
        <f t="shared" si="43"/>
        <v>18.702453760283817</v>
      </c>
      <c r="T31" s="38">
        <f t="shared" si="30"/>
        <v>18.545280651798901</v>
      </c>
      <c r="U31" s="38">
        <f t="shared" si="31"/>
        <v>18.731621086271225</v>
      </c>
      <c r="V31" s="38">
        <f t="shared" si="32"/>
        <v>18.943017670025849</v>
      </c>
      <c r="W31" s="38">
        <f t="shared" si="33"/>
        <v>18.101651136282715</v>
      </c>
      <c r="Z31" s="144">
        <v>7</v>
      </c>
      <c r="AA31" s="38">
        <f t="shared" si="44"/>
        <v>14.961963008227052</v>
      </c>
      <c r="AB31" s="38">
        <f t="shared" si="34"/>
        <v>14.836224521439121</v>
      </c>
      <c r="AC31" s="38">
        <f t="shared" si="35"/>
        <v>14.985296869016981</v>
      </c>
      <c r="AD31" s="38">
        <f t="shared" si="36"/>
        <v>15.154414136020678</v>
      </c>
      <c r="AE31" s="38">
        <f t="shared" si="37"/>
        <v>14.48132090902617</v>
      </c>
      <c r="AH31" s="144">
        <v>7</v>
      </c>
      <c r="AI31" s="38">
        <f t="shared" si="45"/>
        <v>12.468302506855878</v>
      </c>
      <c r="AJ31" s="38">
        <f t="shared" si="38"/>
        <v>12.363520434532601</v>
      </c>
      <c r="AK31" s="38">
        <f t="shared" si="39"/>
        <v>12.487747390847485</v>
      </c>
      <c r="AL31" s="38">
        <f t="shared" si="40"/>
        <v>12.628678446683899</v>
      </c>
      <c r="AM31" s="38">
        <f t="shared" si="41"/>
        <v>12.067767424188476</v>
      </c>
    </row>
    <row r="32" spans="2:39" x14ac:dyDescent="0.2">
      <c r="B32" s="190">
        <v>8</v>
      </c>
      <c r="C32" s="469">
        <f>('Detailed Avalerem Tables'!X30+'Detailed Avalerem Tables'!X79+'Detailed Avalerem Tables'!X127+'Detailed Avalerem Tables'!X175+'Detailed Avalerem Tables'!X223+'Detailed Avalerem Tables'!AZ30+'Detailed Avalerem Tables'!AZ79+'Detailed Avalerem Tables'!AZ127+'Detailed Avalerem Tables'!AZ175+'Detailed Avalerem Tables'!AZ223+'Detailed Avalerem Tables'!CB30+'Detailed Avalerem Tables'!CB79+'Detailed Avalerem Tables'!CB127+'Detailed Avalerem Tables'!CB175+'Detailed Avalerem Tables'!CB223+'Detailed Avalerem Tables'!DD30+'Detailed Avalerem Tables'!DD79+'Detailed Avalerem Tables'!DD127+'Detailed Avalerem Tables'!DD175+'Detailed Avalerem Tables'!DD223+'Detailed Avalerem Tables'!EF30+'Detailed Avalerem Tables'!EF79+'Detailed Avalerem Tables'!EF127+'Detailed Avalerem Tables'!EF175+'Detailed Avalerem Tables'!EF223)/25</f>
        <v>15.430302415329463</v>
      </c>
      <c r="D32" s="474">
        <f>('Detailed Avalerem Tables'!Y30+'Detailed Avalerem Tables'!Y79+'Detailed Avalerem Tables'!Y127+'Detailed Avalerem Tables'!Y175+'Detailed Avalerem Tables'!Y223+'Detailed Avalerem Tables'!BA30+'Detailed Avalerem Tables'!BA79+'Detailed Avalerem Tables'!BA127+'Detailed Avalerem Tables'!BA175+'Detailed Avalerem Tables'!BA223+'Detailed Avalerem Tables'!CC30+'Detailed Avalerem Tables'!CC79+'Detailed Avalerem Tables'!CC127+'Detailed Avalerem Tables'!CC175+'Detailed Avalerem Tables'!CC223+'Detailed Avalerem Tables'!DE30+'Detailed Avalerem Tables'!DE79+'Detailed Avalerem Tables'!DE127+'Detailed Avalerem Tables'!DE175+'Detailed Avalerem Tables'!DE223+'Detailed Avalerem Tables'!EG30+'Detailed Avalerem Tables'!EG79+'Detailed Avalerem Tables'!EG127+'Detailed Avalerem Tables'!EG175+'Detailed Avalerem Tables'!EG223)/25</f>
        <v>14.768225296037503</v>
      </c>
      <c r="E32" s="473">
        <f>('Detailed Avalerem Tables'!Z30+'Detailed Avalerem Tables'!Z79+'Detailed Avalerem Tables'!Z127+'Detailed Avalerem Tables'!Z175+'Detailed Avalerem Tables'!Z223+'Detailed Avalerem Tables'!BB30+'Detailed Avalerem Tables'!BB79+'Detailed Avalerem Tables'!BB127+'Detailed Avalerem Tables'!BB175+'Detailed Avalerem Tables'!BB223+'Detailed Avalerem Tables'!CD30+'Detailed Avalerem Tables'!CD79+'Detailed Avalerem Tables'!CD127+'Detailed Avalerem Tables'!CD175+'Detailed Avalerem Tables'!CD223+'Detailed Avalerem Tables'!DF30+'Detailed Avalerem Tables'!DF79+'Detailed Avalerem Tables'!DF127+'Detailed Avalerem Tables'!DF175+'Detailed Avalerem Tables'!DF223+'Detailed Avalerem Tables'!EH30+'Detailed Avalerem Tables'!EH79+'Detailed Avalerem Tables'!EH127+'Detailed Avalerem Tables'!EH175+'Detailed Avalerem Tables'!EH223)/25</f>
        <v>15.349913711425824</v>
      </c>
      <c r="F32" s="471">
        <f>('Detailed Avalerem Tables'!AA30+'Detailed Avalerem Tables'!AA79+'Detailed Avalerem Tables'!AA127+'Detailed Avalerem Tables'!AA175+'Detailed Avalerem Tables'!AA223+'Detailed Avalerem Tables'!BC30+'Detailed Avalerem Tables'!BC79+'Detailed Avalerem Tables'!BC127+'Detailed Avalerem Tables'!BC175+'Detailed Avalerem Tables'!BC223+'Detailed Avalerem Tables'!CE30+'Detailed Avalerem Tables'!CE79+'Detailed Avalerem Tables'!CE127+'Detailed Avalerem Tables'!CE175+'Detailed Avalerem Tables'!CE223+'Detailed Avalerem Tables'!DG30+'Detailed Avalerem Tables'!DG79+'Detailed Avalerem Tables'!DG127+'Detailed Avalerem Tables'!DG175+'Detailed Avalerem Tables'!DG223+'Detailed Avalerem Tables'!EI30+'Detailed Avalerem Tables'!EI79+'Detailed Avalerem Tables'!EI127+'Detailed Avalerem Tables'!EI175+'Detailed Avalerem Tables'!EI223)/25</f>
        <v>14.818997221199174</v>
      </c>
      <c r="G32" s="122">
        <f>('Detailed Avalerem Tables'!AB30+'Detailed Avalerem Tables'!AB79+'Detailed Avalerem Tables'!AB127+'Detailed Avalerem Tables'!AB175+'Detailed Avalerem Tables'!AB223+'Detailed Avalerem Tables'!BD30+'Detailed Avalerem Tables'!BD79+'Detailed Avalerem Tables'!BD127+'Detailed Avalerem Tables'!BD175+'Detailed Avalerem Tables'!BD223+'Detailed Avalerem Tables'!CF30+'Detailed Avalerem Tables'!CF79+'Detailed Avalerem Tables'!CF127+'Detailed Avalerem Tables'!CF175+'Detailed Avalerem Tables'!CF223+'Detailed Avalerem Tables'!DH30+'Detailed Avalerem Tables'!DH79+'Detailed Avalerem Tables'!DH127+'Detailed Avalerem Tables'!DH175+'Detailed Avalerem Tables'!DH223+'Detailed Avalerem Tables'!EJ30+'Detailed Avalerem Tables'!EJ79+'Detailed Avalerem Tables'!EJ127+'Detailed Avalerem Tables'!EJ175+'Detailed Avalerem Tables'!EJ223)/25</f>
        <v>14.635038472325055</v>
      </c>
      <c r="J32" s="144">
        <v>8</v>
      </c>
      <c r="K32" s="38">
        <f t="shared" si="42"/>
        <v>30.860604830658925</v>
      </c>
      <c r="L32" s="38">
        <f t="shared" si="26"/>
        <v>29.536450592075006</v>
      </c>
      <c r="M32" s="38">
        <f t="shared" si="27"/>
        <v>30.699827422851648</v>
      </c>
      <c r="N32" s="38">
        <f t="shared" si="28"/>
        <v>29.637994442398348</v>
      </c>
      <c r="O32" s="38">
        <f t="shared" si="29"/>
        <v>29.270076944650111</v>
      </c>
      <c r="R32" s="144">
        <v>8</v>
      </c>
      <c r="S32" s="38">
        <f t="shared" si="43"/>
        <v>23.145453622994193</v>
      </c>
      <c r="T32" s="38">
        <f t="shared" si="30"/>
        <v>22.152337944056256</v>
      </c>
      <c r="U32" s="38">
        <f t="shared" si="31"/>
        <v>23.024870567138734</v>
      </c>
      <c r="V32" s="38">
        <f t="shared" si="32"/>
        <v>22.22849583179876</v>
      </c>
      <c r="W32" s="38">
        <f t="shared" si="33"/>
        <v>21.952557708487582</v>
      </c>
      <c r="Z32" s="144">
        <v>8</v>
      </c>
      <c r="AA32" s="38">
        <f t="shared" si="44"/>
        <v>18.516362898395354</v>
      </c>
      <c r="AB32" s="38">
        <f t="shared" si="34"/>
        <v>17.721870355245002</v>
      </c>
      <c r="AC32" s="38">
        <f t="shared" si="35"/>
        <v>18.419896453710987</v>
      </c>
      <c r="AD32" s="38">
        <f t="shared" si="36"/>
        <v>17.782796665439008</v>
      </c>
      <c r="AE32" s="38">
        <f t="shared" si="37"/>
        <v>17.562046166790065</v>
      </c>
      <c r="AH32" s="144">
        <v>8</v>
      </c>
      <c r="AI32" s="38">
        <f t="shared" si="45"/>
        <v>15.430302415329463</v>
      </c>
      <c r="AJ32" s="38">
        <f t="shared" si="38"/>
        <v>14.768225296037503</v>
      </c>
      <c r="AK32" s="38">
        <f t="shared" si="39"/>
        <v>15.349913711425824</v>
      </c>
      <c r="AL32" s="38">
        <f t="shared" si="40"/>
        <v>14.818997221199174</v>
      </c>
      <c r="AM32" s="38">
        <f t="shared" si="41"/>
        <v>14.635038472325055</v>
      </c>
    </row>
    <row r="33" spans="2:39" x14ac:dyDescent="0.2">
      <c r="B33" s="190">
        <v>9</v>
      </c>
      <c r="C33" s="469">
        <f>('Detailed Avalerem Tables'!X31+'Detailed Avalerem Tables'!X80+'Detailed Avalerem Tables'!X128+'Detailed Avalerem Tables'!X176+'Detailed Avalerem Tables'!X224+'Detailed Avalerem Tables'!AZ31+'Detailed Avalerem Tables'!AZ80+'Detailed Avalerem Tables'!AZ128+'Detailed Avalerem Tables'!AZ176+'Detailed Avalerem Tables'!AZ224+'Detailed Avalerem Tables'!CB31+'Detailed Avalerem Tables'!CB80+'Detailed Avalerem Tables'!CB128+'Detailed Avalerem Tables'!CB176+'Detailed Avalerem Tables'!CB224+'Detailed Avalerem Tables'!DD31+'Detailed Avalerem Tables'!DD80+'Detailed Avalerem Tables'!DD128+'Detailed Avalerem Tables'!DD176+'Detailed Avalerem Tables'!DD224+'Detailed Avalerem Tables'!EF31+'Detailed Avalerem Tables'!EF80+'Detailed Avalerem Tables'!EF128+'Detailed Avalerem Tables'!EF176+'Detailed Avalerem Tables'!EF224)/25</f>
        <v>15.474167876835413</v>
      </c>
      <c r="D33" s="474">
        <f>('Detailed Avalerem Tables'!Y31+'Detailed Avalerem Tables'!Y80+'Detailed Avalerem Tables'!Y128+'Detailed Avalerem Tables'!Y176+'Detailed Avalerem Tables'!Y224+'Detailed Avalerem Tables'!BA31+'Detailed Avalerem Tables'!BA80+'Detailed Avalerem Tables'!BA128+'Detailed Avalerem Tables'!BA176+'Detailed Avalerem Tables'!BA224+'Detailed Avalerem Tables'!CC31+'Detailed Avalerem Tables'!CC80+'Detailed Avalerem Tables'!CC128+'Detailed Avalerem Tables'!CC176+'Detailed Avalerem Tables'!CC224+'Detailed Avalerem Tables'!DE31+'Detailed Avalerem Tables'!DE80+'Detailed Avalerem Tables'!DE128+'Detailed Avalerem Tables'!DE176+'Detailed Avalerem Tables'!DE224+'Detailed Avalerem Tables'!EG31+'Detailed Avalerem Tables'!EG80+'Detailed Avalerem Tables'!EG128+'Detailed Avalerem Tables'!EG176+'Detailed Avalerem Tables'!EG224)/25</f>
        <v>15.55080839090189</v>
      </c>
      <c r="E33" s="473">
        <f>('Detailed Avalerem Tables'!Z31+'Detailed Avalerem Tables'!Z80+'Detailed Avalerem Tables'!Z128+'Detailed Avalerem Tables'!Z176+'Detailed Avalerem Tables'!Z224+'Detailed Avalerem Tables'!BB31+'Detailed Avalerem Tables'!BB80+'Detailed Avalerem Tables'!BB128+'Detailed Avalerem Tables'!BB176+'Detailed Avalerem Tables'!BB224+'Detailed Avalerem Tables'!CD31+'Detailed Avalerem Tables'!CD80+'Detailed Avalerem Tables'!CD128+'Detailed Avalerem Tables'!CD176+'Detailed Avalerem Tables'!CD224+'Detailed Avalerem Tables'!DF31+'Detailed Avalerem Tables'!DF80+'Detailed Avalerem Tables'!DF128+'Detailed Avalerem Tables'!DF176+'Detailed Avalerem Tables'!DF224+'Detailed Avalerem Tables'!EH31+'Detailed Avalerem Tables'!EH80+'Detailed Avalerem Tables'!EH128+'Detailed Avalerem Tables'!EH176+'Detailed Avalerem Tables'!EH224)/25</f>
        <v>15.47396370226063</v>
      </c>
      <c r="F33" s="471">
        <f>('Detailed Avalerem Tables'!AA31+'Detailed Avalerem Tables'!AA80+'Detailed Avalerem Tables'!AA128+'Detailed Avalerem Tables'!AA176+'Detailed Avalerem Tables'!AA224+'Detailed Avalerem Tables'!BC31+'Detailed Avalerem Tables'!BC80+'Detailed Avalerem Tables'!BC128+'Detailed Avalerem Tables'!BC176+'Detailed Avalerem Tables'!BC224+'Detailed Avalerem Tables'!CE31+'Detailed Avalerem Tables'!CE80+'Detailed Avalerem Tables'!CE128+'Detailed Avalerem Tables'!CE176+'Detailed Avalerem Tables'!CE224+'Detailed Avalerem Tables'!DG31+'Detailed Avalerem Tables'!DG80+'Detailed Avalerem Tables'!DG128+'Detailed Avalerem Tables'!DG176+'Detailed Avalerem Tables'!DG224+'Detailed Avalerem Tables'!EI31+'Detailed Avalerem Tables'!EI80+'Detailed Avalerem Tables'!EI128+'Detailed Avalerem Tables'!EI176+'Detailed Avalerem Tables'!EI224)/25</f>
        <v>15.176509195935175</v>
      </c>
      <c r="G33" s="122">
        <f>('Detailed Avalerem Tables'!AB31+'Detailed Avalerem Tables'!AB80+'Detailed Avalerem Tables'!AB128+'Detailed Avalerem Tables'!AB176+'Detailed Avalerem Tables'!AB224+'Detailed Avalerem Tables'!BD31+'Detailed Avalerem Tables'!BD80+'Detailed Avalerem Tables'!BD128+'Detailed Avalerem Tables'!BD176+'Detailed Avalerem Tables'!BD224+'Detailed Avalerem Tables'!CF31+'Detailed Avalerem Tables'!CF80+'Detailed Avalerem Tables'!CF128+'Detailed Avalerem Tables'!CF176+'Detailed Avalerem Tables'!CF224+'Detailed Avalerem Tables'!DH31+'Detailed Avalerem Tables'!DH80+'Detailed Avalerem Tables'!DH128+'Detailed Avalerem Tables'!DH176+'Detailed Avalerem Tables'!DH224+'Detailed Avalerem Tables'!EJ31+'Detailed Avalerem Tables'!EJ80+'Detailed Avalerem Tables'!EJ128+'Detailed Avalerem Tables'!EJ176+'Detailed Avalerem Tables'!EJ224)/25</f>
        <v>14.739004328364159</v>
      </c>
      <c r="J33" s="144">
        <v>9</v>
      </c>
      <c r="K33" s="38">
        <f t="shared" si="42"/>
        <v>30.948335753670825</v>
      </c>
      <c r="L33" s="38">
        <f t="shared" si="26"/>
        <v>31.101616781803781</v>
      </c>
      <c r="M33" s="38">
        <f t="shared" si="27"/>
        <v>30.947927404521259</v>
      </c>
      <c r="N33" s="38">
        <f t="shared" si="28"/>
        <v>30.35301839187035</v>
      </c>
      <c r="O33" s="38">
        <f t="shared" si="29"/>
        <v>29.478008656728317</v>
      </c>
      <c r="R33" s="144">
        <v>9</v>
      </c>
      <c r="S33" s="38">
        <f t="shared" si="43"/>
        <v>23.211251815253121</v>
      </c>
      <c r="T33" s="38">
        <f t="shared" si="30"/>
        <v>23.326212586352835</v>
      </c>
      <c r="U33" s="38">
        <f t="shared" si="31"/>
        <v>23.210945553390943</v>
      </c>
      <c r="V33" s="38">
        <f t="shared" si="32"/>
        <v>22.764763793902763</v>
      </c>
      <c r="W33" s="38">
        <f t="shared" si="33"/>
        <v>22.108506492546237</v>
      </c>
      <c r="Z33" s="144">
        <v>9</v>
      </c>
      <c r="AA33" s="38">
        <f t="shared" si="44"/>
        <v>18.569001452202496</v>
      </c>
      <c r="AB33" s="38">
        <f t="shared" si="34"/>
        <v>18.660970069082268</v>
      </c>
      <c r="AC33" s="38">
        <f t="shared" si="35"/>
        <v>18.568756442712754</v>
      </c>
      <c r="AD33" s="38">
        <f t="shared" si="36"/>
        <v>18.21181103512221</v>
      </c>
      <c r="AE33" s="38">
        <f t="shared" si="37"/>
        <v>17.686805194036989</v>
      </c>
      <c r="AH33" s="144">
        <v>9</v>
      </c>
      <c r="AI33" s="38">
        <f t="shared" si="45"/>
        <v>15.474167876835413</v>
      </c>
      <c r="AJ33" s="38">
        <f t="shared" si="38"/>
        <v>15.55080839090189</v>
      </c>
      <c r="AK33" s="38">
        <f t="shared" si="39"/>
        <v>15.47396370226063</v>
      </c>
      <c r="AL33" s="38">
        <f t="shared" si="40"/>
        <v>15.176509195935175</v>
      </c>
      <c r="AM33" s="38">
        <f t="shared" si="41"/>
        <v>14.739004328364159</v>
      </c>
    </row>
    <row r="34" spans="2:39" x14ac:dyDescent="0.2">
      <c r="B34" s="190">
        <v>10</v>
      </c>
      <c r="C34" s="469">
        <f>('Detailed Avalerem Tables'!X32+'Detailed Avalerem Tables'!X81+'Detailed Avalerem Tables'!X129+'Detailed Avalerem Tables'!X177+'Detailed Avalerem Tables'!X225+'Detailed Avalerem Tables'!AZ32+'Detailed Avalerem Tables'!AZ81+'Detailed Avalerem Tables'!AZ129+'Detailed Avalerem Tables'!AZ177+'Detailed Avalerem Tables'!AZ225+'Detailed Avalerem Tables'!CB32+'Detailed Avalerem Tables'!CB81+'Detailed Avalerem Tables'!CB129+'Detailed Avalerem Tables'!CB177+'Detailed Avalerem Tables'!CB225+'Detailed Avalerem Tables'!DD32+'Detailed Avalerem Tables'!DD81+'Detailed Avalerem Tables'!DD129+'Detailed Avalerem Tables'!DD177+'Detailed Avalerem Tables'!DD225+'Detailed Avalerem Tables'!EF32+'Detailed Avalerem Tables'!EF81+'Detailed Avalerem Tables'!EF129+'Detailed Avalerem Tables'!EF177+'Detailed Avalerem Tables'!EF225)/25</f>
        <v>16.710066481666534</v>
      </c>
      <c r="D34" s="474">
        <f>('Detailed Avalerem Tables'!Y32+'Detailed Avalerem Tables'!Y81+'Detailed Avalerem Tables'!Y129+'Detailed Avalerem Tables'!Y177+'Detailed Avalerem Tables'!Y225+'Detailed Avalerem Tables'!BA32+'Detailed Avalerem Tables'!BA81+'Detailed Avalerem Tables'!BA129+'Detailed Avalerem Tables'!BA177+'Detailed Avalerem Tables'!BA225+'Detailed Avalerem Tables'!CC32+'Detailed Avalerem Tables'!CC81+'Detailed Avalerem Tables'!CC129+'Detailed Avalerem Tables'!CC177+'Detailed Avalerem Tables'!CC225+'Detailed Avalerem Tables'!DE32+'Detailed Avalerem Tables'!DE81+'Detailed Avalerem Tables'!DE129+'Detailed Avalerem Tables'!DE177+'Detailed Avalerem Tables'!DE225+'Detailed Avalerem Tables'!EG32+'Detailed Avalerem Tables'!EG81+'Detailed Avalerem Tables'!EG129+'Detailed Avalerem Tables'!EG177+'Detailed Avalerem Tables'!EG225)/25</f>
        <v>15.839903745332272</v>
      </c>
      <c r="E34" s="473">
        <f>('Detailed Avalerem Tables'!Z32+'Detailed Avalerem Tables'!Z81+'Detailed Avalerem Tables'!Z129+'Detailed Avalerem Tables'!Z177+'Detailed Avalerem Tables'!Z225+'Detailed Avalerem Tables'!BB32+'Detailed Avalerem Tables'!BB81+'Detailed Avalerem Tables'!BB129+'Detailed Avalerem Tables'!BB177+'Detailed Avalerem Tables'!BB225+'Detailed Avalerem Tables'!CD32+'Detailed Avalerem Tables'!CD81+'Detailed Avalerem Tables'!CD129+'Detailed Avalerem Tables'!CD177+'Detailed Avalerem Tables'!CD225+'Detailed Avalerem Tables'!DF32+'Detailed Avalerem Tables'!DF81+'Detailed Avalerem Tables'!DF129+'Detailed Avalerem Tables'!DF177+'Detailed Avalerem Tables'!DF225+'Detailed Avalerem Tables'!EH32+'Detailed Avalerem Tables'!EH81+'Detailed Avalerem Tables'!EH129+'Detailed Avalerem Tables'!EH177+'Detailed Avalerem Tables'!EH225)/25</f>
        <v>15.918179527407723</v>
      </c>
      <c r="F34" s="471">
        <f>('Detailed Avalerem Tables'!AA32+'Detailed Avalerem Tables'!AA81+'Detailed Avalerem Tables'!AA129+'Detailed Avalerem Tables'!AA177+'Detailed Avalerem Tables'!AA225+'Detailed Avalerem Tables'!BC32+'Detailed Avalerem Tables'!BC81+'Detailed Avalerem Tables'!BC129+'Detailed Avalerem Tables'!BC177+'Detailed Avalerem Tables'!BC225+'Detailed Avalerem Tables'!CE32+'Detailed Avalerem Tables'!CE81+'Detailed Avalerem Tables'!CE129+'Detailed Avalerem Tables'!CE177+'Detailed Avalerem Tables'!CE225+'Detailed Avalerem Tables'!DG32+'Detailed Avalerem Tables'!DG81+'Detailed Avalerem Tables'!DG129+'Detailed Avalerem Tables'!DG177+'Detailed Avalerem Tables'!DG225+'Detailed Avalerem Tables'!EI32+'Detailed Avalerem Tables'!EI81+'Detailed Avalerem Tables'!EI129+'Detailed Avalerem Tables'!EI177+'Detailed Avalerem Tables'!EI225)/25</f>
        <v>15.27268471600639</v>
      </c>
      <c r="G34" s="122">
        <f>('Detailed Avalerem Tables'!AB32+'Detailed Avalerem Tables'!AB81+'Detailed Avalerem Tables'!AB129+'Detailed Avalerem Tables'!AB177+'Detailed Avalerem Tables'!AB225+'Detailed Avalerem Tables'!BD32+'Detailed Avalerem Tables'!BD81+'Detailed Avalerem Tables'!BD129+'Detailed Avalerem Tables'!BD177+'Detailed Avalerem Tables'!BD225+'Detailed Avalerem Tables'!CF32+'Detailed Avalerem Tables'!CF81+'Detailed Avalerem Tables'!CF129+'Detailed Avalerem Tables'!CF177+'Detailed Avalerem Tables'!CF225+'Detailed Avalerem Tables'!DH32+'Detailed Avalerem Tables'!DH81+'Detailed Avalerem Tables'!DH129+'Detailed Avalerem Tables'!DH177+'Detailed Avalerem Tables'!DH225+'Detailed Avalerem Tables'!EJ32+'Detailed Avalerem Tables'!EJ81+'Detailed Avalerem Tables'!EJ129+'Detailed Avalerem Tables'!EJ177+'Detailed Avalerem Tables'!EJ225)/25</f>
        <v>15.412479969880289</v>
      </c>
      <c r="J34" s="144">
        <v>10</v>
      </c>
      <c r="K34" s="38">
        <f t="shared" si="42"/>
        <v>33.420132963333067</v>
      </c>
      <c r="L34" s="38">
        <f t="shared" si="26"/>
        <v>31.679807490664544</v>
      </c>
      <c r="M34" s="38">
        <f t="shared" si="27"/>
        <v>31.836359054815446</v>
      </c>
      <c r="N34" s="38">
        <f t="shared" si="28"/>
        <v>30.54536943201278</v>
      </c>
      <c r="O34" s="38">
        <f t="shared" si="29"/>
        <v>30.824959939760578</v>
      </c>
      <c r="R34" s="144">
        <v>10</v>
      </c>
      <c r="S34" s="38">
        <f t="shared" si="43"/>
        <v>25.065099722499802</v>
      </c>
      <c r="T34" s="38">
        <f t="shared" si="30"/>
        <v>23.759855617998408</v>
      </c>
      <c r="U34" s="38">
        <f t="shared" si="31"/>
        <v>23.877269291111585</v>
      </c>
      <c r="V34" s="38">
        <f t="shared" si="32"/>
        <v>22.909027074009586</v>
      </c>
      <c r="W34" s="38">
        <f t="shared" si="33"/>
        <v>23.118719954820435</v>
      </c>
      <c r="Z34" s="144">
        <v>10</v>
      </c>
      <c r="AA34" s="38">
        <f t="shared" si="44"/>
        <v>20.05207977799984</v>
      </c>
      <c r="AB34" s="38">
        <f t="shared" si="34"/>
        <v>19.007884494398727</v>
      </c>
      <c r="AC34" s="38">
        <f t="shared" si="35"/>
        <v>19.101815432889268</v>
      </c>
      <c r="AD34" s="38">
        <f t="shared" si="36"/>
        <v>18.327221659207666</v>
      </c>
      <c r="AE34" s="38">
        <f t="shared" si="37"/>
        <v>18.494975963856348</v>
      </c>
      <c r="AH34" s="144">
        <v>10</v>
      </c>
      <c r="AI34" s="38">
        <f t="shared" si="45"/>
        <v>16.710066481666534</v>
      </c>
      <c r="AJ34" s="38">
        <f t="shared" si="38"/>
        <v>15.839903745332272</v>
      </c>
      <c r="AK34" s="38">
        <f t="shared" si="39"/>
        <v>15.918179527407723</v>
      </c>
      <c r="AL34" s="38">
        <f t="shared" si="40"/>
        <v>15.27268471600639</v>
      </c>
      <c r="AM34" s="38">
        <f t="shared" si="41"/>
        <v>15.412479969880289</v>
      </c>
    </row>
    <row r="35" spans="2:39" x14ac:dyDescent="0.2">
      <c r="B35" s="190">
        <v>11</v>
      </c>
      <c r="C35" s="469">
        <f>('Detailed Avalerem Tables'!X33+'Detailed Avalerem Tables'!X82+'Detailed Avalerem Tables'!X130+'Detailed Avalerem Tables'!X178+'Detailed Avalerem Tables'!X226+'Detailed Avalerem Tables'!AZ33+'Detailed Avalerem Tables'!AZ82+'Detailed Avalerem Tables'!AZ130+'Detailed Avalerem Tables'!AZ178+'Detailed Avalerem Tables'!AZ226+'Detailed Avalerem Tables'!CB33+'Detailed Avalerem Tables'!CB82+'Detailed Avalerem Tables'!CB130+'Detailed Avalerem Tables'!CB178+'Detailed Avalerem Tables'!CB226+'Detailed Avalerem Tables'!DD33+'Detailed Avalerem Tables'!DD82+'Detailed Avalerem Tables'!DD130+'Detailed Avalerem Tables'!DD178+'Detailed Avalerem Tables'!DD226+'Detailed Avalerem Tables'!EF33+'Detailed Avalerem Tables'!EF82+'Detailed Avalerem Tables'!EF130+'Detailed Avalerem Tables'!EF178+'Detailed Avalerem Tables'!EF226)/25</f>
        <v>13.748066573192935</v>
      </c>
      <c r="D35" s="474">
        <f>('Detailed Avalerem Tables'!Y33+'Detailed Avalerem Tables'!Y82+'Detailed Avalerem Tables'!Y130+'Detailed Avalerem Tables'!Y178+'Detailed Avalerem Tables'!Y226+'Detailed Avalerem Tables'!BA33+'Detailed Avalerem Tables'!BA82+'Detailed Avalerem Tables'!BA130+'Detailed Avalerem Tables'!BA178+'Detailed Avalerem Tables'!BA226+'Detailed Avalerem Tables'!CC33+'Detailed Avalerem Tables'!CC82+'Detailed Avalerem Tables'!CC130+'Detailed Avalerem Tables'!CC178+'Detailed Avalerem Tables'!CC226+'Detailed Avalerem Tables'!DE33+'Detailed Avalerem Tables'!DE82+'Detailed Avalerem Tables'!DE130+'Detailed Avalerem Tables'!DE178+'Detailed Avalerem Tables'!DE226+'Detailed Avalerem Tables'!EG33+'Detailed Avalerem Tables'!EG82+'Detailed Avalerem Tables'!EG130+'Detailed Avalerem Tables'!EG178+'Detailed Avalerem Tables'!EG226)/25</f>
        <v>13.435198883827368</v>
      </c>
      <c r="E35" s="473">
        <f>('Detailed Avalerem Tables'!Z33+'Detailed Avalerem Tables'!Z82+'Detailed Avalerem Tables'!Z130+'Detailed Avalerem Tables'!Z178+'Detailed Avalerem Tables'!Z226+'Detailed Avalerem Tables'!BB33+'Detailed Avalerem Tables'!BB82+'Detailed Avalerem Tables'!BB130+'Detailed Avalerem Tables'!BB178+'Detailed Avalerem Tables'!BB226+'Detailed Avalerem Tables'!CD33+'Detailed Avalerem Tables'!CD82+'Detailed Avalerem Tables'!CD130+'Detailed Avalerem Tables'!CD178+'Detailed Avalerem Tables'!CD226+'Detailed Avalerem Tables'!DF33+'Detailed Avalerem Tables'!DF82+'Detailed Avalerem Tables'!DF130+'Detailed Avalerem Tables'!DF178+'Detailed Avalerem Tables'!DF226+'Detailed Avalerem Tables'!EH33+'Detailed Avalerem Tables'!EH82+'Detailed Avalerem Tables'!EH130+'Detailed Avalerem Tables'!EH178+'Detailed Avalerem Tables'!EH226)/25</f>
        <v>13.056013206829377</v>
      </c>
      <c r="F35" s="471">
        <f>('Detailed Avalerem Tables'!AA33+'Detailed Avalerem Tables'!AA82+'Detailed Avalerem Tables'!AA130+'Detailed Avalerem Tables'!AA178+'Detailed Avalerem Tables'!AA226+'Detailed Avalerem Tables'!BC33+'Detailed Avalerem Tables'!BC82+'Detailed Avalerem Tables'!BC130+'Detailed Avalerem Tables'!BC178+'Detailed Avalerem Tables'!BC226+'Detailed Avalerem Tables'!CE33+'Detailed Avalerem Tables'!CE82+'Detailed Avalerem Tables'!CE130+'Detailed Avalerem Tables'!CE178+'Detailed Avalerem Tables'!CE226+'Detailed Avalerem Tables'!DG33+'Detailed Avalerem Tables'!DG82+'Detailed Avalerem Tables'!DG130+'Detailed Avalerem Tables'!DG178+'Detailed Avalerem Tables'!DG226+'Detailed Avalerem Tables'!EI33+'Detailed Avalerem Tables'!EI82+'Detailed Avalerem Tables'!EI130+'Detailed Avalerem Tables'!EI178+'Detailed Avalerem Tables'!EI226)/25</f>
        <v>13.082365941491116</v>
      </c>
      <c r="G35" s="122">
        <f>('Detailed Avalerem Tables'!AB33+'Detailed Avalerem Tables'!AB82+'Detailed Avalerem Tables'!AB130+'Detailed Avalerem Tables'!AB178+'Detailed Avalerem Tables'!AB226+'Detailed Avalerem Tables'!BD33+'Detailed Avalerem Tables'!BD82+'Detailed Avalerem Tables'!BD130+'Detailed Avalerem Tables'!BD178+'Detailed Avalerem Tables'!BD226+'Detailed Avalerem Tables'!CF33+'Detailed Avalerem Tables'!CF82+'Detailed Avalerem Tables'!CF130+'Detailed Avalerem Tables'!CF178+'Detailed Avalerem Tables'!CF226+'Detailed Avalerem Tables'!DH33+'Detailed Avalerem Tables'!DH82+'Detailed Avalerem Tables'!DH130+'Detailed Avalerem Tables'!DH178+'Detailed Avalerem Tables'!DH226+'Detailed Avalerem Tables'!EJ33+'Detailed Avalerem Tables'!EJ82+'Detailed Avalerem Tables'!EJ130+'Detailed Avalerem Tables'!EJ178+'Detailed Avalerem Tables'!EJ226)/25</f>
        <v>12.84520892174371</v>
      </c>
      <c r="J35" s="144">
        <v>11</v>
      </c>
      <c r="K35" s="38">
        <f t="shared" si="42"/>
        <v>27.496133146385869</v>
      </c>
      <c r="L35" s="38">
        <f t="shared" si="26"/>
        <v>26.870397767654737</v>
      </c>
      <c r="M35" s="38">
        <f t="shared" si="27"/>
        <v>26.112026413658754</v>
      </c>
      <c r="N35" s="38">
        <f t="shared" si="28"/>
        <v>26.164731882982231</v>
      </c>
      <c r="O35" s="38">
        <f t="shared" si="29"/>
        <v>25.69041784348742</v>
      </c>
      <c r="R35" s="144">
        <v>11</v>
      </c>
      <c r="S35" s="38">
        <f t="shared" si="43"/>
        <v>20.622099859789401</v>
      </c>
      <c r="T35" s="38">
        <f t="shared" si="30"/>
        <v>20.152798325741053</v>
      </c>
      <c r="U35" s="38">
        <f t="shared" si="31"/>
        <v>19.584019810244065</v>
      </c>
      <c r="V35" s="38">
        <f t="shared" si="32"/>
        <v>19.623548912236672</v>
      </c>
      <c r="W35" s="38">
        <f t="shared" si="33"/>
        <v>19.267813382615564</v>
      </c>
      <c r="Z35" s="144">
        <v>11</v>
      </c>
      <c r="AA35" s="38">
        <f t="shared" si="44"/>
        <v>16.49767988783152</v>
      </c>
      <c r="AB35" s="38">
        <f t="shared" si="34"/>
        <v>16.122238660592842</v>
      </c>
      <c r="AC35" s="38">
        <f t="shared" si="35"/>
        <v>15.667215848195251</v>
      </c>
      <c r="AD35" s="38">
        <f t="shared" si="36"/>
        <v>15.698839129789338</v>
      </c>
      <c r="AE35" s="38">
        <f t="shared" si="37"/>
        <v>15.414250706092451</v>
      </c>
      <c r="AH35" s="144">
        <v>11</v>
      </c>
      <c r="AI35" s="38">
        <f t="shared" si="45"/>
        <v>13.748066573192935</v>
      </c>
      <c r="AJ35" s="38">
        <f t="shared" si="38"/>
        <v>13.435198883827368</v>
      </c>
      <c r="AK35" s="38">
        <f t="shared" si="39"/>
        <v>13.056013206829377</v>
      </c>
      <c r="AL35" s="38">
        <f t="shared" si="40"/>
        <v>13.082365941491116</v>
      </c>
      <c r="AM35" s="38">
        <f t="shared" si="41"/>
        <v>12.84520892174371</v>
      </c>
    </row>
    <row r="36" spans="2:39" x14ac:dyDescent="0.2">
      <c r="B36" s="190">
        <v>12</v>
      </c>
      <c r="C36" s="469">
        <f>('Detailed Avalerem Tables'!X34+'Detailed Avalerem Tables'!X83+'Detailed Avalerem Tables'!X131+'Detailed Avalerem Tables'!X179+'Detailed Avalerem Tables'!X227+'Detailed Avalerem Tables'!AZ34+'Detailed Avalerem Tables'!AZ83+'Detailed Avalerem Tables'!AZ131+'Detailed Avalerem Tables'!AZ179+'Detailed Avalerem Tables'!AZ227+'Detailed Avalerem Tables'!CB34+'Detailed Avalerem Tables'!CB83+'Detailed Avalerem Tables'!CB131+'Detailed Avalerem Tables'!CB179+'Detailed Avalerem Tables'!CB227+'Detailed Avalerem Tables'!DD34+'Detailed Avalerem Tables'!DD83+'Detailed Avalerem Tables'!DD131+'Detailed Avalerem Tables'!DD179+'Detailed Avalerem Tables'!DD227+'Detailed Avalerem Tables'!EF34+'Detailed Avalerem Tables'!EF83+'Detailed Avalerem Tables'!EF131+'Detailed Avalerem Tables'!EF179+'Detailed Avalerem Tables'!EF227)/25</f>
        <v>13.704201111686999</v>
      </c>
      <c r="D36" s="474">
        <f>('Detailed Avalerem Tables'!Y34+'Detailed Avalerem Tables'!Y83+'Detailed Avalerem Tables'!Y131+'Detailed Avalerem Tables'!Y179+'Detailed Avalerem Tables'!Y227+'Detailed Avalerem Tables'!BA34+'Detailed Avalerem Tables'!BA83+'Detailed Avalerem Tables'!BA131+'Detailed Avalerem Tables'!BA179+'Detailed Avalerem Tables'!BA227+'Detailed Avalerem Tables'!CC34+'Detailed Avalerem Tables'!CC83+'Detailed Avalerem Tables'!CC131+'Detailed Avalerem Tables'!CC179+'Detailed Avalerem Tables'!CC227+'Detailed Avalerem Tables'!DE34+'Detailed Avalerem Tables'!DE83+'Detailed Avalerem Tables'!DE131+'Detailed Avalerem Tables'!DE179+'Detailed Avalerem Tables'!DE227+'Detailed Avalerem Tables'!EG34+'Detailed Avalerem Tables'!EG83+'Detailed Avalerem Tables'!EG131+'Detailed Avalerem Tables'!EG179+'Detailed Avalerem Tables'!EG227)/25</f>
        <v>12.652615788962985</v>
      </c>
      <c r="E36" s="473">
        <f>('Detailed Avalerem Tables'!Z34+'Detailed Avalerem Tables'!Z83+'Detailed Avalerem Tables'!Z131+'Detailed Avalerem Tables'!Z179+'Detailed Avalerem Tables'!Z227+'Detailed Avalerem Tables'!BB34+'Detailed Avalerem Tables'!BB83+'Detailed Avalerem Tables'!BB131+'Detailed Avalerem Tables'!BB179+'Detailed Avalerem Tables'!BB227+'Detailed Avalerem Tables'!CD34+'Detailed Avalerem Tables'!CD83+'Detailed Avalerem Tables'!CD131+'Detailed Avalerem Tables'!CD179+'Detailed Avalerem Tables'!CD227+'Detailed Avalerem Tables'!DF34+'Detailed Avalerem Tables'!DF83+'Detailed Avalerem Tables'!DF131+'Detailed Avalerem Tables'!DF179+'Detailed Avalerem Tables'!DF227+'Detailed Avalerem Tables'!EH34+'Detailed Avalerem Tables'!EH83+'Detailed Avalerem Tables'!EH131+'Detailed Avalerem Tables'!EH179+'Detailed Avalerem Tables'!EH227)/25</f>
        <v>12.931963215994571</v>
      </c>
      <c r="F36" s="471">
        <f>('Detailed Avalerem Tables'!AA34+'Detailed Avalerem Tables'!AA83+'Detailed Avalerem Tables'!AA131+'Detailed Avalerem Tables'!AA179+'Detailed Avalerem Tables'!AA227+'Detailed Avalerem Tables'!BC34+'Detailed Avalerem Tables'!BC83+'Detailed Avalerem Tables'!BC131+'Detailed Avalerem Tables'!BC179+'Detailed Avalerem Tables'!BC227+'Detailed Avalerem Tables'!CE34+'Detailed Avalerem Tables'!CE83+'Detailed Avalerem Tables'!CE131+'Detailed Avalerem Tables'!CE179+'Detailed Avalerem Tables'!CE227+'Detailed Avalerem Tables'!DG34+'Detailed Avalerem Tables'!DG83+'Detailed Avalerem Tables'!DG131+'Detailed Avalerem Tables'!DG179+'Detailed Avalerem Tables'!DG227+'Detailed Avalerem Tables'!EI34+'Detailed Avalerem Tables'!EI83+'Detailed Avalerem Tables'!EI131+'Detailed Avalerem Tables'!EI179+'Detailed Avalerem Tables'!EI227)/25</f>
        <v>12.724853966755113</v>
      </c>
      <c r="G36" s="122">
        <f>('Detailed Avalerem Tables'!AB34+'Detailed Avalerem Tables'!AB83+'Detailed Avalerem Tables'!AB131+'Detailed Avalerem Tables'!AB179+'Detailed Avalerem Tables'!AB227+'Detailed Avalerem Tables'!BD34+'Detailed Avalerem Tables'!BD83+'Detailed Avalerem Tables'!BD131+'Detailed Avalerem Tables'!BD179+'Detailed Avalerem Tables'!BD227+'Detailed Avalerem Tables'!CF34+'Detailed Avalerem Tables'!CF83+'Detailed Avalerem Tables'!CF131+'Detailed Avalerem Tables'!CF179+'Detailed Avalerem Tables'!CF227+'Detailed Avalerem Tables'!DH34+'Detailed Avalerem Tables'!DH83+'Detailed Avalerem Tables'!DH131+'Detailed Avalerem Tables'!DH179+'Detailed Avalerem Tables'!DH227+'Detailed Avalerem Tables'!EJ34+'Detailed Avalerem Tables'!EJ83+'Detailed Avalerem Tables'!EJ131+'Detailed Avalerem Tables'!EJ179+'Detailed Avalerem Tables'!EJ227)/25</f>
        <v>12.741243065704607</v>
      </c>
      <c r="J36" s="144">
        <v>12</v>
      </c>
      <c r="K36" s="38">
        <f t="shared" si="42"/>
        <v>27.408402223373997</v>
      </c>
      <c r="L36" s="38">
        <f t="shared" si="26"/>
        <v>25.305231577925969</v>
      </c>
      <c r="M36" s="38">
        <f t="shared" si="27"/>
        <v>25.863926431989142</v>
      </c>
      <c r="N36" s="38">
        <f t="shared" si="28"/>
        <v>25.449707933510226</v>
      </c>
      <c r="O36" s="38">
        <f t="shared" si="29"/>
        <v>25.482486131409214</v>
      </c>
      <c r="R36" s="144">
        <v>12</v>
      </c>
      <c r="S36" s="38">
        <f t="shared" si="43"/>
        <v>20.556301667530498</v>
      </c>
      <c r="T36" s="38">
        <f t="shared" si="30"/>
        <v>18.978923683444478</v>
      </c>
      <c r="U36" s="38">
        <f t="shared" si="31"/>
        <v>19.397944823991857</v>
      </c>
      <c r="V36" s="38">
        <f t="shared" si="32"/>
        <v>19.087280950132669</v>
      </c>
      <c r="W36" s="38">
        <f t="shared" si="33"/>
        <v>19.11186459855691</v>
      </c>
      <c r="Z36" s="144">
        <v>12</v>
      </c>
      <c r="AA36" s="38">
        <f t="shared" si="44"/>
        <v>16.445041334024399</v>
      </c>
      <c r="AB36" s="38">
        <f t="shared" si="34"/>
        <v>15.18313894675558</v>
      </c>
      <c r="AC36" s="38">
        <f t="shared" si="35"/>
        <v>15.518355859193484</v>
      </c>
      <c r="AD36" s="38">
        <f t="shared" si="36"/>
        <v>15.269824760106134</v>
      </c>
      <c r="AE36" s="38">
        <f t="shared" si="37"/>
        <v>15.289491678845527</v>
      </c>
      <c r="AH36" s="144">
        <v>12</v>
      </c>
      <c r="AI36" s="38">
        <f t="shared" si="45"/>
        <v>13.704201111686999</v>
      </c>
      <c r="AJ36" s="38">
        <f t="shared" si="38"/>
        <v>12.652615788962985</v>
      </c>
      <c r="AK36" s="38">
        <f t="shared" si="39"/>
        <v>12.931963215994571</v>
      </c>
      <c r="AL36" s="38">
        <f t="shared" si="40"/>
        <v>12.724853966755113</v>
      </c>
      <c r="AM36" s="38">
        <f t="shared" si="41"/>
        <v>12.741243065704607</v>
      </c>
    </row>
    <row r="37" spans="2:39" x14ac:dyDescent="0.2">
      <c r="C37" s="141"/>
      <c r="K37" s="141"/>
      <c r="S37" s="141"/>
      <c r="AA37" s="141"/>
      <c r="AI37" s="141"/>
    </row>
    <row r="38" spans="2:39" x14ac:dyDescent="0.2">
      <c r="B38" s="188" t="s">
        <v>41</v>
      </c>
      <c r="J38" s="141" t="s">
        <v>41</v>
      </c>
      <c r="R38" s="141" t="s">
        <v>41</v>
      </c>
      <c r="Z38" s="141" t="s">
        <v>41</v>
      </c>
      <c r="AH38" s="141" t="s">
        <v>41</v>
      </c>
    </row>
    <row r="39" spans="2:39" x14ac:dyDescent="0.2">
      <c r="B39" s="192" t="s">
        <v>37</v>
      </c>
      <c r="C39" s="142" t="s">
        <v>30</v>
      </c>
      <c r="D39" s="191" t="s">
        <v>31</v>
      </c>
      <c r="E39" s="472" t="s">
        <v>32</v>
      </c>
      <c r="F39" s="470" t="s">
        <v>33</v>
      </c>
      <c r="G39" s="150" t="s">
        <v>34</v>
      </c>
      <c r="J39" s="147" t="s">
        <v>37</v>
      </c>
      <c r="K39" s="157" t="s">
        <v>30</v>
      </c>
      <c r="L39" s="150" t="s">
        <v>31</v>
      </c>
      <c r="M39" s="150" t="s">
        <v>32</v>
      </c>
      <c r="N39" s="150" t="s">
        <v>33</v>
      </c>
      <c r="O39" s="150" t="s">
        <v>34</v>
      </c>
      <c r="R39" s="147" t="s">
        <v>37</v>
      </c>
      <c r="S39" s="151" t="s">
        <v>30</v>
      </c>
      <c r="T39" s="150" t="s">
        <v>31</v>
      </c>
      <c r="U39" s="150" t="s">
        <v>32</v>
      </c>
      <c r="V39" s="150" t="s">
        <v>33</v>
      </c>
      <c r="W39" s="150" t="s">
        <v>34</v>
      </c>
      <c r="Z39" s="147" t="s">
        <v>37</v>
      </c>
      <c r="AA39" s="151" t="s">
        <v>30</v>
      </c>
      <c r="AB39" s="150" t="s">
        <v>31</v>
      </c>
      <c r="AC39" s="150" t="s">
        <v>32</v>
      </c>
      <c r="AD39" s="150" t="s">
        <v>33</v>
      </c>
      <c r="AE39" s="150" t="s">
        <v>34</v>
      </c>
      <c r="AH39" s="147" t="s">
        <v>37</v>
      </c>
      <c r="AI39" s="151" t="s">
        <v>30</v>
      </c>
      <c r="AJ39" s="150" t="s">
        <v>31</v>
      </c>
      <c r="AK39" s="150" t="s">
        <v>32</v>
      </c>
      <c r="AL39" s="150" t="s">
        <v>33</v>
      </c>
      <c r="AM39" s="150" t="s">
        <v>34</v>
      </c>
    </row>
    <row r="40" spans="2:39" x14ac:dyDescent="0.2">
      <c r="B40" s="190">
        <v>1</v>
      </c>
      <c r="C40" s="469">
        <f>('Detailed Avalerem Tables'!X38+'Detailed Avalerem Tables'!X87+'Detailed Avalerem Tables'!X135+'Detailed Avalerem Tables'!X183+'Detailed Avalerem Tables'!X231+'Detailed Avalerem Tables'!AZ38+'Detailed Avalerem Tables'!AZ87+'Detailed Avalerem Tables'!AZ135+'Detailed Avalerem Tables'!AZ183+'Detailed Avalerem Tables'!AZ231+'Detailed Avalerem Tables'!CB38+'Detailed Avalerem Tables'!CB87+'Detailed Avalerem Tables'!CB135+'Detailed Avalerem Tables'!CB183+'Detailed Avalerem Tables'!CB231+'Detailed Avalerem Tables'!DD38+'Detailed Avalerem Tables'!DD87+'Detailed Avalerem Tables'!DD135+'Detailed Avalerem Tables'!DD183+'Detailed Avalerem Tables'!DD231+'Detailed Avalerem Tables'!EF38+'Detailed Avalerem Tables'!EF87+'Detailed Avalerem Tables'!EF135+'Detailed Avalerem Tables'!EF183+'Detailed Avalerem Tables'!EF231)/25</f>
        <v>30.556329701673157</v>
      </c>
      <c r="D40" s="474">
        <f>('Detailed Avalerem Tables'!Y38+'Detailed Avalerem Tables'!Y87+'Detailed Avalerem Tables'!Y135+'Detailed Avalerem Tables'!Y183+'Detailed Avalerem Tables'!Y231+'Detailed Avalerem Tables'!BA38+'Detailed Avalerem Tables'!BA87+'Detailed Avalerem Tables'!BA135+'Detailed Avalerem Tables'!BA183+'Detailed Avalerem Tables'!BA231+'Detailed Avalerem Tables'!CC38+'Detailed Avalerem Tables'!CC87+'Detailed Avalerem Tables'!CC135+'Detailed Avalerem Tables'!CC183+'Detailed Avalerem Tables'!CC231+'Detailed Avalerem Tables'!DE38+'Detailed Avalerem Tables'!DE87+'Detailed Avalerem Tables'!DE135+'Detailed Avalerem Tables'!DE183+'Detailed Avalerem Tables'!DE231+'Detailed Avalerem Tables'!EG38+'Detailed Avalerem Tables'!EG87+'Detailed Avalerem Tables'!EG135+'Detailed Avalerem Tables'!EG183+'Detailed Avalerem Tables'!EG231)/25</f>
        <v>28.940934395614313</v>
      </c>
      <c r="E40" s="473">
        <f>('Detailed Avalerem Tables'!Z38+'Detailed Avalerem Tables'!Z87+'Detailed Avalerem Tables'!Z135+'Detailed Avalerem Tables'!Z183+'Detailed Avalerem Tables'!Z231+'Detailed Avalerem Tables'!BB38+'Detailed Avalerem Tables'!BB87+'Detailed Avalerem Tables'!BB135+'Detailed Avalerem Tables'!BB183+'Detailed Avalerem Tables'!BB231+'Detailed Avalerem Tables'!CD38+'Detailed Avalerem Tables'!CD87+'Detailed Avalerem Tables'!CD135+'Detailed Avalerem Tables'!CD183+'Detailed Avalerem Tables'!CD231+'Detailed Avalerem Tables'!DF38+'Detailed Avalerem Tables'!DF87+'Detailed Avalerem Tables'!DF135+'Detailed Avalerem Tables'!DF183+'Detailed Avalerem Tables'!DF231+'Detailed Avalerem Tables'!EH38+'Detailed Avalerem Tables'!EH87+'Detailed Avalerem Tables'!EH135+'Detailed Avalerem Tables'!EH183+'Detailed Avalerem Tables'!EH231)/25</f>
        <v>29.008504025822855</v>
      </c>
      <c r="F40" s="471">
        <f>('Detailed Avalerem Tables'!AA38+'Detailed Avalerem Tables'!AA87+'Detailed Avalerem Tables'!AA135+'Detailed Avalerem Tables'!AA183+'Detailed Avalerem Tables'!AA231+'Detailed Avalerem Tables'!BC38+'Detailed Avalerem Tables'!BC87+'Detailed Avalerem Tables'!BC135+'Detailed Avalerem Tables'!BC183+'Detailed Avalerem Tables'!BC231+'Detailed Avalerem Tables'!CE38+'Detailed Avalerem Tables'!CE87+'Detailed Avalerem Tables'!CE135+'Detailed Avalerem Tables'!CE183+'Detailed Avalerem Tables'!CE231+'Detailed Avalerem Tables'!DG38+'Detailed Avalerem Tables'!DG87+'Detailed Avalerem Tables'!DG135+'Detailed Avalerem Tables'!DG183+'Detailed Avalerem Tables'!DG231+'Detailed Avalerem Tables'!EI38+'Detailed Avalerem Tables'!EI87+'Detailed Avalerem Tables'!EI135+'Detailed Avalerem Tables'!EI183+'Detailed Avalerem Tables'!EI231)/25</f>
        <v>28.291147000712453</v>
      </c>
      <c r="G40" s="122">
        <f>('Detailed Avalerem Tables'!AB38+'Detailed Avalerem Tables'!AB87+'Detailed Avalerem Tables'!AB135+'Detailed Avalerem Tables'!AB183+'Detailed Avalerem Tables'!AB231+'Detailed Avalerem Tables'!BD38+'Detailed Avalerem Tables'!BD87+'Detailed Avalerem Tables'!BD135+'Detailed Avalerem Tables'!BD183+'Detailed Avalerem Tables'!BD231+'Detailed Avalerem Tables'!CF38+'Detailed Avalerem Tables'!CF87+'Detailed Avalerem Tables'!CF135+'Detailed Avalerem Tables'!CF183+'Detailed Avalerem Tables'!CF231+'Detailed Avalerem Tables'!DH38+'Detailed Avalerem Tables'!DH87+'Detailed Avalerem Tables'!DH135+'Detailed Avalerem Tables'!DH183+'Detailed Avalerem Tables'!DH231+'Detailed Avalerem Tables'!EJ38+'Detailed Avalerem Tables'!EJ87+'Detailed Avalerem Tables'!EJ135+'Detailed Avalerem Tables'!EJ183+'Detailed Avalerem Tables'!EJ231)/25</f>
        <v>27.982311437835833</v>
      </c>
      <c r="J40" s="144">
        <v>1</v>
      </c>
      <c r="K40" s="38">
        <f>$L$5*C40</f>
        <v>61.112659403346314</v>
      </c>
      <c r="L40" s="38">
        <f t="shared" ref="L40:L51" si="46">$L$5*D40</f>
        <v>57.881868791228626</v>
      </c>
      <c r="M40" s="38">
        <f t="shared" ref="M40:M51" si="47">$L$5*E40</f>
        <v>58.017008051645711</v>
      </c>
      <c r="N40" s="38">
        <f t="shared" ref="N40:N51" si="48">$L$5*F40</f>
        <v>56.582294001424906</v>
      </c>
      <c r="O40" s="38">
        <f t="shared" ref="O40:O51" si="49">$L$5*G40</f>
        <v>55.964622875671665</v>
      </c>
      <c r="R40" s="144">
        <v>1</v>
      </c>
      <c r="S40" s="38">
        <f>$T$5*C40</f>
        <v>45.834494552509739</v>
      </c>
      <c r="T40" s="38">
        <f t="shared" ref="T40:T51" si="50">$T$5*D40</f>
        <v>43.411401593421473</v>
      </c>
      <c r="U40" s="38">
        <f t="shared" ref="U40:U51" si="51">$T$5*E40</f>
        <v>43.512756038734281</v>
      </c>
      <c r="V40" s="38">
        <f t="shared" ref="V40:V51" si="52">$T$5*F40</f>
        <v>42.436720501068677</v>
      </c>
      <c r="W40" s="38">
        <f t="shared" ref="W40:W51" si="53">$T$5*G40</f>
        <v>41.973467156753749</v>
      </c>
      <c r="Z40" s="144">
        <v>1</v>
      </c>
      <c r="AA40" s="38">
        <f>$AB$5*C40</f>
        <v>36.66759564200779</v>
      </c>
      <c r="AB40" s="38">
        <f t="shared" ref="AB40:AB51" si="54">$AB$5*D40</f>
        <v>34.729121274737174</v>
      </c>
      <c r="AC40" s="38">
        <f t="shared" ref="AC40:AC51" si="55">$AB$5*E40</f>
        <v>34.810204830987423</v>
      </c>
      <c r="AD40" s="38">
        <f t="shared" ref="AD40:AD51" si="56">$AB$5*F40</f>
        <v>33.949376400854945</v>
      </c>
      <c r="AE40" s="38">
        <f t="shared" ref="AE40:AE51" si="57">$AB$5*G40</f>
        <v>33.578773725402996</v>
      </c>
      <c r="AH40" s="144">
        <v>1</v>
      </c>
      <c r="AI40" s="38">
        <f>$AJ$5*C40</f>
        <v>30.556329701673157</v>
      </c>
      <c r="AJ40" s="38">
        <f t="shared" ref="AJ40:AJ51" si="58">$AJ$5*D40</f>
        <v>28.940934395614313</v>
      </c>
      <c r="AK40" s="38">
        <f t="shared" ref="AK40:AK51" si="59">$AJ$5*E40</f>
        <v>29.008504025822855</v>
      </c>
      <c r="AL40" s="38">
        <f t="shared" ref="AL40:AL51" si="60">$AJ$5*F40</f>
        <v>28.291147000712453</v>
      </c>
      <c r="AM40" s="38">
        <f t="shared" ref="AM40:AM51" si="61">$AJ$5*G40</f>
        <v>27.982311437835833</v>
      </c>
    </row>
    <row r="41" spans="2:39" x14ac:dyDescent="0.2">
      <c r="B41" s="190">
        <v>2</v>
      </c>
      <c r="C41" s="469">
        <f>('Detailed Avalerem Tables'!X39+'Detailed Avalerem Tables'!X88+'Detailed Avalerem Tables'!X136+'Detailed Avalerem Tables'!X184+'Detailed Avalerem Tables'!X232+'Detailed Avalerem Tables'!AZ39+'Detailed Avalerem Tables'!AZ88+'Detailed Avalerem Tables'!AZ136+'Detailed Avalerem Tables'!AZ184+'Detailed Avalerem Tables'!AZ232+'Detailed Avalerem Tables'!CB39+'Detailed Avalerem Tables'!CB88+'Detailed Avalerem Tables'!CB136+'Detailed Avalerem Tables'!CB184+'Detailed Avalerem Tables'!CB232+'Detailed Avalerem Tables'!DD39+'Detailed Avalerem Tables'!DD88+'Detailed Avalerem Tables'!DD136+'Detailed Avalerem Tables'!DD184+'Detailed Avalerem Tables'!DD232+'Detailed Avalerem Tables'!EF39+'Detailed Avalerem Tables'!EF88+'Detailed Avalerem Tables'!EF136+'Detailed Avalerem Tables'!EF184+'Detailed Avalerem Tables'!EF232)/25</f>
        <v>31.849172107335839</v>
      </c>
      <c r="D41" s="474">
        <f>('Detailed Avalerem Tables'!Y39+'Detailed Avalerem Tables'!Y88+'Detailed Avalerem Tables'!Y136+'Detailed Avalerem Tables'!Y184+'Detailed Avalerem Tables'!Y232+'Detailed Avalerem Tables'!BA39+'Detailed Avalerem Tables'!BA88+'Detailed Avalerem Tables'!BA136+'Detailed Avalerem Tables'!BA184+'Detailed Avalerem Tables'!BA232+'Detailed Avalerem Tables'!CC39+'Detailed Avalerem Tables'!CC88+'Detailed Avalerem Tables'!CC136+'Detailed Avalerem Tables'!CC184+'Detailed Avalerem Tables'!CC232+'Detailed Avalerem Tables'!DE39+'Detailed Avalerem Tables'!DE88+'Detailed Avalerem Tables'!DE136+'Detailed Avalerem Tables'!DE184+'Detailed Avalerem Tables'!DE232+'Detailed Avalerem Tables'!EG39+'Detailed Avalerem Tables'!EG88+'Detailed Avalerem Tables'!EG136+'Detailed Avalerem Tables'!EG184+'Detailed Avalerem Tables'!EG232)/25</f>
        <v>30.222749043448452</v>
      </c>
      <c r="E41" s="473">
        <f>('Detailed Avalerem Tables'!Z39+'Detailed Avalerem Tables'!Z88+'Detailed Avalerem Tables'!Z136+'Detailed Avalerem Tables'!Z184+'Detailed Avalerem Tables'!Z232+'Detailed Avalerem Tables'!BB39+'Detailed Avalerem Tables'!BB88+'Detailed Avalerem Tables'!BB136+'Detailed Avalerem Tables'!BB184+'Detailed Avalerem Tables'!BB232+'Detailed Avalerem Tables'!CD39+'Detailed Avalerem Tables'!CD88+'Detailed Avalerem Tables'!CD136+'Detailed Avalerem Tables'!CD184+'Detailed Avalerem Tables'!CD232+'Detailed Avalerem Tables'!DF39+'Detailed Avalerem Tables'!DF88+'Detailed Avalerem Tables'!DF136+'Detailed Avalerem Tables'!DF184+'Detailed Avalerem Tables'!DF232+'Detailed Avalerem Tables'!EH39+'Detailed Avalerem Tables'!EH88+'Detailed Avalerem Tables'!EH136+'Detailed Avalerem Tables'!EH184+'Detailed Avalerem Tables'!EH232)/25</f>
        <v>30.249436277327128</v>
      </c>
      <c r="F41" s="471">
        <f>('Detailed Avalerem Tables'!AA39+'Detailed Avalerem Tables'!AA88+'Detailed Avalerem Tables'!AA136+'Detailed Avalerem Tables'!AA184+'Detailed Avalerem Tables'!AA232+'Detailed Avalerem Tables'!BC39+'Detailed Avalerem Tables'!BC88+'Detailed Avalerem Tables'!BC136+'Detailed Avalerem Tables'!BC184+'Detailed Avalerem Tables'!BC232+'Detailed Avalerem Tables'!CE39+'Detailed Avalerem Tables'!CE88+'Detailed Avalerem Tables'!CE136+'Detailed Avalerem Tables'!CE184+'Detailed Avalerem Tables'!CE232+'Detailed Avalerem Tables'!DG39+'Detailed Avalerem Tables'!DG88+'Detailed Avalerem Tables'!DG136+'Detailed Avalerem Tables'!DG184+'Detailed Avalerem Tables'!DG232+'Detailed Avalerem Tables'!EI39+'Detailed Avalerem Tables'!EI88+'Detailed Avalerem Tables'!EI136+'Detailed Avalerem Tables'!EI184+'Detailed Avalerem Tables'!EI232)/25</f>
        <v>29.551266277812363</v>
      </c>
      <c r="G41" s="122">
        <f>('Detailed Avalerem Tables'!AB39+'Detailed Avalerem Tables'!AB88+'Detailed Avalerem Tables'!AB136+'Detailed Avalerem Tables'!AB184+'Detailed Avalerem Tables'!AB232+'Detailed Avalerem Tables'!BD39+'Detailed Avalerem Tables'!BD88+'Detailed Avalerem Tables'!BD136+'Detailed Avalerem Tables'!BD184+'Detailed Avalerem Tables'!BD232+'Detailed Avalerem Tables'!CF39+'Detailed Avalerem Tables'!CF88+'Detailed Avalerem Tables'!CF136+'Detailed Avalerem Tables'!CF184+'Detailed Avalerem Tables'!CF232+'Detailed Avalerem Tables'!DH39+'Detailed Avalerem Tables'!DH88+'Detailed Avalerem Tables'!DH136+'Detailed Avalerem Tables'!DH184+'Detailed Avalerem Tables'!DH232+'Detailed Avalerem Tables'!EJ39+'Detailed Avalerem Tables'!EJ88+'Detailed Avalerem Tables'!EJ136+'Detailed Avalerem Tables'!EJ184+'Detailed Avalerem Tables'!EJ232)/25</f>
        <v>29.303635221686054</v>
      </c>
      <c r="J41" s="144">
        <v>2</v>
      </c>
      <c r="K41" s="38">
        <f t="shared" ref="K41:K51" si="62">$L$5*C41</f>
        <v>63.698344214671678</v>
      </c>
      <c r="L41" s="38">
        <f t="shared" si="46"/>
        <v>60.445498086896905</v>
      </c>
      <c r="M41" s="38">
        <f t="shared" si="47"/>
        <v>60.498872554654255</v>
      </c>
      <c r="N41" s="38">
        <f t="shared" si="48"/>
        <v>59.102532555624727</v>
      </c>
      <c r="O41" s="38">
        <f t="shared" si="49"/>
        <v>58.607270443372109</v>
      </c>
      <c r="R41" s="144">
        <v>2</v>
      </c>
      <c r="S41" s="38">
        <f t="shared" ref="S41:S51" si="63">$T$5*C41</f>
        <v>47.773758161003755</v>
      </c>
      <c r="T41" s="38">
        <f t="shared" si="50"/>
        <v>45.334123565172675</v>
      </c>
      <c r="U41" s="38">
        <f t="shared" si="51"/>
        <v>45.374154415990688</v>
      </c>
      <c r="V41" s="38">
        <f t="shared" si="52"/>
        <v>44.326899416718547</v>
      </c>
      <c r="W41" s="38">
        <f t="shared" si="53"/>
        <v>43.955452832529083</v>
      </c>
      <c r="Z41" s="144">
        <v>2</v>
      </c>
      <c r="AA41" s="38">
        <f t="shared" ref="AA41:AA51" si="64">$AB$5*C41</f>
        <v>38.219006528803007</v>
      </c>
      <c r="AB41" s="38">
        <f t="shared" si="54"/>
        <v>36.26729885213814</v>
      </c>
      <c r="AC41" s="38">
        <f t="shared" si="55"/>
        <v>36.299323532792549</v>
      </c>
      <c r="AD41" s="38">
        <f t="shared" si="56"/>
        <v>35.461519533374833</v>
      </c>
      <c r="AE41" s="38">
        <f t="shared" si="57"/>
        <v>35.164362266023261</v>
      </c>
      <c r="AH41" s="144">
        <v>2</v>
      </c>
      <c r="AI41" s="38">
        <f t="shared" ref="AI41:AI51" si="65">$AJ$5*C41</f>
        <v>31.849172107335839</v>
      </c>
      <c r="AJ41" s="38">
        <f t="shared" si="58"/>
        <v>30.222749043448452</v>
      </c>
      <c r="AK41" s="38">
        <f t="shared" si="59"/>
        <v>30.249436277327128</v>
      </c>
      <c r="AL41" s="38">
        <f t="shared" si="60"/>
        <v>29.551266277812363</v>
      </c>
      <c r="AM41" s="38">
        <f t="shared" si="61"/>
        <v>29.303635221686054</v>
      </c>
    </row>
    <row r="42" spans="2:39" x14ac:dyDescent="0.2">
      <c r="B42" s="190">
        <v>3</v>
      </c>
      <c r="C42" s="469">
        <f>('Detailed Avalerem Tables'!X40+'Detailed Avalerem Tables'!X89+'Detailed Avalerem Tables'!X137+'Detailed Avalerem Tables'!X185+'Detailed Avalerem Tables'!X233+'Detailed Avalerem Tables'!AZ40+'Detailed Avalerem Tables'!AZ89+'Detailed Avalerem Tables'!AZ137+'Detailed Avalerem Tables'!AZ185+'Detailed Avalerem Tables'!AZ233+'Detailed Avalerem Tables'!CB40+'Detailed Avalerem Tables'!CB89+'Detailed Avalerem Tables'!CB137+'Detailed Avalerem Tables'!CB185+'Detailed Avalerem Tables'!CB233+'Detailed Avalerem Tables'!DD40+'Detailed Avalerem Tables'!DD89+'Detailed Avalerem Tables'!DD137+'Detailed Avalerem Tables'!DD185+'Detailed Avalerem Tables'!DD233+'Detailed Avalerem Tables'!EF40+'Detailed Avalerem Tables'!EF89+'Detailed Avalerem Tables'!EF137+'Detailed Avalerem Tables'!EF185+'Detailed Avalerem Tables'!EF233)/25</f>
        <v>33.142014512998522</v>
      </c>
      <c r="D42" s="474">
        <f>('Detailed Avalerem Tables'!Y40+'Detailed Avalerem Tables'!Y89+'Detailed Avalerem Tables'!Y137+'Detailed Avalerem Tables'!Y185+'Detailed Avalerem Tables'!Y233+'Detailed Avalerem Tables'!BA40+'Detailed Avalerem Tables'!BA89+'Detailed Avalerem Tables'!BA137+'Detailed Avalerem Tables'!BA185+'Detailed Avalerem Tables'!BA233+'Detailed Avalerem Tables'!CC40+'Detailed Avalerem Tables'!CC89+'Detailed Avalerem Tables'!CC137+'Detailed Avalerem Tables'!CC185+'Detailed Avalerem Tables'!CC233+'Detailed Avalerem Tables'!DE40+'Detailed Avalerem Tables'!DE89+'Detailed Avalerem Tables'!DE137+'Detailed Avalerem Tables'!DE185+'Detailed Avalerem Tables'!DE233+'Detailed Avalerem Tables'!EG40+'Detailed Avalerem Tables'!EG89+'Detailed Avalerem Tables'!EG137+'Detailed Avalerem Tables'!EG185+'Detailed Avalerem Tables'!EG233)/25</f>
        <v>31.504563691282584</v>
      </c>
      <c r="E42" s="473">
        <f>('Detailed Avalerem Tables'!Z40+'Detailed Avalerem Tables'!Z89+'Detailed Avalerem Tables'!Z137+'Detailed Avalerem Tables'!Z185+'Detailed Avalerem Tables'!Z233+'Detailed Avalerem Tables'!BB40+'Detailed Avalerem Tables'!BB89+'Detailed Avalerem Tables'!BB137+'Detailed Avalerem Tables'!BB185+'Detailed Avalerem Tables'!BB233+'Detailed Avalerem Tables'!CD40+'Detailed Avalerem Tables'!CD89+'Detailed Avalerem Tables'!CD137+'Detailed Avalerem Tables'!CD185+'Detailed Avalerem Tables'!CD233+'Detailed Avalerem Tables'!DF40+'Detailed Avalerem Tables'!DF89+'Detailed Avalerem Tables'!DF137+'Detailed Avalerem Tables'!DF185+'Detailed Avalerem Tables'!DF233+'Detailed Avalerem Tables'!EH40+'Detailed Avalerem Tables'!EH89+'Detailed Avalerem Tables'!EH137+'Detailed Avalerem Tables'!EH185+'Detailed Avalerem Tables'!EH233)/25</f>
        <v>31.490368528831418</v>
      </c>
      <c r="F42" s="471">
        <f>('Detailed Avalerem Tables'!AA40+'Detailed Avalerem Tables'!AA89+'Detailed Avalerem Tables'!AA137+'Detailed Avalerem Tables'!AA185+'Detailed Avalerem Tables'!AA233+'Detailed Avalerem Tables'!BC40+'Detailed Avalerem Tables'!BC89+'Detailed Avalerem Tables'!BC137+'Detailed Avalerem Tables'!BC185+'Detailed Avalerem Tables'!BC233+'Detailed Avalerem Tables'!CE40+'Detailed Avalerem Tables'!CE89+'Detailed Avalerem Tables'!CE137+'Detailed Avalerem Tables'!CE185+'Detailed Avalerem Tables'!CE233+'Detailed Avalerem Tables'!DG40+'Detailed Avalerem Tables'!DG89+'Detailed Avalerem Tables'!DG137+'Detailed Avalerem Tables'!DG185+'Detailed Avalerem Tables'!DG233+'Detailed Avalerem Tables'!EI40+'Detailed Avalerem Tables'!EI89+'Detailed Avalerem Tables'!EI137+'Detailed Avalerem Tables'!EI185+'Detailed Avalerem Tables'!EI233)/25</f>
        <v>30.811385554912281</v>
      </c>
      <c r="G42" s="122">
        <f>('Detailed Avalerem Tables'!AB40+'Detailed Avalerem Tables'!AB89+'Detailed Avalerem Tables'!AB137+'Detailed Avalerem Tables'!AB185+'Detailed Avalerem Tables'!AB233+'Detailed Avalerem Tables'!BD40+'Detailed Avalerem Tables'!BD89+'Detailed Avalerem Tables'!BD137+'Detailed Avalerem Tables'!BD185+'Detailed Avalerem Tables'!BD233+'Detailed Avalerem Tables'!CF40+'Detailed Avalerem Tables'!CF89+'Detailed Avalerem Tables'!CF137+'Detailed Avalerem Tables'!CF185+'Detailed Avalerem Tables'!CF233+'Detailed Avalerem Tables'!DH40+'Detailed Avalerem Tables'!DH89+'Detailed Avalerem Tables'!DH137+'Detailed Avalerem Tables'!DH185+'Detailed Avalerem Tables'!DH233+'Detailed Avalerem Tables'!EJ40+'Detailed Avalerem Tables'!EJ89+'Detailed Avalerem Tables'!EJ137+'Detailed Avalerem Tables'!EJ185+'Detailed Avalerem Tables'!EJ233)/25</f>
        <v>30.624959005536269</v>
      </c>
      <c r="J42" s="144">
        <v>3</v>
      </c>
      <c r="K42" s="38">
        <f t="shared" si="62"/>
        <v>66.284029025997043</v>
      </c>
      <c r="L42" s="38">
        <f t="shared" si="46"/>
        <v>63.009127382565168</v>
      </c>
      <c r="M42" s="38">
        <f t="shared" si="47"/>
        <v>62.980737057662836</v>
      </c>
      <c r="N42" s="38">
        <f t="shared" si="48"/>
        <v>61.622771109824562</v>
      </c>
      <c r="O42" s="38">
        <f t="shared" si="49"/>
        <v>61.249918011072538</v>
      </c>
      <c r="R42" s="144">
        <v>3</v>
      </c>
      <c r="S42" s="38">
        <f t="shared" si="63"/>
        <v>49.713021769497786</v>
      </c>
      <c r="T42" s="38">
        <f t="shared" si="50"/>
        <v>47.256845536923876</v>
      </c>
      <c r="U42" s="38">
        <f t="shared" si="51"/>
        <v>47.235552793247123</v>
      </c>
      <c r="V42" s="38">
        <f t="shared" si="52"/>
        <v>46.217078332368423</v>
      </c>
      <c r="W42" s="38">
        <f t="shared" si="53"/>
        <v>45.937438508304403</v>
      </c>
      <c r="Z42" s="144">
        <v>3</v>
      </c>
      <c r="AA42" s="38">
        <f t="shared" si="64"/>
        <v>39.770417415598224</v>
      </c>
      <c r="AB42" s="38">
        <f t="shared" si="54"/>
        <v>37.805476429539098</v>
      </c>
      <c r="AC42" s="38">
        <f t="shared" si="55"/>
        <v>37.788442234597703</v>
      </c>
      <c r="AD42" s="38">
        <f t="shared" si="56"/>
        <v>36.973662665894736</v>
      </c>
      <c r="AE42" s="38">
        <f t="shared" si="57"/>
        <v>36.749950806643518</v>
      </c>
      <c r="AH42" s="144">
        <v>3</v>
      </c>
      <c r="AI42" s="38">
        <f t="shared" si="65"/>
        <v>33.142014512998522</v>
      </c>
      <c r="AJ42" s="38">
        <f t="shared" si="58"/>
        <v>31.504563691282584</v>
      </c>
      <c r="AK42" s="38">
        <f t="shared" si="59"/>
        <v>31.490368528831418</v>
      </c>
      <c r="AL42" s="38">
        <f t="shared" si="60"/>
        <v>30.811385554912281</v>
      </c>
      <c r="AM42" s="38">
        <f t="shared" si="61"/>
        <v>30.624959005536269</v>
      </c>
    </row>
    <row r="43" spans="2:39" x14ac:dyDescent="0.2">
      <c r="B43" s="190">
        <v>4</v>
      </c>
      <c r="C43" s="469">
        <f>('Detailed Avalerem Tables'!X41+'Detailed Avalerem Tables'!X90+'Detailed Avalerem Tables'!X138+'Detailed Avalerem Tables'!X186+'Detailed Avalerem Tables'!X234+'Detailed Avalerem Tables'!AZ41+'Detailed Avalerem Tables'!AZ90+'Detailed Avalerem Tables'!AZ138+'Detailed Avalerem Tables'!AZ186+'Detailed Avalerem Tables'!AZ234+'Detailed Avalerem Tables'!CB41+'Detailed Avalerem Tables'!CB90+'Detailed Avalerem Tables'!CB138+'Detailed Avalerem Tables'!CB186+'Detailed Avalerem Tables'!CB234+'Detailed Avalerem Tables'!DD41+'Detailed Avalerem Tables'!DD90+'Detailed Avalerem Tables'!DD138+'Detailed Avalerem Tables'!DD186+'Detailed Avalerem Tables'!DD234+'Detailed Avalerem Tables'!EF41+'Detailed Avalerem Tables'!EF90+'Detailed Avalerem Tables'!EF138+'Detailed Avalerem Tables'!EF186+'Detailed Avalerem Tables'!EF234)/25</f>
        <v>33.142014512998522</v>
      </c>
      <c r="D43" s="474">
        <f>('Detailed Avalerem Tables'!Y41+'Detailed Avalerem Tables'!Y90+'Detailed Avalerem Tables'!Y138+'Detailed Avalerem Tables'!Y186+'Detailed Avalerem Tables'!Y234+'Detailed Avalerem Tables'!BA41+'Detailed Avalerem Tables'!BA90+'Detailed Avalerem Tables'!BA138+'Detailed Avalerem Tables'!BA186+'Detailed Avalerem Tables'!BA234+'Detailed Avalerem Tables'!CC41+'Detailed Avalerem Tables'!CC90+'Detailed Avalerem Tables'!CC138+'Detailed Avalerem Tables'!CC186+'Detailed Avalerem Tables'!CC234+'Detailed Avalerem Tables'!DE41+'Detailed Avalerem Tables'!DE90+'Detailed Avalerem Tables'!DE138+'Detailed Avalerem Tables'!DE186+'Detailed Avalerem Tables'!DE234+'Detailed Avalerem Tables'!EG41+'Detailed Avalerem Tables'!EG90+'Detailed Avalerem Tables'!EG138+'Detailed Avalerem Tables'!EG186+'Detailed Avalerem Tables'!EG234)/25</f>
        <v>31.504563691282584</v>
      </c>
      <c r="E43" s="473">
        <f>('Detailed Avalerem Tables'!Z41+'Detailed Avalerem Tables'!Z90+'Detailed Avalerem Tables'!Z138+'Detailed Avalerem Tables'!Z186+'Detailed Avalerem Tables'!Z234+'Detailed Avalerem Tables'!BB41+'Detailed Avalerem Tables'!BB90+'Detailed Avalerem Tables'!BB138+'Detailed Avalerem Tables'!BB186+'Detailed Avalerem Tables'!BB234+'Detailed Avalerem Tables'!CD41+'Detailed Avalerem Tables'!CD90+'Detailed Avalerem Tables'!CD138+'Detailed Avalerem Tables'!CD186+'Detailed Avalerem Tables'!CD234+'Detailed Avalerem Tables'!DF41+'Detailed Avalerem Tables'!DF90+'Detailed Avalerem Tables'!DF138+'Detailed Avalerem Tables'!DF186+'Detailed Avalerem Tables'!DF234+'Detailed Avalerem Tables'!EH41+'Detailed Avalerem Tables'!EH90+'Detailed Avalerem Tables'!EH138+'Detailed Avalerem Tables'!EH186+'Detailed Avalerem Tables'!EH234)/25</f>
        <v>31.490368528831418</v>
      </c>
      <c r="F43" s="471">
        <f>('Detailed Avalerem Tables'!AA41+'Detailed Avalerem Tables'!AA90+'Detailed Avalerem Tables'!AA138+'Detailed Avalerem Tables'!AA186+'Detailed Avalerem Tables'!AA234+'Detailed Avalerem Tables'!BC41+'Detailed Avalerem Tables'!BC90+'Detailed Avalerem Tables'!BC138+'Detailed Avalerem Tables'!BC186+'Detailed Avalerem Tables'!BC234+'Detailed Avalerem Tables'!CE41+'Detailed Avalerem Tables'!CE90+'Detailed Avalerem Tables'!CE138+'Detailed Avalerem Tables'!CE186+'Detailed Avalerem Tables'!CE234+'Detailed Avalerem Tables'!DG41+'Detailed Avalerem Tables'!DG90+'Detailed Avalerem Tables'!DG138+'Detailed Avalerem Tables'!DG186+'Detailed Avalerem Tables'!DG234+'Detailed Avalerem Tables'!EI41+'Detailed Avalerem Tables'!EI90+'Detailed Avalerem Tables'!EI138+'Detailed Avalerem Tables'!EI186+'Detailed Avalerem Tables'!EI234)/25</f>
        <v>30.811385554912281</v>
      </c>
      <c r="G43" s="122">
        <f>('Detailed Avalerem Tables'!AB41+'Detailed Avalerem Tables'!AB90+'Detailed Avalerem Tables'!AB138+'Detailed Avalerem Tables'!AB186+'Detailed Avalerem Tables'!AB234+'Detailed Avalerem Tables'!BD41+'Detailed Avalerem Tables'!BD90+'Detailed Avalerem Tables'!BD138+'Detailed Avalerem Tables'!BD186+'Detailed Avalerem Tables'!BD234+'Detailed Avalerem Tables'!CF41+'Detailed Avalerem Tables'!CF90+'Detailed Avalerem Tables'!CF138+'Detailed Avalerem Tables'!CF186+'Detailed Avalerem Tables'!CF234+'Detailed Avalerem Tables'!DH41+'Detailed Avalerem Tables'!DH90+'Detailed Avalerem Tables'!DH138+'Detailed Avalerem Tables'!DH186+'Detailed Avalerem Tables'!DH234+'Detailed Avalerem Tables'!EJ41+'Detailed Avalerem Tables'!EJ90+'Detailed Avalerem Tables'!EJ138+'Detailed Avalerem Tables'!EJ186+'Detailed Avalerem Tables'!EJ234)/25</f>
        <v>30.624959005536269</v>
      </c>
      <c r="J43" s="144">
        <v>4</v>
      </c>
      <c r="K43" s="38">
        <f t="shared" si="62"/>
        <v>66.284029025997043</v>
      </c>
      <c r="L43" s="38">
        <f t="shared" si="46"/>
        <v>63.009127382565168</v>
      </c>
      <c r="M43" s="38">
        <f t="shared" si="47"/>
        <v>62.980737057662836</v>
      </c>
      <c r="N43" s="38">
        <f t="shared" si="48"/>
        <v>61.622771109824562</v>
      </c>
      <c r="O43" s="38">
        <f t="shared" si="49"/>
        <v>61.249918011072538</v>
      </c>
      <c r="R43" s="144">
        <v>4</v>
      </c>
      <c r="S43" s="38">
        <f t="shared" si="63"/>
        <v>49.713021769497786</v>
      </c>
      <c r="T43" s="38">
        <f t="shared" si="50"/>
        <v>47.256845536923876</v>
      </c>
      <c r="U43" s="38">
        <f t="shared" si="51"/>
        <v>47.235552793247123</v>
      </c>
      <c r="V43" s="38">
        <f t="shared" si="52"/>
        <v>46.217078332368423</v>
      </c>
      <c r="W43" s="38">
        <f t="shared" si="53"/>
        <v>45.937438508304403</v>
      </c>
      <c r="Z43" s="144">
        <v>4</v>
      </c>
      <c r="AA43" s="38">
        <f t="shared" si="64"/>
        <v>39.770417415598224</v>
      </c>
      <c r="AB43" s="38">
        <f t="shared" si="54"/>
        <v>37.805476429539098</v>
      </c>
      <c r="AC43" s="38">
        <f t="shared" si="55"/>
        <v>37.788442234597703</v>
      </c>
      <c r="AD43" s="38">
        <f t="shared" si="56"/>
        <v>36.973662665894736</v>
      </c>
      <c r="AE43" s="38">
        <f t="shared" si="57"/>
        <v>36.749950806643518</v>
      </c>
      <c r="AH43" s="144">
        <v>4</v>
      </c>
      <c r="AI43" s="38">
        <f t="shared" si="65"/>
        <v>33.142014512998522</v>
      </c>
      <c r="AJ43" s="38">
        <f t="shared" si="58"/>
        <v>31.504563691282584</v>
      </c>
      <c r="AK43" s="38">
        <f t="shared" si="59"/>
        <v>31.490368528831418</v>
      </c>
      <c r="AL43" s="38">
        <f t="shared" si="60"/>
        <v>30.811385554912281</v>
      </c>
      <c r="AM43" s="38">
        <f t="shared" si="61"/>
        <v>30.624959005536269</v>
      </c>
    </row>
    <row r="44" spans="2:39" x14ac:dyDescent="0.2">
      <c r="B44" s="190">
        <v>5</v>
      </c>
      <c r="C44" s="469">
        <f>('Detailed Avalerem Tables'!X42+'Detailed Avalerem Tables'!X91+'Detailed Avalerem Tables'!X139+'Detailed Avalerem Tables'!X187+'Detailed Avalerem Tables'!X235+'Detailed Avalerem Tables'!AZ42+'Detailed Avalerem Tables'!AZ91+'Detailed Avalerem Tables'!AZ139+'Detailed Avalerem Tables'!AZ187+'Detailed Avalerem Tables'!AZ235+'Detailed Avalerem Tables'!CB42+'Detailed Avalerem Tables'!CB91+'Detailed Avalerem Tables'!CB139+'Detailed Avalerem Tables'!CB187+'Detailed Avalerem Tables'!CB235+'Detailed Avalerem Tables'!DD42+'Detailed Avalerem Tables'!DD91+'Detailed Avalerem Tables'!DD139+'Detailed Avalerem Tables'!DD187+'Detailed Avalerem Tables'!DD235+'Detailed Avalerem Tables'!EF42+'Detailed Avalerem Tables'!EF91+'Detailed Avalerem Tables'!EF139+'Detailed Avalerem Tables'!EF187+'Detailed Avalerem Tables'!EF235)/25</f>
        <v>31.849172107335839</v>
      </c>
      <c r="D44" s="474">
        <f>('Detailed Avalerem Tables'!Y42+'Detailed Avalerem Tables'!Y91+'Detailed Avalerem Tables'!Y139+'Detailed Avalerem Tables'!Y187+'Detailed Avalerem Tables'!Y235+'Detailed Avalerem Tables'!BA42+'Detailed Avalerem Tables'!BA91+'Detailed Avalerem Tables'!BA139+'Detailed Avalerem Tables'!BA187+'Detailed Avalerem Tables'!BA235+'Detailed Avalerem Tables'!CC42+'Detailed Avalerem Tables'!CC91+'Detailed Avalerem Tables'!CC139+'Detailed Avalerem Tables'!CC187+'Detailed Avalerem Tables'!CC235+'Detailed Avalerem Tables'!DE42+'Detailed Avalerem Tables'!DE91+'Detailed Avalerem Tables'!DE139+'Detailed Avalerem Tables'!DE187+'Detailed Avalerem Tables'!DE235+'Detailed Avalerem Tables'!EG42+'Detailed Avalerem Tables'!EG91+'Detailed Avalerem Tables'!EG139+'Detailed Avalerem Tables'!EG187+'Detailed Avalerem Tables'!EG235)/25</f>
        <v>30.222749043448452</v>
      </c>
      <c r="E44" s="473">
        <f>('Detailed Avalerem Tables'!Z42+'Detailed Avalerem Tables'!Z91+'Detailed Avalerem Tables'!Z139+'Detailed Avalerem Tables'!Z187+'Detailed Avalerem Tables'!Z235+'Detailed Avalerem Tables'!BB42+'Detailed Avalerem Tables'!BB91+'Detailed Avalerem Tables'!BB139+'Detailed Avalerem Tables'!BB187+'Detailed Avalerem Tables'!BB235+'Detailed Avalerem Tables'!CD42+'Detailed Avalerem Tables'!CD91+'Detailed Avalerem Tables'!CD139+'Detailed Avalerem Tables'!CD187+'Detailed Avalerem Tables'!CD235+'Detailed Avalerem Tables'!DF42+'Detailed Avalerem Tables'!DF91+'Detailed Avalerem Tables'!DF139+'Detailed Avalerem Tables'!DF187+'Detailed Avalerem Tables'!DF235+'Detailed Avalerem Tables'!EH42+'Detailed Avalerem Tables'!EH91+'Detailed Avalerem Tables'!EH139+'Detailed Avalerem Tables'!EH187+'Detailed Avalerem Tables'!EH235)/25</f>
        <v>30.249436277327131</v>
      </c>
      <c r="F44" s="471">
        <f>('Detailed Avalerem Tables'!AA42+'Detailed Avalerem Tables'!AA91+'Detailed Avalerem Tables'!AA139+'Detailed Avalerem Tables'!AA187+'Detailed Avalerem Tables'!AA235+'Detailed Avalerem Tables'!BC42+'Detailed Avalerem Tables'!BC91+'Detailed Avalerem Tables'!BC139+'Detailed Avalerem Tables'!BC187+'Detailed Avalerem Tables'!BC235+'Detailed Avalerem Tables'!CE42+'Detailed Avalerem Tables'!CE91+'Detailed Avalerem Tables'!CE139+'Detailed Avalerem Tables'!CE187+'Detailed Avalerem Tables'!CE235+'Detailed Avalerem Tables'!DG42+'Detailed Avalerem Tables'!DG91+'Detailed Avalerem Tables'!DG139+'Detailed Avalerem Tables'!DG187+'Detailed Avalerem Tables'!DG235+'Detailed Avalerem Tables'!EI42+'Detailed Avalerem Tables'!EI91+'Detailed Avalerem Tables'!EI139+'Detailed Avalerem Tables'!EI187+'Detailed Avalerem Tables'!EI235)/25</f>
        <v>29.551266277812363</v>
      </c>
      <c r="G44" s="122">
        <f>('Detailed Avalerem Tables'!AB42+'Detailed Avalerem Tables'!AB91+'Detailed Avalerem Tables'!AB139+'Detailed Avalerem Tables'!AB187+'Detailed Avalerem Tables'!AB235+'Detailed Avalerem Tables'!BD42+'Detailed Avalerem Tables'!BD91+'Detailed Avalerem Tables'!BD139+'Detailed Avalerem Tables'!BD187+'Detailed Avalerem Tables'!BD235+'Detailed Avalerem Tables'!CF42+'Detailed Avalerem Tables'!CF91+'Detailed Avalerem Tables'!CF139+'Detailed Avalerem Tables'!CF187+'Detailed Avalerem Tables'!CF235+'Detailed Avalerem Tables'!DH42+'Detailed Avalerem Tables'!DH91+'Detailed Avalerem Tables'!DH139+'Detailed Avalerem Tables'!DH187+'Detailed Avalerem Tables'!DH235+'Detailed Avalerem Tables'!EJ42+'Detailed Avalerem Tables'!EJ91+'Detailed Avalerem Tables'!EJ139+'Detailed Avalerem Tables'!EJ187+'Detailed Avalerem Tables'!EJ235)/25</f>
        <v>29.303635221686054</v>
      </c>
      <c r="J44" s="144">
        <v>5</v>
      </c>
      <c r="K44" s="38">
        <f t="shared" si="62"/>
        <v>63.698344214671678</v>
      </c>
      <c r="L44" s="38">
        <f t="shared" si="46"/>
        <v>60.445498086896905</v>
      </c>
      <c r="M44" s="38">
        <f t="shared" si="47"/>
        <v>60.498872554654263</v>
      </c>
      <c r="N44" s="38">
        <f t="shared" si="48"/>
        <v>59.102532555624727</v>
      </c>
      <c r="O44" s="38">
        <f t="shared" si="49"/>
        <v>58.607270443372109</v>
      </c>
      <c r="R44" s="144">
        <v>5</v>
      </c>
      <c r="S44" s="38">
        <f t="shared" si="63"/>
        <v>47.773758161003755</v>
      </c>
      <c r="T44" s="38">
        <f t="shared" si="50"/>
        <v>45.334123565172675</v>
      </c>
      <c r="U44" s="38">
        <f t="shared" si="51"/>
        <v>45.374154415990695</v>
      </c>
      <c r="V44" s="38">
        <f t="shared" si="52"/>
        <v>44.326899416718547</v>
      </c>
      <c r="W44" s="38">
        <f t="shared" si="53"/>
        <v>43.955452832529083</v>
      </c>
      <c r="Z44" s="144">
        <v>5</v>
      </c>
      <c r="AA44" s="38">
        <f t="shared" si="64"/>
        <v>38.219006528803007</v>
      </c>
      <c r="AB44" s="38">
        <f t="shared" si="54"/>
        <v>36.26729885213814</v>
      </c>
      <c r="AC44" s="38">
        <f t="shared" si="55"/>
        <v>36.299323532792556</v>
      </c>
      <c r="AD44" s="38">
        <f t="shared" si="56"/>
        <v>35.461519533374833</v>
      </c>
      <c r="AE44" s="38">
        <f t="shared" si="57"/>
        <v>35.164362266023261</v>
      </c>
      <c r="AH44" s="144">
        <v>5</v>
      </c>
      <c r="AI44" s="38">
        <f t="shared" si="65"/>
        <v>31.849172107335839</v>
      </c>
      <c r="AJ44" s="38">
        <f t="shared" si="58"/>
        <v>30.222749043448452</v>
      </c>
      <c r="AK44" s="38">
        <f t="shared" si="59"/>
        <v>30.249436277327131</v>
      </c>
      <c r="AL44" s="38">
        <f t="shared" si="60"/>
        <v>29.551266277812363</v>
      </c>
      <c r="AM44" s="38">
        <f t="shared" si="61"/>
        <v>29.303635221686054</v>
      </c>
    </row>
    <row r="45" spans="2:39" x14ac:dyDescent="0.2">
      <c r="B45" s="190">
        <v>6</v>
      </c>
      <c r="C45" s="469">
        <f>('Detailed Avalerem Tables'!X43+'Detailed Avalerem Tables'!X92+'Detailed Avalerem Tables'!X140+'Detailed Avalerem Tables'!X188+'Detailed Avalerem Tables'!X236+'Detailed Avalerem Tables'!AZ43+'Detailed Avalerem Tables'!AZ92+'Detailed Avalerem Tables'!AZ140+'Detailed Avalerem Tables'!AZ188+'Detailed Avalerem Tables'!AZ236+'Detailed Avalerem Tables'!CB43+'Detailed Avalerem Tables'!CB92+'Detailed Avalerem Tables'!CB140+'Detailed Avalerem Tables'!CB188+'Detailed Avalerem Tables'!CB236+'Detailed Avalerem Tables'!DD43+'Detailed Avalerem Tables'!DD92+'Detailed Avalerem Tables'!DD140+'Detailed Avalerem Tables'!DD188+'Detailed Avalerem Tables'!DD236+'Detailed Avalerem Tables'!EF43+'Detailed Avalerem Tables'!EF92+'Detailed Avalerem Tables'!EF140+'Detailed Avalerem Tables'!EF188+'Detailed Avalerem Tables'!EF236)/25</f>
        <v>30.556329701673157</v>
      </c>
      <c r="D45" s="474">
        <f>('Detailed Avalerem Tables'!Y43+'Detailed Avalerem Tables'!Y92+'Detailed Avalerem Tables'!Y140+'Detailed Avalerem Tables'!Y188+'Detailed Avalerem Tables'!Y236+'Detailed Avalerem Tables'!BA43+'Detailed Avalerem Tables'!BA92+'Detailed Avalerem Tables'!BA140+'Detailed Avalerem Tables'!BA188+'Detailed Avalerem Tables'!BA236+'Detailed Avalerem Tables'!CC43+'Detailed Avalerem Tables'!CC92+'Detailed Avalerem Tables'!CC140+'Detailed Avalerem Tables'!CC188+'Detailed Avalerem Tables'!CC236+'Detailed Avalerem Tables'!DE43+'Detailed Avalerem Tables'!DE92+'Detailed Avalerem Tables'!DE140+'Detailed Avalerem Tables'!DE188+'Detailed Avalerem Tables'!DE236+'Detailed Avalerem Tables'!EG43+'Detailed Avalerem Tables'!EG92+'Detailed Avalerem Tables'!EG140+'Detailed Avalerem Tables'!EG188+'Detailed Avalerem Tables'!EG236)/25</f>
        <v>28.940934395614313</v>
      </c>
      <c r="E45" s="473">
        <f>('Detailed Avalerem Tables'!Z43+'Detailed Avalerem Tables'!Z92+'Detailed Avalerem Tables'!Z140+'Detailed Avalerem Tables'!Z188+'Detailed Avalerem Tables'!Z236+'Detailed Avalerem Tables'!BB43+'Detailed Avalerem Tables'!BB92+'Detailed Avalerem Tables'!BB140+'Detailed Avalerem Tables'!BB188+'Detailed Avalerem Tables'!BB236+'Detailed Avalerem Tables'!CD43+'Detailed Avalerem Tables'!CD92+'Detailed Avalerem Tables'!CD140+'Detailed Avalerem Tables'!CD188+'Detailed Avalerem Tables'!CD236+'Detailed Avalerem Tables'!DF43+'Detailed Avalerem Tables'!DF92+'Detailed Avalerem Tables'!DF140+'Detailed Avalerem Tables'!DF188+'Detailed Avalerem Tables'!DF236+'Detailed Avalerem Tables'!EH43+'Detailed Avalerem Tables'!EH92+'Detailed Avalerem Tables'!EH140+'Detailed Avalerem Tables'!EH188+'Detailed Avalerem Tables'!EH236)/25</f>
        <v>29.008504025822855</v>
      </c>
      <c r="F45" s="471">
        <f>('Detailed Avalerem Tables'!AA43+'Detailed Avalerem Tables'!AA92+'Detailed Avalerem Tables'!AA140+'Detailed Avalerem Tables'!AA188+'Detailed Avalerem Tables'!AA236+'Detailed Avalerem Tables'!BC43+'Detailed Avalerem Tables'!BC92+'Detailed Avalerem Tables'!BC140+'Detailed Avalerem Tables'!BC188+'Detailed Avalerem Tables'!BC236+'Detailed Avalerem Tables'!CE43+'Detailed Avalerem Tables'!CE92+'Detailed Avalerem Tables'!CE140+'Detailed Avalerem Tables'!CE188+'Detailed Avalerem Tables'!CE236+'Detailed Avalerem Tables'!DG43+'Detailed Avalerem Tables'!DG92+'Detailed Avalerem Tables'!DG140+'Detailed Avalerem Tables'!DG188+'Detailed Avalerem Tables'!DG236+'Detailed Avalerem Tables'!EI43+'Detailed Avalerem Tables'!EI92+'Detailed Avalerem Tables'!EI140+'Detailed Avalerem Tables'!EI188+'Detailed Avalerem Tables'!EI236)/25</f>
        <v>28.291147000712446</v>
      </c>
      <c r="G45" s="122">
        <f>('Detailed Avalerem Tables'!AB43+'Detailed Avalerem Tables'!AB92+'Detailed Avalerem Tables'!AB140+'Detailed Avalerem Tables'!AB188+'Detailed Avalerem Tables'!AB236+'Detailed Avalerem Tables'!BD43+'Detailed Avalerem Tables'!BD92+'Detailed Avalerem Tables'!BD140+'Detailed Avalerem Tables'!BD188+'Detailed Avalerem Tables'!BD236+'Detailed Avalerem Tables'!CF43+'Detailed Avalerem Tables'!CF92+'Detailed Avalerem Tables'!CF140+'Detailed Avalerem Tables'!CF188+'Detailed Avalerem Tables'!CF236+'Detailed Avalerem Tables'!DH43+'Detailed Avalerem Tables'!DH92+'Detailed Avalerem Tables'!DH140+'Detailed Avalerem Tables'!DH188+'Detailed Avalerem Tables'!DH236+'Detailed Avalerem Tables'!EJ43+'Detailed Avalerem Tables'!EJ92+'Detailed Avalerem Tables'!EJ140+'Detailed Avalerem Tables'!EJ188+'Detailed Avalerem Tables'!EJ236)/25</f>
        <v>27.982311437835833</v>
      </c>
      <c r="J45" s="144">
        <v>6</v>
      </c>
      <c r="K45" s="38">
        <f t="shared" si="62"/>
        <v>61.112659403346314</v>
      </c>
      <c r="L45" s="38">
        <f t="shared" si="46"/>
        <v>57.881868791228626</v>
      </c>
      <c r="M45" s="38">
        <f t="shared" si="47"/>
        <v>58.017008051645711</v>
      </c>
      <c r="N45" s="38">
        <f t="shared" si="48"/>
        <v>56.582294001424891</v>
      </c>
      <c r="O45" s="38">
        <f t="shared" si="49"/>
        <v>55.964622875671665</v>
      </c>
      <c r="R45" s="144">
        <v>6</v>
      </c>
      <c r="S45" s="38">
        <f t="shared" si="63"/>
        <v>45.834494552509739</v>
      </c>
      <c r="T45" s="38">
        <f t="shared" si="50"/>
        <v>43.411401593421473</v>
      </c>
      <c r="U45" s="38">
        <f t="shared" si="51"/>
        <v>43.512756038734281</v>
      </c>
      <c r="V45" s="38">
        <f t="shared" si="52"/>
        <v>42.43672050106867</v>
      </c>
      <c r="W45" s="38">
        <f t="shared" si="53"/>
        <v>41.973467156753749</v>
      </c>
      <c r="Z45" s="144">
        <v>6</v>
      </c>
      <c r="AA45" s="38">
        <f t="shared" si="64"/>
        <v>36.66759564200779</v>
      </c>
      <c r="AB45" s="38">
        <f t="shared" si="54"/>
        <v>34.729121274737174</v>
      </c>
      <c r="AC45" s="38">
        <f t="shared" si="55"/>
        <v>34.810204830987423</v>
      </c>
      <c r="AD45" s="38">
        <f t="shared" si="56"/>
        <v>33.949376400854931</v>
      </c>
      <c r="AE45" s="38">
        <f t="shared" si="57"/>
        <v>33.578773725402996</v>
      </c>
      <c r="AH45" s="144">
        <v>6</v>
      </c>
      <c r="AI45" s="38">
        <f t="shared" si="65"/>
        <v>30.556329701673157</v>
      </c>
      <c r="AJ45" s="38">
        <f t="shared" si="58"/>
        <v>28.940934395614313</v>
      </c>
      <c r="AK45" s="38">
        <f t="shared" si="59"/>
        <v>29.008504025822855</v>
      </c>
      <c r="AL45" s="38">
        <f t="shared" si="60"/>
        <v>28.291147000712446</v>
      </c>
      <c r="AM45" s="38">
        <f t="shared" si="61"/>
        <v>27.982311437835833</v>
      </c>
    </row>
    <row r="46" spans="2:39" x14ac:dyDescent="0.2">
      <c r="B46" s="190">
        <v>7</v>
      </c>
      <c r="C46" s="469">
        <f>('Detailed Avalerem Tables'!X44+'Detailed Avalerem Tables'!X93+'Detailed Avalerem Tables'!X141+'Detailed Avalerem Tables'!X189+'Detailed Avalerem Tables'!X237+'Detailed Avalerem Tables'!AZ44+'Detailed Avalerem Tables'!AZ93+'Detailed Avalerem Tables'!AZ141+'Detailed Avalerem Tables'!AZ189+'Detailed Avalerem Tables'!AZ237+'Detailed Avalerem Tables'!CB44+'Detailed Avalerem Tables'!CB93+'Detailed Avalerem Tables'!CB141+'Detailed Avalerem Tables'!CB189+'Detailed Avalerem Tables'!CB237+'Detailed Avalerem Tables'!DD44+'Detailed Avalerem Tables'!DD93+'Detailed Avalerem Tables'!DD141+'Detailed Avalerem Tables'!DD189+'Detailed Avalerem Tables'!DD237+'Detailed Avalerem Tables'!EF44+'Detailed Avalerem Tables'!EF93+'Detailed Avalerem Tables'!EF141+'Detailed Avalerem Tables'!EF189+'Detailed Avalerem Tables'!EF237)/25</f>
        <v>30.556329701673157</v>
      </c>
      <c r="D46" s="474">
        <f>('Detailed Avalerem Tables'!Y44+'Detailed Avalerem Tables'!Y93+'Detailed Avalerem Tables'!Y141+'Detailed Avalerem Tables'!Y189+'Detailed Avalerem Tables'!Y237+'Detailed Avalerem Tables'!BA44+'Detailed Avalerem Tables'!BA93+'Detailed Avalerem Tables'!BA141+'Detailed Avalerem Tables'!BA189+'Detailed Avalerem Tables'!BA237+'Detailed Avalerem Tables'!CC44+'Detailed Avalerem Tables'!CC93+'Detailed Avalerem Tables'!CC141+'Detailed Avalerem Tables'!CC189+'Detailed Avalerem Tables'!CC237+'Detailed Avalerem Tables'!DE44+'Detailed Avalerem Tables'!DE93+'Detailed Avalerem Tables'!DE141+'Detailed Avalerem Tables'!DE189+'Detailed Avalerem Tables'!DE237+'Detailed Avalerem Tables'!EG44+'Detailed Avalerem Tables'!EG93+'Detailed Avalerem Tables'!EG141+'Detailed Avalerem Tables'!EG189+'Detailed Avalerem Tables'!EG237)/25</f>
        <v>28.940934395614313</v>
      </c>
      <c r="E46" s="473">
        <f>('Detailed Avalerem Tables'!Z44+'Detailed Avalerem Tables'!Z93+'Detailed Avalerem Tables'!Z141+'Detailed Avalerem Tables'!Z189+'Detailed Avalerem Tables'!Z237+'Detailed Avalerem Tables'!BB44+'Detailed Avalerem Tables'!BB93+'Detailed Avalerem Tables'!BB141+'Detailed Avalerem Tables'!BB189+'Detailed Avalerem Tables'!BB237+'Detailed Avalerem Tables'!CD44+'Detailed Avalerem Tables'!CD93+'Detailed Avalerem Tables'!CD141+'Detailed Avalerem Tables'!CD189+'Detailed Avalerem Tables'!CD237+'Detailed Avalerem Tables'!DF44+'Detailed Avalerem Tables'!DF93+'Detailed Avalerem Tables'!DF141+'Detailed Avalerem Tables'!DF189+'Detailed Avalerem Tables'!DF237+'Detailed Avalerem Tables'!EH44+'Detailed Avalerem Tables'!EH93+'Detailed Avalerem Tables'!EH141+'Detailed Avalerem Tables'!EH189+'Detailed Avalerem Tables'!EH237)/25</f>
        <v>29.008504025822855</v>
      </c>
      <c r="F46" s="471">
        <f>('Detailed Avalerem Tables'!AA44+'Detailed Avalerem Tables'!AA93+'Detailed Avalerem Tables'!AA141+'Detailed Avalerem Tables'!AA189+'Detailed Avalerem Tables'!AA237+'Detailed Avalerem Tables'!BC44+'Detailed Avalerem Tables'!BC93+'Detailed Avalerem Tables'!BC141+'Detailed Avalerem Tables'!BC189+'Detailed Avalerem Tables'!BC237+'Detailed Avalerem Tables'!CE44+'Detailed Avalerem Tables'!CE93+'Detailed Avalerem Tables'!CE141+'Detailed Avalerem Tables'!CE189+'Detailed Avalerem Tables'!CE237+'Detailed Avalerem Tables'!DG44+'Detailed Avalerem Tables'!DG93+'Detailed Avalerem Tables'!DG141+'Detailed Avalerem Tables'!DG189+'Detailed Avalerem Tables'!DG237+'Detailed Avalerem Tables'!EI44+'Detailed Avalerem Tables'!EI93+'Detailed Avalerem Tables'!EI141+'Detailed Avalerem Tables'!EI189+'Detailed Avalerem Tables'!EI237)/25</f>
        <v>28.291147000712453</v>
      </c>
      <c r="G46" s="122">
        <f>('Detailed Avalerem Tables'!AB44+'Detailed Avalerem Tables'!AB93+'Detailed Avalerem Tables'!AB141+'Detailed Avalerem Tables'!AB189+'Detailed Avalerem Tables'!AB237+'Detailed Avalerem Tables'!BD44+'Detailed Avalerem Tables'!BD93+'Detailed Avalerem Tables'!BD141+'Detailed Avalerem Tables'!BD189+'Detailed Avalerem Tables'!BD237+'Detailed Avalerem Tables'!CF44+'Detailed Avalerem Tables'!CF93+'Detailed Avalerem Tables'!CF141+'Detailed Avalerem Tables'!CF189+'Detailed Avalerem Tables'!CF237+'Detailed Avalerem Tables'!DH44+'Detailed Avalerem Tables'!DH93+'Detailed Avalerem Tables'!DH141+'Detailed Avalerem Tables'!DH189+'Detailed Avalerem Tables'!DH237+'Detailed Avalerem Tables'!EJ44+'Detailed Avalerem Tables'!EJ93+'Detailed Avalerem Tables'!EJ141+'Detailed Avalerem Tables'!EJ189+'Detailed Avalerem Tables'!EJ237)/25</f>
        <v>27.982311437835833</v>
      </c>
      <c r="J46" s="144">
        <v>7</v>
      </c>
      <c r="K46" s="38">
        <f t="shared" si="62"/>
        <v>61.112659403346314</v>
      </c>
      <c r="L46" s="38">
        <f t="shared" si="46"/>
        <v>57.881868791228626</v>
      </c>
      <c r="M46" s="38">
        <f t="shared" si="47"/>
        <v>58.017008051645711</v>
      </c>
      <c r="N46" s="38">
        <f t="shared" si="48"/>
        <v>56.582294001424906</v>
      </c>
      <c r="O46" s="38">
        <f t="shared" si="49"/>
        <v>55.964622875671665</v>
      </c>
      <c r="R46" s="144">
        <v>7</v>
      </c>
      <c r="S46" s="38">
        <f t="shared" si="63"/>
        <v>45.834494552509739</v>
      </c>
      <c r="T46" s="38">
        <f t="shared" si="50"/>
        <v>43.411401593421473</v>
      </c>
      <c r="U46" s="38">
        <f t="shared" si="51"/>
        <v>43.512756038734281</v>
      </c>
      <c r="V46" s="38">
        <f t="shared" si="52"/>
        <v>42.436720501068677</v>
      </c>
      <c r="W46" s="38">
        <f t="shared" si="53"/>
        <v>41.973467156753749</v>
      </c>
      <c r="Z46" s="144">
        <v>7</v>
      </c>
      <c r="AA46" s="38">
        <f t="shared" si="64"/>
        <v>36.66759564200779</v>
      </c>
      <c r="AB46" s="38">
        <f t="shared" si="54"/>
        <v>34.729121274737174</v>
      </c>
      <c r="AC46" s="38">
        <f t="shared" si="55"/>
        <v>34.810204830987423</v>
      </c>
      <c r="AD46" s="38">
        <f t="shared" si="56"/>
        <v>33.949376400854945</v>
      </c>
      <c r="AE46" s="38">
        <f t="shared" si="57"/>
        <v>33.578773725402996</v>
      </c>
      <c r="AH46" s="144">
        <v>7</v>
      </c>
      <c r="AI46" s="38">
        <f t="shared" si="65"/>
        <v>30.556329701673157</v>
      </c>
      <c r="AJ46" s="38">
        <f t="shared" si="58"/>
        <v>28.940934395614313</v>
      </c>
      <c r="AK46" s="38">
        <f t="shared" si="59"/>
        <v>29.008504025822855</v>
      </c>
      <c r="AL46" s="38">
        <f t="shared" si="60"/>
        <v>28.291147000712453</v>
      </c>
      <c r="AM46" s="38">
        <f t="shared" si="61"/>
        <v>27.982311437835833</v>
      </c>
    </row>
    <row r="47" spans="2:39" x14ac:dyDescent="0.2">
      <c r="B47" s="190">
        <v>8</v>
      </c>
      <c r="C47" s="469">
        <f>('Detailed Avalerem Tables'!X45+'Detailed Avalerem Tables'!X94+'Detailed Avalerem Tables'!X142+'Detailed Avalerem Tables'!X190+'Detailed Avalerem Tables'!X238+'Detailed Avalerem Tables'!AZ45+'Detailed Avalerem Tables'!AZ94+'Detailed Avalerem Tables'!AZ142+'Detailed Avalerem Tables'!AZ190+'Detailed Avalerem Tables'!AZ238+'Detailed Avalerem Tables'!CB45+'Detailed Avalerem Tables'!CB94+'Detailed Avalerem Tables'!CB142+'Detailed Avalerem Tables'!CB190+'Detailed Avalerem Tables'!CB238+'Detailed Avalerem Tables'!DD45+'Detailed Avalerem Tables'!DD94+'Detailed Avalerem Tables'!DD142+'Detailed Avalerem Tables'!DD190+'Detailed Avalerem Tables'!DD238+'Detailed Avalerem Tables'!EF45+'Detailed Avalerem Tables'!EF94+'Detailed Avalerem Tables'!EF142+'Detailed Avalerem Tables'!EF190+'Detailed Avalerem Tables'!EF238)/25</f>
        <v>31.849172107335839</v>
      </c>
      <c r="D47" s="474">
        <f>('Detailed Avalerem Tables'!Y45+'Detailed Avalerem Tables'!Y94+'Detailed Avalerem Tables'!Y142+'Detailed Avalerem Tables'!Y190+'Detailed Avalerem Tables'!Y238+'Detailed Avalerem Tables'!BA45+'Detailed Avalerem Tables'!BA94+'Detailed Avalerem Tables'!BA142+'Detailed Avalerem Tables'!BA190+'Detailed Avalerem Tables'!BA238+'Detailed Avalerem Tables'!CC45+'Detailed Avalerem Tables'!CC94+'Detailed Avalerem Tables'!CC142+'Detailed Avalerem Tables'!CC190+'Detailed Avalerem Tables'!CC238+'Detailed Avalerem Tables'!DE45+'Detailed Avalerem Tables'!DE94+'Detailed Avalerem Tables'!DE142+'Detailed Avalerem Tables'!DE190+'Detailed Avalerem Tables'!DE238+'Detailed Avalerem Tables'!EG45+'Detailed Avalerem Tables'!EG94+'Detailed Avalerem Tables'!EG142+'Detailed Avalerem Tables'!EG190+'Detailed Avalerem Tables'!EG238)/25</f>
        <v>30.222749043448452</v>
      </c>
      <c r="E47" s="473">
        <f>('Detailed Avalerem Tables'!Z45+'Detailed Avalerem Tables'!Z94+'Detailed Avalerem Tables'!Z142+'Detailed Avalerem Tables'!Z190+'Detailed Avalerem Tables'!Z238+'Detailed Avalerem Tables'!BB45+'Detailed Avalerem Tables'!BB94+'Detailed Avalerem Tables'!BB142+'Detailed Avalerem Tables'!BB190+'Detailed Avalerem Tables'!BB238+'Detailed Avalerem Tables'!CD45+'Detailed Avalerem Tables'!CD94+'Detailed Avalerem Tables'!CD142+'Detailed Avalerem Tables'!CD190+'Detailed Avalerem Tables'!CD238+'Detailed Avalerem Tables'!DF45+'Detailed Avalerem Tables'!DF94+'Detailed Avalerem Tables'!DF142+'Detailed Avalerem Tables'!DF190+'Detailed Avalerem Tables'!DF238+'Detailed Avalerem Tables'!EH45+'Detailed Avalerem Tables'!EH94+'Detailed Avalerem Tables'!EH142+'Detailed Avalerem Tables'!EH190+'Detailed Avalerem Tables'!EH238)/25</f>
        <v>30.249436277327128</v>
      </c>
      <c r="F47" s="471">
        <f>('Detailed Avalerem Tables'!AA45+'Detailed Avalerem Tables'!AA94+'Detailed Avalerem Tables'!AA142+'Detailed Avalerem Tables'!AA190+'Detailed Avalerem Tables'!AA238+'Detailed Avalerem Tables'!BC45+'Detailed Avalerem Tables'!BC94+'Detailed Avalerem Tables'!BC142+'Detailed Avalerem Tables'!BC190+'Detailed Avalerem Tables'!BC238+'Detailed Avalerem Tables'!CE45+'Detailed Avalerem Tables'!CE94+'Detailed Avalerem Tables'!CE142+'Detailed Avalerem Tables'!CE190+'Detailed Avalerem Tables'!CE238+'Detailed Avalerem Tables'!DG45+'Detailed Avalerem Tables'!DG94+'Detailed Avalerem Tables'!DG142+'Detailed Avalerem Tables'!DG190+'Detailed Avalerem Tables'!DG238+'Detailed Avalerem Tables'!EI45+'Detailed Avalerem Tables'!EI94+'Detailed Avalerem Tables'!EI142+'Detailed Avalerem Tables'!EI190+'Detailed Avalerem Tables'!EI238)/25</f>
        <v>29.551266277812363</v>
      </c>
      <c r="G47" s="122">
        <f>('Detailed Avalerem Tables'!AB45+'Detailed Avalerem Tables'!AB94+'Detailed Avalerem Tables'!AB142+'Detailed Avalerem Tables'!AB190+'Detailed Avalerem Tables'!AB238+'Detailed Avalerem Tables'!BD45+'Detailed Avalerem Tables'!BD94+'Detailed Avalerem Tables'!BD142+'Detailed Avalerem Tables'!BD190+'Detailed Avalerem Tables'!BD238+'Detailed Avalerem Tables'!CF45+'Detailed Avalerem Tables'!CF94+'Detailed Avalerem Tables'!CF142+'Detailed Avalerem Tables'!CF190+'Detailed Avalerem Tables'!CF238+'Detailed Avalerem Tables'!DH45+'Detailed Avalerem Tables'!DH94+'Detailed Avalerem Tables'!DH142+'Detailed Avalerem Tables'!DH190+'Detailed Avalerem Tables'!DH238+'Detailed Avalerem Tables'!EJ45+'Detailed Avalerem Tables'!EJ94+'Detailed Avalerem Tables'!EJ142+'Detailed Avalerem Tables'!EJ190+'Detailed Avalerem Tables'!EJ238)/25</f>
        <v>29.303635221686054</v>
      </c>
      <c r="J47" s="144">
        <v>8</v>
      </c>
      <c r="K47" s="38">
        <f t="shared" si="62"/>
        <v>63.698344214671678</v>
      </c>
      <c r="L47" s="38">
        <f t="shared" si="46"/>
        <v>60.445498086896905</v>
      </c>
      <c r="M47" s="38">
        <f t="shared" si="47"/>
        <v>60.498872554654255</v>
      </c>
      <c r="N47" s="38">
        <f t="shared" si="48"/>
        <v>59.102532555624727</v>
      </c>
      <c r="O47" s="38">
        <f t="shared" si="49"/>
        <v>58.607270443372109</v>
      </c>
      <c r="R47" s="144">
        <v>8</v>
      </c>
      <c r="S47" s="38">
        <f t="shared" si="63"/>
        <v>47.773758161003755</v>
      </c>
      <c r="T47" s="38">
        <f t="shared" si="50"/>
        <v>45.334123565172675</v>
      </c>
      <c r="U47" s="38">
        <f t="shared" si="51"/>
        <v>45.374154415990688</v>
      </c>
      <c r="V47" s="38">
        <f t="shared" si="52"/>
        <v>44.326899416718547</v>
      </c>
      <c r="W47" s="38">
        <f t="shared" si="53"/>
        <v>43.955452832529083</v>
      </c>
      <c r="Z47" s="144">
        <v>8</v>
      </c>
      <c r="AA47" s="38">
        <f t="shared" si="64"/>
        <v>38.219006528803007</v>
      </c>
      <c r="AB47" s="38">
        <f t="shared" si="54"/>
        <v>36.26729885213814</v>
      </c>
      <c r="AC47" s="38">
        <f t="shared" si="55"/>
        <v>36.299323532792549</v>
      </c>
      <c r="AD47" s="38">
        <f t="shared" si="56"/>
        <v>35.461519533374833</v>
      </c>
      <c r="AE47" s="38">
        <f t="shared" si="57"/>
        <v>35.164362266023261</v>
      </c>
      <c r="AH47" s="144">
        <v>8</v>
      </c>
      <c r="AI47" s="38">
        <f t="shared" si="65"/>
        <v>31.849172107335839</v>
      </c>
      <c r="AJ47" s="38">
        <f t="shared" si="58"/>
        <v>30.222749043448452</v>
      </c>
      <c r="AK47" s="38">
        <f t="shared" si="59"/>
        <v>30.249436277327128</v>
      </c>
      <c r="AL47" s="38">
        <f t="shared" si="60"/>
        <v>29.551266277812363</v>
      </c>
      <c r="AM47" s="38">
        <f t="shared" si="61"/>
        <v>29.303635221686054</v>
      </c>
    </row>
    <row r="48" spans="2:39" x14ac:dyDescent="0.2">
      <c r="B48" s="190">
        <v>9</v>
      </c>
      <c r="C48" s="469">
        <f>('Detailed Avalerem Tables'!X46+'Detailed Avalerem Tables'!X95+'Detailed Avalerem Tables'!X143+'Detailed Avalerem Tables'!X191+'Detailed Avalerem Tables'!X239+'Detailed Avalerem Tables'!AZ46+'Detailed Avalerem Tables'!AZ95+'Detailed Avalerem Tables'!AZ143+'Detailed Avalerem Tables'!AZ191+'Detailed Avalerem Tables'!AZ239+'Detailed Avalerem Tables'!CB46+'Detailed Avalerem Tables'!CB95+'Detailed Avalerem Tables'!CB143+'Detailed Avalerem Tables'!CB191+'Detailed Avalerem Tables'!CB239+'Detailed Avalerem Tables'!DD46+'Detailed Avalerem Tables'!DD95+'Detailed Avalerem Tables'!DD143+'Detailed Avalerem Tables'!DD191+'Detailed Avalerem Tables'!DD239+'Detailed Avalerem Tables'!EF46+'Detailed Avalerem Tables'!EF95+'Detailed Avalerem Tables'!EF143+'Detailed Avalerem Tables'!EF191+'Detailed Avalerem Tables'!EF239)/25</f>
        <v>33.142014512998522</v>
      </c>
      <c r="D48" s="474">
        <f>('Detailed Avalerem Tables'!Y46+'Detailed Avalerem Tables'!Y95+'Detailed Avalerem Tables'!Y143+'Detailed Avalerem Tables'!Y191+'Detailed Avalerem Tables'!Y239+'Detailed Avalerem Tables'!BA46+'Detailed Avalerem Tables'!BA95+'Detailed Avalerem Tables'!BA143+'Detailed Avalerem Tables'!BA191+'Detailed Avalerem Tables'!BA239+'Detailed Avalerem Tables'!CC46+'Detailed Avalerem Tables'!CC95+'Detailed Avalerem Tables'!CC143+'Detailed Avalerem Tables'!CC191+'Detailed Avalerem Tables'!CC239+'Detailed Avalerem Tables'!DE46+'Detailed Avalerem Tables'!DE95+'Detailed Avalerem Tables'!DE143+'Detailed Avalerem Tables'!DE191+'Detailed Avalerem Tables'!DE239+'Detailed Avalerem Tables'!EG46+'Detailed Avalerem Tables'!EG95+'Detailed Avalerem Tables'!EG143+'Detailed Avalerem Tables'!EG191+'Detailed Avalerem Tables'!EG239)/25</f>
        <v>31.504563691282584</v>
      </c>
      <c r="E48" s="473">
        <f>('Detailed Avalerem Tables'!Z46+'Detailed Avalerem Tables'!Z95+'Detailed Avalerem Tables'!Z143+'Detailed Avalerem Tables'!Z191+'Detailed Avalerem Tables'!Z239+'Detailed Avalerem Tables'!BB46+'Detailed Avalerem Tables'!BB95+'Detailed Avalerem Tables'!BB143+'Detailed Avalerem Tables'!BB191+'Detailed Avalerem Tables'!BB239+'Detailed Avalerem Tables'!CD46+'Detailed Avalerem Tables'!CD95+'Detailed Avalerem Tables'!CD143+'Detailed Avalerem Tables'!CD191+'Detailed Avalerem Tables'!CD239+'Detailed Avalerem Tables'!DF46+'Detailed Avalerem Tables'!DF95+'Detailed Avalerem Tables'!DF143+'Detailed Avalerem Tables'!DF191+'Detailed Avalerem Tables'!DF239+'Detailed Avalerem Tables'!EH46+'Detailed Avalerem Tables'!EH95+'Detailed Avalerem Tables'!EH143+'Detailed Avalerem Tables'!EH191+'Detailed Avalerem Tables'!EH239)/25</f>
        <v>31.490368528831418</v>
      </c>
      <c r="F48" s="471">
        <f>('Detailed Avalerem Tables'!AA46+'Detailed Avalerem Tables'!AA95+'Detailed Avalerem Tables'!AA143+'Detailed Avalerem Tables'!AA191+'Detailed Avalerem Tables'!AA239+'Detailed Avalerem Tables'!BC46+'Detailed Avalerem Tables'!BC95+'Detailed Avalerem Tables'!BC143+'Detailed Avalerem Tables'!BC191+'Detailed Avalerem Tables'!BC239+'Detailed Avalerem Tables'!CE46+'Detailed Avalerem Tables'!CE95+'Detailed Avalerem Tables'!CE143+'Detailed Avalerem Tables'!CE191+'Detailed Avalerem Tables'!CE239+'Detailed Avalerem Tables'!DG46+'Detailed Avalerem Tables'!DG95+'Detailed Avalerem Tables'!DG143+'Detailed Avalerem Tables'!DG191+'Detailed Avalerem Tables'!DG239+'Detailed Avalerem Tables'!EI46+'Detailed Avalerem Tables'!EI95+'Detailed Avalerem Tables'!EI143+'Detailed Avalerem Tables'!EI191+'Detailed Avalerem Tables'!EI239)/25</f>
        <v>30.811385554912281</v>
      </c>
      <c r="G48" s="122">
        <f>('Detailed Avalerem Tables'!AB46+'Detailed Avalerem Tables'!AB95+'Detailed Avalerem Tables'!AB143+'Detailed Avalerem Tables'!AB191+'Detailed Avalerem Tables'!AB239+'Detailed Avalerem Tables'!BD46+'Detailed Avalerem Tables'!BD95+'Detailed Avalerem Tables'!BD143+'Detailed Avalerem Tables'!BD191+'Detailed Avalerem Tables'!BD239+'Detailed Avalerem Tables'!CF46+'Detailed Avalerem Tables'!CF95+'Detailed Avalerem Tables'!CF143+'Detailed Avalerem Tables'!CF191+'Detailed Avalerem Tables'!CF239+'Detailed Avalerem Tables'!DH46+'Detailed Avalerem Tables'!DH95+'Detailed Avalerem Tables'!DH143+'Detailed Avalerem Tables'!DH191+'Detailed Avalerem Tables'!DH239+'Detailed Avalerem Tables'!EJ46+'Detailed Avalerem Tables'!EJ95+'Detailed Avalerem Tables'!EJ143+'Detailed Avalerem Tables'!EJ191+'Detailed Avalerem Tables'!EJ239)/25</f>
        <v>30.624959005536269</v>
      </c>
      <c r="J48" s="144">
        <v>9</v>
      </c>
      <c r="K48" s="38">
        <f t="shared" si="62"/>
        <v>66.284029025997043</v>
      </c>
      <c r="L48" s="38">
        <f t="shared" si="46"/>
        <v>63.009127382565168</v>
      </c>
      <c r="M48" s="38">
        <f t="shared" si="47"/>
        <v>62.980737057662836</v>
      </c>
      <c r="N48" s="38">
        <f t="shared" si="48"/>
        <v>61.622771109824562</v>
      </c>
      <c r="O48" s="38">
        <f t="shared" si="49"/>
        <v>61.249918011072538</v>
      </c>
      <c r="R48" s="144">
        <v>9</v>
      </c>
      <c r="S48" s="38">
        <f t="shared" si="63"/>
        <v>49.713021769497786</v>
      </c>
      <c r="T48" s="38">
        <f t="shared" si="50"/>
        <v>47.256845536923876</v>
      </c>
      <c r="U48" s="38">
        <f t="shared" si="51"/>
        <v>47.235552793247123</v>
      </c>
      <c r="V48" s="38">
        <f t="shared" si="52"/>
        <v>46.217078332368423</v>
      </c>
      <c r="W48" s="38">
        <f t="shared" si="53"/>
        <v>45.937438508304403</v>
      </c>
      <c r="Z48" s="144">
        <v>9</v>
      </c>
      <c r="AA48" s="38">
        <f t="shared" si="64"/>
        <v>39.770417415598224</v>
      </c>
      <c r="AB48" s="38">
        <f t="shared" si="54"/>
        <v>37.805476429539098</v>
      </c>
      <c r="AC48" s="38">
        <f t="shared" si="55"/>
        <v>37.788442234597703</v>
      </c>
      <c r="AD48" s="38">
        <f t="shared" si="56"/>
        <v>36.973662665894736</v>
      </c>
      <c r="AE48" s="38">
        <f t="shared" si="57"/>
        <v>36.749950806643518</v>
      </c>
      <c r="AH48" s="144">
        <v>9</v>
      </c>
      <c r="AI48" s="38">
        <f t="shared" si="65"/>
        <v>33.142014512998522</v>
      </c>
      <c r="AJ48" s="38">
        <f t="shared" si="58"/>
        <v>31.504563691282584</v>
      </c>
      <c r="AK48" s="38">
        <f t="shared" si="59"/>
        <v>31.490368528831418</v>
      </c>
      <c r="AL48" s="38">
        <f t="shared" si="60"/>
        <v>30.811385554912281</v>
      </c>
      <c r="AM48" s="38">
        <f t="shared" si="61"/>
        <v>30.624959005536269</v>
      </c>
    </row>
    <row r="49" spans="2:39" x14ac:dyDescent="0.2">
      <c r="B49" s="190">
        <v>10</v>
      </c>
      <c r="C49" s="469">
        <f>('Detailed Avalerem Tables'!X47+'Detailed Avalerem Tables'!X96+'Detailed Avalerem Tables'!X144+'Detailed Avalerem Tables'!X192+'Detailed Avalerem Tables'!X240+'Detailed Avalerem Tables'!AZ47+'Detailed Avalerem Tables'!AZ96+'Detailed Avalerem Tables'!AZ144+'Detailed Avalerem Tables'!AZ192+'Detailed Avalerem Tables'!AZ240+'Detailed Avalerem Tables'!CB47+'Detailed Avalerem Tables'!CB96+'Detailed Avalerem Tables'!CB144+'Detailed Avalerem Tables'!CB192+'Detailed Avalerem Tables'!CB240+'Detailed Avalerem Tables'!DD47+'Detailed Avalerem Tables'!DD96+'Detailed Avalerem Tables'!DD144+'Detailed Avalerem Tables'!DD192+'Detailed Avalerem Tables'!DD240+'Detailed Avalerem Tables'!EF47+'Detailed Avalerem Tables'!EF96+'Detailed Avalerem Tables'!EF144+'Detailed Avalerem Tables'!EF192+'Detailed Avalerem Tables'!EF240)/25</f>
        <v>33.142014512998522</v>
      </c>
      <c r="D49" s="474">
        <f>('Detailed Avalerem Tables'!Y47+'Detailed Avalerem Tables'!Y96+'Detailed Avalerem Tables'!Y144+'Detailed Avalerem Tables'!Y192+'Detailed Avalerem Tables'!Y240+'Detailed Avalerem Tables'!BA47+'Detailed Avalerem Tables'!BA96+'Detailed Avalerem Tables'!BA144+'Detailed Avalerem Tables'!BA192+'Detailed Avalerem Tables'!BA240+'Detailed Avalerem Tables'!CC47+'Detailed Avalerem Tables'!CC96+'Detailed Avalerem Tables'!CC144+'Detailed Avalerem Tables'!CC192+'Detailed Avalerem Tables'!CC240+'Detailed Avalerem Tables'!DE47+'Detailed Avalerem Tables'!DE96+'Detailed Avalerem Tables'!DE144+'Detailed Avalerem Tables'!DE192+'Detailed Avalerem Tables'!DE240+'Detailed Avalerem Tables'!EG47+'Detailed Avalerem Tables'!EG96+'Detailed Avalerem Tables'!EG144+'Detailed Avalerem Tables'!EG192+'Detailed Avalerem Tables'!EG240)/25</f>
        <v>31.504563691282584</v>
      </c>
      <c r="E49" s="473">
        <f>('Detailed Avalerem Tables'!Z47+'Detailed Avalerem Tables'!Z96+'Detailed Avalerem Tables'!Z144+'Detailed Avalerem Tables'!Z192+'Detailed Avalerem Tables'!Z240+'Detailed Avalerem Tables'!BB47+'Detailed Avalerem Tables'!BB96+'Detailed Avalerem Tables'!BB144+'Detailed Avalerem Tables'!BB192+'Detailed Avalerem Tables'!BB240+'Detailed Avalerem Tables'!CD47+'Detailed Avalerem Tables'!CD96+'Detailed Avalerem Tables'!CD144+'Detailed Avalerem Tables'!CD192+'Detailed Avalerem Tables'!CD240+'Detailed Avalerem Tables'!DF47+'Detailed Avalerem Tables'!DF96+'Detailed Avalerem Tables'!DF144+'Detailed Avalerem Tables'!DF192+'Detailed Avalerem Tables'!DF240+'Detailed Avalerem Tables'!EH47+'Detailed Avalerem Tables'!EH96+'Detailed Avalerem Tables'!EH144+'Detailed Avalerem Tables'!EH192+'Detailed Avalerem Tables'!EH240)/25</f>
        <v>31.490368528831418</v>
      </c>
      <c r="F49" s="471">
        <f>('Detailed Avalerem Tables'!AA47+'Detailed Avalerem Tables'!AA96+'Detailed Avalerem Tables'!AA144+'Detailed Avalerem Tables'!AA192+'Detailed Avalerem Tables'!AA240+'Detailed Avalerem Tables'!BC47+'Detailed Avalerem Tables'!BC96+'Detailed Avalerem Tables'!BC144+'Detailed Avalerem Tables'!BC192+'Detailed Avalerem Tables'!BC240+'Detailed Avalerem Tables'!CE47+'Detailed Avalerem Tables'!CE96+'Detailed Avalerem Tables'!CE144+'Detailed Avalerem Tables'!CE192+'Detailed Avalerem Tables'!CE240+'Detailed Avalerem Tables'!DG47+'Detailed Avalerem Tables'!DG96+'Detailed Avalerem Tables'!DG144+'Detailed Avalerem Tables'!DG192+'Detailed Avalerem Tables'!DG240+'Detailed Avalerem Tables'!EI47+'Detailed Avalerem Tables'!EI96+'Detailed Avalerem Tables'!EI144+'Detailed Avalerem Tables'!EI192+'Detailed Avalerem Tables'!EI240)/25</f>
        <v>30.811385554912281</v>
      </c>
      <c r="G49" s="122">
        <f>('Detailed Avalerem Tables'!AB47+'Detailed Avalerem Tables'!AB96+'Detailed Avalerem Tables'!AB144+'Detailed Avalerem Tables'!AB192+'Detailed Avalerem Tables'!AB240+'Detailed Avalerem Tables'!BD47+'Detailed Avalerem Tables'!BD96+'Detailed Avalerem Tables'!BD144+'Detailed Avalerem Tables'!BD192+'Detailed Avalerem Tables'!BD240+'Detailed Avalerem Tables'!CF47+'Detailed Avalerem Tables'!CF96+'Detailed Avalerem Tables'!CF144+'Detailed Avalerem Tables'!CF192+'Detailed Avalerem Tables'!CF240+'Detailed Avalerem Tables'!DH47+'Detailed Avalerem Tables'!DH96+'Detailed Avalerem Tables'!DH144+'Detailed Avalerem Tables'!DH192+'Detailed Avalerem Tables'!DH240+'Detailed Avalerem Tables'!EJ47+'Detailed Avalerem Tables'!EJ96+'Detailed Avalerem Tables'!EJ144+'Detailed Avalerem Tables'!EJ192+'Detailed Avalerem Tables'!EJ240)/25</f>
        <v>30.624959005536269</v>
      </c>
      <c r="J49" s="144">
        <v>10</v>
      </c>
      <c r="K49" s="38">
        <f t="shared" si="62"/>
        <v>66.284029025997043</v>
      </c>
      <c r="L49" s="38">
        <f t="shared" si="46"/>
        <v>63.009127382565168</v>
      </c>
      <c r="M49" s="38">
        <f t="shared" si="47"/>
        <v>62.980737057662836</v>
      </c>
      <c r="N49" s="38">
        <f t="shared" si="48"/>
        <v>61.622771109824562</v>
      </c>
      <c r="O49" s="38">
        <f t="shared" si="49"/>
        <v>61.249918011072538</v>
      </c>
      <c r="R49" s="144">
        <v>10</v>
      </c>
      <c r="S49" s="38">
        <f t="shared" si="63"/>
        <v>49.713021769497786</v>
      </c>
      <c r="T49" s="38">
        <f t="shared" si="50"/>
        <v>47.256845536923876</v>
      </c>
      <c r="U49" s="38">
        <f t="shared" si="51"/>
        <v>47.235552793247123</v>
      </c>
      <c r="V49" s="38">
        <f t="shared" si="52"/>
        <v>46.217078332368423</v>
      </c>
      <c r="W49" s="38">
        <f t="shared" si="53"/>
        <v>45.937438508304403</v>
      </c>
      <c r="Z49" s="144">
        <v>10</v>
      </c>
      <c r="AA49" s="38">
        <f t="shared" si="64"/>
        <v>39.770417415598224</v>
      </c>
      <c r="AB49" s="38">
        <f t="shared" si="54"/>
        <v>37.805476429539098</v>
      </c>
      <c r="AC49" s="38">
        <f t="shared" si="55"/>
        <v>37.788442234597703</v>
      </c>
      <c r="AD49" s="38">
        <f t="shared" si="56"/>
        <v>36.973662665894736</v>
      </c>
      <c r="AE49" s="38">
        <f t="shared" si="57"/>
        <v>36.749950806643518</v>
      </c>
      <c r="AH49" s="144">
        <v>10</v>
      </c>
      <c r="AI49" s="38">
        <f t="shared" si="65"/>
        <v>33.142014512998522</v>
      </c>
      <c r="AJ49" s="38">
        <f t="shared" si="58"/>
        <v>31.504563691282584</v>
      </c>
      <c r="AK49" s="38">
        <f t="shared" si="59"/>
        <v>31.490368528831418</v>
      </c>
      <c r="AL49" s="38">
        <f t="shared" si="60"/>
        <v>30.811385554912281</v>
      </c>
      <c r="AM49" s="38">
        <f t="shared" si="61"/>
        <v>30.624959005536269</v>
      </c>
    </row>
    <row r="50" spans="2:39" x14ac:dyDescent="0.2">
      <c r="B50" s="190">
        <v>11</v>
      </c>
      <c r="C50" s="469">
        <f>('Detailed Avalerem Tables'!X48+'Detailed Avalerem Tables'!X97+'Detailed Avalerem Tables'!X145+'Detailed Avalerem Tables'!X193+'Detailed Avalerem Tables'!X241+'Detailed Avalerem Tables'!AZ48+'Detailed Avalerem Tables'!AZ97+'Detailed Avalerem Tables'!AZ145+'Detailed Avalerem Tables'!AZ193+'Detailed Avalerem Tables'!AZ241+'Detailed Avalerem Tables'!CB48+'Detailed Avalerem Tables'!CB97+'Detailed Avalerem Tables'!CB145+'Detailed Avalerem Tables'!CB193+'Detailed Avalerem Tables'!CB241+'Detailed Avalerem Tables'!DD48+'Detailed Avalerem Tables'!DD97+'Detailed Avalerem Tables'!DD145+'Detailed Avalerem Tables'!DD193+'Detailed Avalerem Tables'!DD241+'Detailed Avalerem Tables'!EF48+'Detailed Avalerem Tables'!EF97+'Detailed Avalerem Tables'!EF145+'Detailed Avalerem Tables'!EF193+'Detailed Avalerem Tables'!EF241)/25</f>
        <v>31.849172107335839</v>
      </c>
      <c r="D50" s="474">
        <f>('Detailed Avalerem Tables'!Y48+'Detailed Avalerem Tables'!Y97+'Detailed Avalerem Tables'!Y145+'Detailed Avalerem Tables'!Y193+'Detailed Avalerem Tables'!Y241+'Detailed Avalerem Tables'!BA48+'Detailed Avalerem Tables'!BA97+'Detailed Avalerem Tables'!BA145+'Detailed Avalerem Tables'!BA193+'Detailed Avalerem Tables'!BA241+'Detailed Avalerem Tables'!CC48+'Detailed Avalerem Tables'!CC97+'Detailed Avalerem Tables'!CC145+'Detailed Avalerem Tables'!CC193+'Detailed Avalerem Tables'!CC241+'Detailed Avalerem Tables'!DE48+'Detailed Avalerem Tables'!DE97+'Detailed Avalerem Tables'!DE145+'Detailed Avalerem Tables'!DE193+'Detailed Avalerem Tables'!DE241+'Detailed Avalerem Tables'!EG48+'Detailed Avalerem Tables'!EG97+'Detailed Avalerem Tables'!EG145+'Detailed Avalerem Tables'!EG193+'Detailed Avalerem Tables'!EG241)/25</f>
        <v>30.222749043448452</v>
      </c>
      <c r="E50" s="473">
        <f>('Detailed Avalerem Tables'!Z48+'Detailed Avalerem Tables'!Z97+'Detailed Avalerem Tables'!Z145+'Detailed Avalerem Tables'!Z193+'Detailed Avalerem Tables'!Z241+'Detailed Avalerem Tables'!BB48+'Detailed Avalerem Tables'!BB97+'Detailed Avalerem Tables'!BB145+'Detailed Avalerem Tables'!BB193+'Detailed Avalerem Tables'!BB241+'Detailed Avalerem Tables'!CD48+'Detailed Avalerem Tables'!CD97+'Detailed Avalerem Tables'!CD145+'Detailed Avalerem Tables'!CD193+'Detailed Avalerem Tables'!CD241+'Detailed Avalerem Tables'!DF48+'Detailed Avalerem Tables'!DF97+'Detailed Avalerem Tables'!DF145+'Detailed Avalerem Tables'!DF193+'Detailed Avalerem Tables'!DF241+'Detailed Avalerem Tables'!EH48+'Detailed Avalerem Tables'!EH97+'Detailed Avalerem Tables'!EH145+'Detailed Avalerem Tables'!EH193+'Detailed Avalerem Tables'!EH241)/25</f>
        <v>30.249436277327131</v>
      </c>
      <c r="F50" s="471">
        <f>('Detailed Avalerem Tables'!AA48+'Detailed Avalerem Tables'!AA97+'Detailed Avalerem Tables'!AA145+'Detailed Avalerem Tables'!AA193+'Detailed Avalerem Tables'!AA241+'Detailed Avalerem Tables'!BC48+'Detailed Avalerem Tables'!BC97+'Detailed Avalerem Tables'!BC145+'Detailed Avalerem Tables'!BC193+'Detailed Avalerem Tables'!BC241+'Detailed Avalerem Tables'!CE48+'Detailed Avalerem Tables'!CE97+'Detailed Avalerem Tables'!CE145+'Detailed Avalerem Tables'!CE193+'Detailed Avalerem Tables'!CE241+'Detailed Avalerem Tables'!DG48+'Detailed Avalerem Tables'!DG97+'Detailed Avalerem Tables'!DG145+'Detailed Avalerem Tables'!DG193+'Detailed Avalerem Tables'!DG241+'Detailed Avalerem Tables'!EI48+'Detailed Avalerem Tables'!EI97+'Detailed Avalerem Tables'!EI145+'Detailed Avalerem Tables'!EI193+'Detailed Avalerem Tables'!EI241)/25</f>
        <v>29.551266277812363</v>
      </c>
      <c r="G50" s="122">
        <f>('Detailed Avalerem Tables'!AB48+'Detailed Avalerem Tables'!AB97+'Detailed Avalerem Tables'!AB145+'Detailed Avalerem Tables'!AB193+'Detailed Avalerem Tables'!AB241+'Detailed Avalerem Tables'!BD48+'Detailed Avalerem Tables'!BD97+'Detailed Avalerem Tables'!BD145+'Detailed Avalerem Tables'!BD193+'Detailed Avalerem Tables'!BD241+'Detailed Avalerem Tables'!CF48+'Detailed Avalerem Tables'!CF97+'Detailed Avalerem Tables'!CF145+'Detailed Avalerem Tables'!CF193+'Detailed Avalerem Tables'!CF241+'Detailed Avalerem Tables'!DH48+'Detailed Avalerem Tables'!DH97+'Detailed Avalerem Tables'!DH145+'Detailed Avalerem Tables'!DH193+'Detailed Avalerem Tables'!DH241+'Detailed Avalerem Tables'!EJ48+'Detailed Avalerem Tables'!EJ97+'Detailed Avalerem Tables'!EJ145+'Detailed Avalerem Tables'!EJ193+'Detailed Avalerem Tables'!EJ241)/25</f>
        <v>29.303635221686054</v>
      </c>
      <c r="J50" s="144">
        <v>11</v>
      </c>
      <c r="K50" s="38">
        <f t="shared" si="62"/>
        <v>63.698344214671678</v>
      </c>
      <c r="L50" s="38">
        <f t="shared" si="46"/>
        <v>60.445498086896905</v>
      </c>
      <c r="M50" s="38">
        <f t="shared" si="47"/>
        <v>60.498872554654263</v>
      </c>
      <c r="N50" s="38">
        <f t="shared" si="48"/>
        <v>59.102532555624727</v>
      </c>
      <c r="O50" s="38">
        <f t="shared" si="49"/>
        <v>58.607270443372109</v>
      </c>
      <c r="R50" s="144">
        <v>11</v>
      </c>
      <c r="S50" s="38">
        <f t="shared" si="63"/>
        <v>47.773758161003755</v>
      </c>
      <c r="T50" s="38">
        <f t="shared" si="50"/>
        <v>45.334123565172675</v>
      </c>
      <c r="U50" s="38">
        <f t="shared" si="51"/>
        <v>45.374154415990695</v>
      </c>
      <c r="V50" s="38">
        <f t="shared" si="52"/>
        <v>44.326899416718547</v>
      </c>
      <c r="W50" s="38">
        <f t="shared" si="53"/>
        <v>43.955452832529083</v>
      </c>
      <c r="Z50" s="144">
        <v>11</v>
      </c>
      <c r="AA50" s="38">
        <f t="shared" si="64"/>
        <v>38.219006528803007</v>
      </c>
      <c r="AB50" s="38">
        <f t="shared" si="54"/>
        <v>36.26729885213814</v>
      </c>
      <c r="AC50" s="38">
        <f t="shared" si="55"/>
        <v>36.299323532792556</v>
      </c>
      <c r="AD50" s="38">
        <f t="shared" si="56"/>
        <v>35.461519533374833</v>
      </c>
      <c r="AE50" s="38">
        <f t="shared" si="57"/>
        <v>35.164362266023261</v>
      </c>
      <c r="AH50" s="144">
        <v>11</v>
      </c>
      <c r="AI50" s="38">
        <f t="shared" si="65"/>
        <v>31.849172107335839</v>
      </c>
      <c r="AJ50" s="38">
        <f t="shared" si="58"/>
        <v>30.222749043448452</v>
      </c>
      <c r="AK50" s="38">
        <f t="shared" si="59"/>
        <v>30.249436277327131</v>
      </c>
      <c r="AL50" s="38">
        <f t="shared" si="60"/>
        <v>29.551266277812363</v>
      </c>
      <c r="AM50" s="38">
        <f t="shared" si="61"/>
        <v>29.303635221686054</v>
      </c>
    </row>
    <row r="51" spans="2:39" x14ac:dyDescent="0.2">
      <c r="B51" s="190">
        <v>12</v>
      </c>
      <c r="C51" s="469">
        <f>('Detailed Avalerem Tables'!X49+'Detailed Avalerem Tables'!X98+'Detailed Avalerem Tables'!X146+'Detailed Avalerem Tables'!X194+'Detailed Avalerem Tables'!X242+'Detailed Avalerem Tables'!AZ49+'Detailed Avalerem Tables'!AZ98+'Detailed Avalerem Tables'!AZ146+'Detailed Avalerem Tables'!AZ194+'Detailed Avalerem Tables'!AZ242+'Detailed Avalerem Tables'!CB49+'Detailed Avalerem Tables'!CB98+'Detailed Avalerem Tables'!CB146+'Detailed Avalerem Tables'!CB194+'Detailed Avalerem Tables'!CB242+'Detailed Avalerem Tables'!DD49+'Detailed Avalerem Tables'!DD98+'Detailed Avalerem Tables'!DD146+'Detailed Avalerem Tables'!DD194+'Detailed Avalerem Tables'!DD242+'Detailed Avalerem Tables'!EF49+'Detailed Avalerem Tables'!EF98+'Detailed Avalerem Tables'!EF146+'Detailed Avalerem Tables'!EF194+'Detailed Avalerem Tables'!EF242)/25</f>
        <v>30.556329701673157</v>
      </c>
      <c r="D51" s="474">
        <f>('Detailed Avalerem Tables'!Y49+'Detailed Avalerem Tables'!Y98+'Detailed Avalerem Tables'!Y146+'Detailed Avalerem Tables'!Y194+'Detailed Avalerem Tables'!Y242+'Detailed Avalerem Tables'!BA49+'Detailed Avalerem Tables'!BA98+'Detailed Avalerem Tables'!BA146+'Detailed Avalerem Tables'!BA194+'Detailed Avalerem Tables'!BA242+'Detailed Avalerem Tables'!CC49+'Detailed Avalerem Tables'!CC98+'Detailed Avalerem Tables'!CC146+'Detailed Avalerem Tables'!CC194+'Detailed Avalerem Tables'!CC242+'Detailed Avalerem Tables'!DE49+'Detailed Avalerem Tables'!DE98+'Detailed Avalerem Tables'!DE146+'Detailed Avalerem Tables'!DE194+'Detailed Avalerem Tables'!DE242+'Detailed Avalerem Tables'!EG49+'Detailed Avalerem Tables'!EG98+'Detailed Avalerem Tables'!EG146+'Detailed Avalerem Tables'!EG194+'Detailed Avalerem Tables'!EG242)/25</f>
        <v>28.940934395614313</v>
      </c>
      <c r="E51" s="473">
        <f>('Detailed Avalerem Tables'!Z49+'Detailed Avalerem Tables'!Z98+'Detailed Avalerem Tables'!Z146+'Detailed Avalerem Tables'!Z194+'Detailed Avalerem Tables'!Z242+'Detailed Avalerem Tables'!BB49+'Detailed Avalerem Tables'!BB98+'Detailed Avalerem Tables'!BB146+'Detailed Avalerem Tables'!BB194+'Detailed Avalerem Tables'!BB242+'Detailed Avalerem Tables'!CD49+'Detailed Avalerem Tables'!CD98+'Detailed Avalerem Tables'!CD146+'Detailed Avalerem Tables'!CD194+'Detailed Avalerem Tables'!CD242+'Detailed Avalerem Tables'!DF49+'Detailed Avalerem Tables'!DF98+'Detailed Avalerem Tables'!DF146+'Detailed Avalerem Tables'!DF194+'Detailed Avalerem Tables'!DF242+'Detailed Avalerem Tables'!EH49+'Detailed Avalerem Tables'!EH98+'Detailed Avalerem Tables'!EH146+'Detailed Avalerem Tables'!EH194+'Detailed Avalerem Tables'!EH242)/25</f>
        <v>29.008504025822855</v>
      </c>
      <c r="F51" s="471">
        <f>('Detailed Avalerem Tables'!AA49+'Detailed Avalerem Tables'!AA98+'Detailed Avalerem Tables'!AA146+'Detailed Avalerem Tables'!AA194+'Detailed Avalerem Tables'!AA242+'Detailed Avalerem Tables'!BC49+'Detailed Avalerem Tables'!BC98+'Detailed Avalerem Tables'!BC146+'Detailed Avalerem Tables'!BC194+'Detailed Avalerem Tables'!BC242+'Detailed Avalerem Tables'!CE49+'Detailed Avalerem Tables'!CE98+'Detailed Avalerem Tables'!CE146+'Detailed Avalerem Tables'!CE194+'Detailed Avalerem Tables'!CE242+'Detailed Avalerem Tables'!DG49+'Detailed Avalerem Tables'!DG98+'Detailed Avalerem Tables'!DG146+'Detailed Avalerem Tables'!DG194+'Detailed Avalerem Tables'!DG242+'Detailed Avalerem Tables'!EI49+'Detailed Avalerem Tables'!EI98+'Detailed Avalerem Tables'!EI146+'Detailed Avalerem Tables'!EI194+'Detailed Avalerem Tables'!EI242)/25</f>
        <v>28.291147000712446</v>
      </c>
      <c r="G51" s="122">
        <f>('Detailed Avalerem Tables'!AB49+'Detailed Avalerem Tables'!AB98+'Detailed Avalerem Tables'!AB146+'Detailed Avalerem Tables'!AB194+'Detailed Avalerem Tables'!AB242+'Detailed Avalerem Tables'!BD49+'Detailed Avalerem Tables'!BD98+'Detailed Avalerem Tables'!BD146+'Detailed Avalerem Tables'!BD194+'Detailed Avalerem Tables'!BD242+'Detailed Avalerem Tables'!CF49+'Detailed Avalerem Tables'!CF98+'Detailed Avalerem Tables'!CF146+'Detailed Avalerem Tables'!CF194+'Detailed Avalerem Tables'!CF242+'Detailed Avalerem Tables'!DH49+'Detailed Avalerem Tables'!DH98+'Detailed Avalerem Tables'!DH146+'Detailed Avalerem Tables'!DH194+'Detailed Avalerem Tables'!DH242+'Detailed Avalerem Tables'!EJ49+'Detailed Avalerem Tables'!EJ98+'Detailed Avalerem Tables'!EJ146+'Detailed Avalerem Tables'!EJ194+'Detailed Avalerem Tables'!EJ242)/25</f>
        <v>27.982311437835833</v>
      </c>
      <c r="J51" s="144">
        <v>12</v>
      </c>
      <c r="K51" s="38">
        <f t="shared" si="62"/>
        <v>61.112659403346314</v>
      </c>
      <c r="L51" s="38">
        <f t="shared" si="46"/>
        <v>57.881868791228626</v>
      </c>
      <c r="M51" s="38">
        <f t="shared" si="47"/>
        <v>58.017008051645711</v>
      </c>
      <c r="N51" s="38">
        <f t="shared" si="48"/>
        <v>56.582294001424891</v>
      </c>
      <c r="O51" s="38">
        <f t="shared" si="49"/>
        <v>55.964622875671665</v>
      </c>
      <c r="R51" s="144">
        <v>12</v>
      </c>
      <c r="S51" s="38">
        <f t="shared" si="63"/>
        <v>45.834494552509739</v>
      </c>
      <c r="T51" s="38">
        <f t="shared" si="50"/>
        <v>43.411401593421473</v>
      </c>
      <c r="U51" s="38">
        <f t="shared" si="51"/>
        <v>43.512756038734281</v>
      </c>
      <c r="V51" s="38">
        <f t="shared" si="52"/>
        <v>42.43672050106867</v>
      </c>
      <c r="W51" s="38">
        <f t="shared" si="53"/>
        <v>41.973467156753749</v>
      </c>
      <c r="Z51" s="144">
        <v>12</v>
      </c>
      <c r="AA51" s="38">
        <f t="shared" si="64"/>
        <v>36.66759564200779</v>
      </c>
      <c r="AB51" s="38">
        <f t="shared" si="54"/>
        <v>34.729121274737174</v>
      </c>
      <c r="AC51" s="38">
        <f t="shared" si="55"/>
        <v>34.810204830987423</v>
      </c>
      <c r="AD51" s="38">
        <f t="shared" si="56"/>
        <v>33.949376400854931</v>
      </c>
      <c r="AE51" s="38">
        <f t="shared" si="57"/>
        <v>33.578773725402996</v>
      </c>
      <c r="AH51" s="144">
        <v>12</v>
      </c>
      <c r="AI51" s="38">
        <f t="shared" si="65"/>
        <v>30.556329701673157</v>
      </c>
      <c r="AJ51" s="38">
        <f t="shared" si="58"/>
        <v>28.940934395614313</v>
      </c>
      <c r="AK51" s="38">
        <f t="shared" si="59"/>
        <v>29.008504025822855</v>
      </c>
      <c r="AL51" s="38">
        <f t="shared" si="60"/>
        <v>28.291147000712446</v>
      </c>
      <c r="AM51" s="38">
        <f t="shared" si="61"/>
        <v>27.982311437835833</v>
      </c>
    </row>
    <row r="56" spans="2:39" x14ac:dyDescent="0.2">
      <c r="E56" s="178"/>
    </row>
    <row r="59" spans="2:39" x14ac:dyDescent="0.2">
      <c r="E59" s="176"/>
    </row>
  </sheetData>
  <mergeCells count="6">
    <mergeCell ref="AI8:AM8"/>
    <mergeCell ref="C8:G8"/>
    <mergeCell ref="B5:G5"/>
    <mergeCell ref="K8:O8"/>
    <mergeCell ref="S8:W8"/>
    <mergeCell ref="AA8:AE8"/>
  </mergeCell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6D14A-CD5E-4EDA-BFD2-224B244FDAE4}">
  <dimension ref="A5:BQ292"/>
  <sheetViews>
    <sheetView topLeftCell="A136" workbookViewId="0">
      <pane xSplit="7" ySplit="5" topLeftCell="H239" activePane="bottomRight" state="frozen"/>
      <selection activeCell="A136" sqref="A136"/>
      <selection pane="topRight" activeCell="H136" sqref="H136"/>
      <selection pane="bottomLeft" activeCell="A141" sqref="A141"/>
      <selection pane="bottomRight" activeCell="H141" sqref="H141"/>
    </sheetView>
  </sheetViews>
  <sheetFormatPr defaultRowHeight="14.25" x14ac:dyDescent="0.2"/>
  <cols>
    <col min="2" max="2" width="15.625" customWidth="1"/>
    <col min="3" max="3" width="12.375" style="148" customWidth="1"/>
    <col min="4" max="4" width="13.25" style="148" customWidth="1"/>
    <col min="5" max="5" width="9" style="148" customWidth="1"/>
    <col min="6" max="6" width="11.5" style="148" customWidth="1"/>
    <col min="7" max="7" width="10.75" style="148" customWidth="1"/>
    <col min="8" max="25" width="10.25" style="148" customWidth="1"/>
    <col min="26" max="31" width="10.125" style="148" customWidth="1"/>
    <col min="32" max="32" width="13.875" customWidth="1"/>
    <col min="33" max="33" width="20.75" bestFit="1" customWidth="1"/>
    <col min="34" max="34" width="20.75" customWidth="1"/>
    <col min="35" max="35" width="14" customWidth="1"/>
    <col min="36" max="36" width="16.125" bestFit="1" customWidth="1"/>
    <col min="37" max="37" width="15.5" bestFit="1" customWidth="1"/>
    <col min="38" max="38" width="11.375" customWidth="1"/>
    <col min="39" max="39" width="21.5" customWidth="1"/>
    <col min="40" max="40" width="16.25" customWidth="1"/>
    <col min="41" max="41" width="15.75" customWidth="1"/>
    <col min="42" max="42" width="14.625" customWidth="1"/>
    <col min="43" max="43" width="14.75" customWidth="1"/>
    <col min="44" max="44" width="16.5" customWidth="1"/>
    <col min="45" max="45" width="16.625" customWidth="1"/>
    <col min="46" max="46" width="10" customWidth="1"/>
    <col min="47" max="47" width="16.125" customWidth="1"/>
    <col min="48" max="48" width="10.5" customWidth="1"/>
    <col min="49" max="49" width="13.625" customWidth="1"/>
    <col min="50" max="50" width="11.25" customWidth="1"/>
    <col min="51" max="51" width="12.625" customWidth="1"/>
    <col min="54" max="54" width="14.125" customWidth="1"/>
    <col min="55" max="55" width="8.75" customWidth="1"/>
    <col min="56" max="56" width="17.75" customWidth="1"/>
    <col min="57" max="57" width="10.25" customWidth="1"/>
    <col min="58" max="58" width="15.75" customWidth="1"/>
    <col min="60" max="60" width="12.75" bestFit="1" customWidth="1"/>
    <col min="63" max="63" width="20.125" customWidth="1"/>
  </cols>
  <sheetData>
    <row r="5" spans="32:40" x14ac:dyDescent="0.2">
      <c r="AF5" t="s">
        <v>127</v>
      </c>
    </row>
    <row r="6" spans="32:40" x14ac:dyDescent="0.2">
      <c r="AM6" s="148" t="s">
        <v>128</v>
      </c>
      <c r="AN6" s="213" t="s">
        <v>34</v>
      </c>
    </row>
    <row r="7" spans="32:40" x14ac:dyDescent="0.2">
      <c r="AF7" t="s">
        <v>129</v>
      </c>
      <c r="AG7" t="s">
        <v>130</v>
      </c>
      <c r="AI7" t="s">
        <v>131</v>
      </c>
      <c r="AK7" s="214"/>
      <c r="AL7" s="214"/>
      <c r="AM7" s="215" t="s">
        <v>129</v>
      </c>
      <c r="AN7" s="216" t="s">
        <v>34</v>
      </c>
    </row>
    <row r="8" spans="32:40" x14ac:dyDescent="0.2">
      <c r="AM8" s="148" t="s">
        <v>132</v>
      </c>
      <c r="AN8" s="149" t="s">
        <v>30</v>
      </c>
    </row>
    <row r="9" spans="32:40" x14ac:dyDescent="0.2">
      <c r="AM9" s="148" t="s">
        <v>133</v>
      </c>
      <c r="AN9" s="217" t="s">
        <v>32</v>
      </c>
    </row>
    <row r="10" spans="32:40" x14ac:dyDescent="0.2">
      <c r="AM10" s="218" t="s">
        <v>134</v>
      </c>
      <c r="AN10" s="219" t="s">
        <v>33</v>
      </c>
    </row>
    <row r="11" spans="32:40" x14ac:dyDescent="0.2">
      <c r="AM11" s="148" t="s">
        <v>135</v>
      </c>
      <c r="AN11" s="217" t="s">
        <v>32</v>
      </c>
    </row>
    <row r="12" spans="32:40" x14ac:dyDescent="0.2">
      <c r="AM12" s="148" t="s">
        <v>136</v>
      </c>
      <c r="AN12" s="219" t="s">
        <v>33</v>
      </c>
    </row>
    <row r="13" spans="32:40" x14ac:dyDescent="0.2">
      <c r="AM13" s="148" t="s">
        <v>137</v>
      </c>
      <c r="AN13" s="149" t="s">
        <v>30</v>
      </c>
    </row>
    <row r="14" spans="32:40" x14ac:dyDescent="0.2">
      <c r="AM14" s="148" t="s">
        <v>138</v>
      </c>
      <c r="AN14" s="219" t="s">
        <v>33</v>
      </c>
    </row>
    <row r="15" spans="32:40" x14ac:dyDescent="0.2">
      <c r="AM15" s="218" t="s">
        <v>139</v>
      </c>
      <c r="AN15" s="219"/>
    </row>
    <row r="16" spans="32:40" x14ac:dyDescent="0.2">
      <c r="AM16" s="217" t="s">
        <v>140</v>
      </c>
      <c r="AN16" s="220" t="s">
        <v>141</v>
      </c>
    </row>
    <row r="17" spans="32:40" x14ac:dyDescent="0.2">
      <c r="AF17" t="s">
        <v>142</v>
      </c>
      <c r="AG17" t="s">
        <v>130</v>
      </c>
      <c r="AI17" t="s">
        <v>143</v>
      </c>
      <c r="AK17" s="214"/>
      <c r="AL17" s="214"/>
      <c r="AM17" s="215" t="s">
        <v>142</v>
      </c>
      <c r="AN17" s="221" t="s">
        <v>30</v>
      </c>
    </row>
    <row r="18" spans="32:40" x14ac:dyDescent="0.2">
      <c r="AF18" t="s">
        <v>144</v>
      </c>
      <c r="AG18" t="s">
        <v>130</v>
      </c>
      <c r="AI18" t="s">
        <v>138</v>
      </c>
      <c r="AK18" s="214"/>
      <c r="AL18" s="214"/>
      <c r="AM18" s="215" t="s">
        <v>144</v>
      </c>
      <c r="AN18" s="222" t="s">
        <v>33</v>
      </c>
    </row>
    <row r="19" spans="32:40" x14ac:dyDescent="0.2">
      <c r="AM19" s="148" t="s">
        <v>145</v>
      </c>
      <c r="AN19" s="223" t="s">
        <v>31</v>
      </c>
    </row>
    <row r="20" spans="32:40" x14ac:dyDescent="0.2">
      <c r="AM20" s="148" t="s">
        <v>146</v>
      </c>
      <c r="AN20" s="149" t="s">
        <v>30</v>
      </c>
    </row>
    <row r="21" spans="32:40" x14ac:dyDescent="0.2">
      <c r="AF21" t="s">
        <v>147</v>
      </c>
      <c r="AG21" t="s">
        <v>130</v>
      </c>
      <c r="AI21" t="s">
        <v>148</v>
      </c>
      <c r="AK21" s="214"/>
      <c r="AL21" s="214"/>
      <c r="AM21" s="215" t="s">
        <v>147</v>
      </c>
      <c r="AN21" s="216" t="s">
        <v>34</v>
      </c>
    </row>
    <row r="22" spans="32:40" x14ac:dyDescent="0.2">
      <c r="AM22" s="148" t="s">
        <v>149</v>
      </c>
      <c r="AN22" s="219" t="s">
        <v>33</v>
      </c>
    </row>
    <row r="23" spans="32:40" x14ac:dyDescent="0.2">
      <c r="AM23" s="218" t="s">
        <v>150</v>
      </c>
      <c r="AN23" s="219" t="s">
        <v>33</v>
      </c>
    </row>
    <row r="24" spans="32:40" x14ac:dyDescent="0.2">
      <c r="AK24" s="214"/>
      <c r="AL24" s="214"/>
      <c r="AM24" s="215" t="s">
        <v>151</v>
      </c>
      <c r="AN24" s="221" t="s">
        <v>30</v>
      </c>
    </row>
    <row r="25" spans="32:40" x14ac:dyDescent="0.2">
      <c r="AF25" t="s">
        <v>151</v>
      </c>
      <c r="AG25" t="s">
        <v>130</v>
      </c>
      <c r="AI25" t="s">
        <v>152</v>
      </c>
      <c r="AK25" s="214"/>
      <c r="AL25" s="214"/>
      <c r="AM25" s="215" t="s">
        <v>151</v>
      </c>
      <c r="AN25" s="224" t="s">
        <v>31</v>
      </c>
    </row>
    <row r="26" spans="32:40" x14ac:dyDescent="0.2">
      <c r="AM26" s="148" t="s">
        <v>153</v>
      </c>
      <c r="AN26" s="219" t="s">
        <v>33</v>
      </c>
    </row>
    <row r="27" spans="32:40" x14ac:dyDescent="0.2">
      <c r="AF27" t="s">
        <v>154</v>
      </c>
      <c r="AG27" t="s">
        <v>130</v>
      </c>
      <c r="AI27" t="s">
        <v>155</v>
      </c>
      <c r="AM27" s="148" t="s">
        <v>154</v>
      </c>
      <c r="AN27" s="223" t="s">
        <v>31</v>
      </c>
    </row>
    <row r="28" spans="32:40" x14ac:dyDescent="0.2">
      <c r="AM28" s="148" t="s">
        <v>156</v>
      </c>
      <c r="AN28" s="223" t="s">
        <v>31</v>
      </c>
    </row>
    <row r="29" spans="32:40" x14ac:dyDescent="0.2">
      <c r="AM29" s="218" t="s">
        <v>157</v>
      </c>
      <c r="AN29" s="223" t="s">
        <v>31</v>
      </c>
    </row>
    <row r="30" spans="32:40" x14ac:dyDescent="0.2">
      <c r="AM30" s="148" t="s">
        <v>158</v>
      </c>
      <c r="AN30" s="223" t="s">
        <v>31</v>
      </c>
    </row>
    <row r="31" spans="32:40" x14ac:dyDescent="0.2">
      <c r="AF31" t="s">
        <v>159</v>
      </c>
      <c r="AG31" t="s">
        <v>160</v>
      </c>
      <c r="AM31" s="225" t="s">
        <v>161</v>
      </c>
      <c r="AN31" s="219" t="s">
        <v>33</v>
      </c>
    </row>
    <row r="32" spans="32:40" x14ac:dyDescent="0.2">
      <c r="AM32" s="148" t="s">
        <v>162</v>
      </c>
      <c r="AN32" s="217" t="s">
        <v>32</v>
      </c>
    </row>
    <row r="33" spans="32:40" x14ac:dyDescent="0.2">
      <c r="AM33" s="148" t="s">
        <v>163</v>
      </c>
      <c r="AN33" s="149" t="s">
        <v>30</v>
      </c>
    </row>
    <row r="34" spans="32:40" x14ac:dyDescent="0.2">
      <c r="AM34" s="217" t="s">
        <v>164</v>
      </c>
      <c r="AN34" s="220" t="s">
        <v>141</v>
      </c>
    </row>
    <row r="35" spans="32:40" x14ac:dyDescent="0.2">
      <c r="AM35" s="217" t="s">
        <v>165</v>
      </c>
      <c r="AN35" s="220" t="s">
        <v>141</v>
      </c>
    </row>
    <row r="36" spans="32:40" x14ac:dyDescent="0.2">
      <c r="AM36" s="217" t="s">
        <v>166</v>
      </c>
      <c r="AN36" s="220" t="s">
        <v>141</v>
      </c>
    </row>
    <row r="37" spans="32:40" x14ac:dyDescent="0.2">
      <c r="AM37" s="148" t="s">
        <v>167</v>
      </c>
      <c r="AN37" s="223" t="s">
        <v>31</v>
      </c>
    </row>
    <row r="38" spans="32:40" x14ac:dyDescent="0.2">
      <c r="AM38" s="148" t="s">
        <v>168</v>
      </c>
      <c r="AN38" s="223" t="s">
        <v>31</v>
      </c>
    </row>
    <row r="39" spans="32:40" x14ac:dyDescent="0.2">
      <c r="AF39" t="s">
        <v>169</v>
      </c>
      <c r="AG39" t="s">
        <v>130</v>
      </c>
      <c r="AI39" t="s">
        <v>170</v>
      </c>
      <c r="AK39" s="214"/>
      <c r="AL39" s="214"/>
      <c r="AM39" s="215" t="s">
        <v>169</v>
      </c>
      <c r="AN39" s="216" t="s">
        <v>34</v>
      </c>
    </row>
    <row r="40" spans="32:40" x14ac:dyDescent="0.2">
      <c r="AK40" s="214"/>
      <c r="AL40" s="214"/>
      <c r="AM40" s="215" t="s">
        <v>171</v>
      </c>
      <c r="AN40" s="216" t="s">
        <v>34</v>
      </c>
    </row>
    <row r="41" spans="32:40" x14ac:dyDescent="0.2">
      <c r="AF41" t="s">
        <v>171</v>
      </c>
      <c r="AG41" t="s">
        <v>130</v>
      </c>
      <c r="AI41" t="s">
        <v>152</v>
      </c>
      <c r="AK41" s="214"/>
      <c r="AL41" s="214"/>
      <c r="AM41" s="215" t="s">
        <v>171</v>
      </c>
      <c r="AN41" s="224" t="s">
        <v>31</v>
      </c>
    </row>
    <row r="42" spans="32:40" x14ac:dyDescent="0.2">
      <c r="AF42" t="s">
        <v>155</v>
      </c>
      <c r="AG42" t="s">
        <v>130</v>
      </c>
      <c r="AI42" t="s">
        <v>172</v>
      </c>
      <c r="AK42" s="214"/>
      <c r="AL42" s="214"/>
      <c r="AM42" s="215" t="s">
        <v>155</v>
      </c>
      <c r="AN42" s="216" t="s">
        <v>34</v>
      </c>
    </row>
    <row r="43" spans="32:40" x14ac:dyDescent="0.2">
      <c r="AM43" s="148" t="s">
        <v>173</v>
      </c>
      <c r="AN43" s="149" t="s">
        <v>30</v>
      </c>
    </row>
    <row r="44" spans="32:40" x14ac:dyDescent="0.2">
      <c r="AM44" s="148" t="s">
        <v>174</v>
      </c>
      <c r="AN44" s="213" t="s">
        <v>34</v>
      </c>
    </row>
    <row r="45" spans="32:40" x14ac:dyDescent="0.2">
      <c r="AM45" s="148" t="s">
        <v>175</v>
      </c>
      <c r="AN45" s="213" t="s">
        <v>34</v>
      </c>
    </row>
    <row r="46" spans="32:40" x14ac:dyDescent="0.2">
      <c r="AM46" s="148" t="s">
        <v>176</v>
      </c>
      <c r="AN46" s="223" t="s">
        <v>31</v>
      </c>
    </row>
    <row r="47" spans="32:40" x14ac:dyDescent="0.2">
      <c r="AM47" s="217" t="s">
        <v>177</v>
      </c>
      <c r="AN47" s="220" t="s">
        <v>141</v>
      </c>
    </row>
    <row r="48" spans="32:40" x14ac:dyDescent="0.2">
      <c r="AF48" t="s">
        <v>178</v>
      </c>
      <c r="AG48" t="s">
        <v>179</v>
      </c>
      <c r="AI48" t="s">
        <v>150</v>
      </c>
      <c r="AK48" s="214"/>
      <c r="AL48" s="214"/>
      <c r="AM48" s="215" t="s">
        <v>178</v>
      </c>
      <c r="AN48" s="222" t="s">
        <v>33</v>
      </c>
    </row>
    <row r="49" spans="32:40" x14ac:dyDescent="0.2">
      <c r="AM49" s="148" t="s">
        <v>143</v>
      </c>
      <c r="AN49" s="149" t="s">
        <v>30</v>
      </c>
    </row>
    <row r="50" spans="32:40" x14ac:dyDescent="0.2">
      <c r="AM50" s="148" t="s">
        <v>180</v>
      </c>
      <c r="AN50" s="213" t="s">
        <v>34</v>
      </c>
    </row>
    <row r="51" spans="32:40" x14ac:dyDescent="0.2">
      <c r="AM51" s="217" t="s">
        <v>181</v>
      </c>
      <c r="AN51" s="220" t="s">
        <v>141</v>
      </c>
    </row>
    <row r="52" spans="32:40" x14ac:dyDescent="0.2">
      <c r="AM52" s="148" t="s">
        <v>182</v>
      </c>
      <c r="AN52" s="223" t="s">
        <v>31</v>
      </c>
    </row>
    <row r="53" spans="32:40" x14ac:dyDescent="0.2">
      <c r="AM53" s="148" t="s">
        <v>183</v>
      </c>
      <c r="AN53" s="217" t="s">
        <v>32</v>
      </c>
    </row>
    <row r="54" spans="32:40" x14ac:dyDescent="0.2">
      <c r="AM54" s="148" t="s">
        <v>184</v>
      </c>
      <c r="AN54" s="217" t="s">
        <v>32</v>
      </c>
    </row>
    <row r="55" spans="32:40" x14ac:dyDescent="0.2">
      <c r="AM55" s="148" t="s">
        <v>185</v>
      </c>
      <c r="AN55" s="217" t="s">
        <v>32</v>
      </c>
    </row>
    <row r="56" spans="32:40" x14ac:dyDescent="0.2">
      <c r="AM56" s="148" t="s">
        <v>186</v>
      </c>
      <c r="AN56" s="219" t="s">
        <v>33</v>
      </c>
    </row>
    <row r="57" spans="32:40" x14ac:dyDescent="0.2">
      <c r="AM57" s="148" t="s">
        <v>187</v>
      </c>
      <c r="AN57" s="213" t="s">
        <v>34</v>
      </c>
    </row>
    <row r="58" spans="32:40" x14ac:dyDescent="0.2">
      <c r="AM58" s="148" t="s">
        <v>188</v>
      </c>
      <c r="AN58" s="217" t="s">
        <v>32</v>
      </c>
    </row>
    <row r="59" spans="32:40" x14ac:dyDescent="0.2">
      <c r="AM59" s="148" t="s">
        <v>189</v>
      </c>
      <c r="AN59" s="219" t="s">
        <v>33</v>
      </c>
    </row>
    <row r="60" spans="32:40" x14ac:dyDescent="0.2">
      <c r="AF60" t="s">
        <v>190</v>
      </c>
      <c r="AG60" t="s">
        <v>130</v>
      </c>
      <c r="AI60" t="s">
        <v>191</v>
      </c>
      <c r="AK60" s="214"/>
      <c r="AL60" s="214"/>
      <c r="AM60" s="215" t="s">
        <v>190</v>
      </c>
      <c r="AN60" s="222" t="s">
        <v>33</v>
      </c>
    </row>
    <row r="61" spans="32:40" x14ac:dyDescent="0.2">
      <c r="AM61" s="217" t="s">
        <v>192</v>
      </c>
      <c r="AN61" s="220" t="s">
        <v>141</v>
      </c>
    </row>
    <row r="62" spans="32:40" x14ac:dyDescent="0.2">
      <c r="AM62" s="148" t="s">
        <v>193</v>
      </c>
      <c r="AN62" s="213" t="s">
        <v>34</v>
      </c>
    </row>
    <row r="63" spans="32:40" x14ac:dyDescent="0.2">
      <c r="AM63" s="217" t="s">
        <v>194</v>
      </c>
      <c r="AN63" s="220" t="s">
        <v>141</v>
      </c>
    </row>
    <row r="64" spans="32:40" x14ac:dyDescent="0.2">
      <c r="AM64" s="217" t="s">
        <v>195</v>
      </c>
      <c r="AN64" s="220" t="s">
        <v>141</v>
      </c>
    </row>
    <row r="65" spans="32:40" x14ac:dyDescent="0.2">
      <c r="AM65" s="148" t="s">
        <v>196</v>
      </c>
      <c r="AN65" s="149" t="s">
        <v>30</v>
      </c>
    </row>
    <row r="66" spans="32:40" x14ac:dyDescent="0.2">
      <c r="AF66" t="s">
        <v>197</v>
      </c>
      <c r="AG66" t="s">
        <v>130</v>
      </c>
      <c r="AI66" t="s">
        <v>198</v>
      </c>
      <c r="AK66" s="214"/>
      <c r="AL66" s="214"/>
      <c r="AM66" s="215" t="s">
        <v>197</v>
      </c>
      <c r="AN66" s="222" t="s">
        <v>33</v>
      </c>
    </row>
    <row r="67" spans="32:40" x14ac:dyDescent="0.2">
      <c r="AM67" s="148" t="s">
        <v>199</v>
      </c>
      <c r="AN67" s="217" t="s">
        <v>32</v>
      </c>
    </row>
    <row r="68" spans="32:40" x14ac:dyDescent="0.2">
      <c r="AM68" s="148" t="s">
        <v>200</v>
      </c>
      <c r="AN68" s="223" t="s">
        <v>31</v>
      </c>
    </row>
    <row r="69" spans="32:40" x14ac:dyDescent="0.2">
      <c r="AM69" s="148" t="s">
        <v>201</v>
      </c>
      <c r="AN69" s="149" t="s">
        <v>30</v>
      </c>
    </row>
    <row r="70" spans="32:40" x14ac:dyDescent="0.2">
      <c r="AF70" t="s">
        <v>202</v>
      </c>
      <c r="AG70" t="s">
        <v>130</v>
      </c>
      <c r="AI70" t="s">
        <v>201</v>
      </c>
      <c r="AM70" s="148" t="s">
        <v>202</v>
      </c>
      <c r="AN70" s="149" t="s">
        <v>30</v>
      </c>
    </row>
    <row r="71" spans="32:40" x14ac:dyDescent="0.2">
      <c r="AM71" s="148" t="s">
        <v>203</v>
      </c>
      <c r="AN71" s="219" t="s">
        <v>33</v>
      </c>
    </row>
    <row r="72" spans="32:40" x14ac:dyDescent="0.2">
      <c r="AM72" s="148" t="s">
        <v>191</v>
      </c>
      <c r="AN72" s="219" t="s">
        <v>33</v>
      </c>
    </row>
    <row r="73" spans="32:40" x14ac:dyDescent="0.2">
      <c r="AM73" s="148" t="s">
        <v>198</v>
      </c>
      <c r="AN73" s="219" t="s">
        <v>33</v>
      </c>
    </row>
    <row r="74" spans="32:40" x14ac:dyDescent="0.2">
      <c r="AM74" s="148" t="s">
        <v>204</v>
      </c>
      <c r="AN74" s="217" t="s">
        <v>32</v>
      </c>
    </row>
    <row r="75" spans="32:40" x14ac:dyDescent="0.2">
      <c r="AM75" s="148" t="s">
        <v>205</v>
      </c>
      <c r="AN75" s="217" t="s">
        <v>32</v>
      </c>
    </row>
    <row r="76" spans="32:40" x14ac:dyDescent="0.2">
      <c r="AF76" t="s">
        <v>206</v>
      </c>
      <c r="AG76" t="s">
        <v>130</v>
      </c>
      <c r="AI76" t="s">
        <v>171</v>
      </c>
      <c r="AK76" s="214"/>
      <c r="AL76" s="214"/>
      <c r="AM76" s="215" t="s">
        <v>206</v>
      </c>
      <c r="AN76" s="221" t="s">
        <v>30</v>
      </c>
    </row>
    <row r="77" spans="32:40" x14ac:dyDescent="0.2">
      <c r="AF77" t="s">
        <v>207</v>
      </c>
      <c r="AG77" t="s">
        <v>130</v>
      </c>
      <c r="AI77" t="s">
        <v>204</v>
      </c>
      <c r="AK77" s="214"/>
      <c r="AL77" s="214"/>
      <c r="AM77" s="215" t="s">
        <v>207</v>
      </c>
      <c r="AN77" s="226" t="s">
        <v>32</v>
      </c>
    </row>
    <row r="78" spans="32:40" x14ac:dyDescent="0.2">
      <c r="AM78" s="148" t="s">
        <v>208</v>
      </c>
      <c r="AN78" s="223" t="s">
        <v>31</v>
      </c>
    </row>
    <row r="79" spans="32:40" x14ac:dyDescent="0.2">
      <c r="AM79" s="148" t="s">
        <v>209</v>
      </c>
      <c r="AN79" s="213" t="s">
        <v>34</v>
      </c>
    </row>
    <row r="80" spans="32:40" x14ac:dyDescent="0.2">
      <c r="AM80" s="148" t="s">
        <v>210</v>
      </c>
      <c r="AN80" s="223" t="s">
        <v>31</v>
      </c>
    </row>
    <row r="81" spans="32:46" x14ac:dyDescent="0.2">
      <c r="AM81" s="148" t="s">
        <v>211</v>
      </c>
      <c r="AN81" s="223" t="s">
        <v>31</v>
      </c>
    </row>
    <row r="82" spans="32:46" x14ac:dyDescent="0.2">
      <c r="AF82" t="s">
        <v>212</v>
      </c>
      <c r="AG82" t="s">
        <v>130</v>
      </c>
      <c r="AI82" t="s">
        <v>213</v>
      </c>
      <c r="AK82" s="214"/>
      <c r="AL82" s="214"/>
      <c r="AM82" s="215" t="s">
        <v>212</v>
      </c>
      <c r="AN82" s="226" t="s">
        <v>32</v>
      </c>
    </row>
    <row r="83" spans="32:46" x14ac:dyDescent="0.2">
      <c r="AM83" s="148" t="s">
        <v>214</v>
      </c>
      <c r="AN83" s="213" t="s">
        <v>34</v>
      </c>
      <c r="AS83" t="s">
        <v>215</v>
      </c>
    </row>
    <row r="84" spans="32:46" x14ac:dyDescent="0.2">
      <c r="AM84" s="217" t="s">
        <v>216</v>
      </c>
      <c r="AN84" s="220" t="s">
        <v>141</v>
      </c>
      <c r="AS84" t="s">
        <v>217</v>
      </c>
    </row>
    <row r="85" spans="32:46" x14ac:dyDescent="0.2">
      <c r="AM85" s="148" t="s">
        <v>172</v>
      </c>
      <c r="AN85" s="219" t="s">
        <v>33</v>
      </c>
      <c r="AS85" t="s">
        <v>157</v>
      </c>
    </row>
    <row r="86" spans="32:46" x14ac:dyDescent="0.2">
      <c r="AM86" s="148" t="s">
        <v>218</v>
      </c>
      <c r="AN86" s="149" t="s">
        <v>30</v>
      </c>
      <c r="AS86" t="s">
        <v>219</v>
      </c>
    </row>
    <row r="87" spans="32:46" x14ac:dyDescent="0.2">
      <c r="AM87" s="217" t="s">
        <v>220</v>
      </c>
      <c r="AN87" s="220" t="s">
        <v>141</v>
      </c>
      <c r="AS87" t="s">
        <v>221</v>
      </c>
    </row>
    <row r="88" spans="32:46" x14ac:dyDescent="0.2">
      <c r="AM88" s="148" t="s">
        <v>222</v>
      </c>
      <c r="AN88" s="217" t="s">
        <v>32</v>
      </c>
      <c r="AS88" t="s">
        <v>223</v>
      </c>
    </row>
    <row r="89" spans="32:46" x14ac:dyDescent="0.2">
      <c r="AM89" s="148" t="s">
        <v>224</v>
      </c>
      <c r="AN89" s="213" t="s">
        <v>34</v>
      </c>
      <c r="AS89" t="s">
        <v>225</v>
      </c>
    </row>
    <row r="90" spans="32:46" x14ac:dyDescent="0.2">
      <c r="AM90" s="217" t="s">
        <v>226</v>
      </c>
      <c r="AN90" s="220" t="s">
        <v>141</v>
      </c>
    </row>
    <row r="91" spans="32:46" x14ac:dyDescent="0.2">
      <c r="AF91" t="s">
        <v>227</v>
      </c>
      <c r="AG91" t="s">
        <v>130</v>
      </c>
      <c r="AI91" t="s">
        <v>176</v>
      </c>
      <c r="AK91" s="214"/>
      <c r="AL91" s="214"/>
      <c r="AM91" s="215" t="s">
        <v>227</v>
      </c>
      <c r="AN91" s="221" t="s">
        <v>30</v>
      </c>
      <c r="AS91" t="s">
        <v>223</v>
      </c>
    </row>
    <row r="92" spans="32:46" x14ac:dyDescent="0.2">
      <c r="AM92" s="148" t="s">
        <v>213</v>
      </c>
      <c r="AN92" s="217" t="s">
        <v>32</v>
      </c>
      <c r="AS92" t="s">
        <v>228</v>
      </c>
    </row>
    <row r="93" spans="32:46" x14ac:dyDescent="0.2">
      <c r="AF93" t="s">
        <v>229</v>
      </c>
      <c r="AG93" t="s">
        <v>130</v>
      </c>
      <c r="AI93" t="s">
        <v>146</v>
      </c>
      <c r="AK93" s="214"/>
      <c r="AL93" s="214"/>
      <c r="AM93" s="215" t="s">
        <v>229</v>
      </c>
      <c r="AN93" s="224" t="s">
        <v>31</v>
      </c>
    </row>
    <row r="94" spans="32:46" x14ac:dyDescent="0.2">
      <c r="AM94" s="217" t="s">
        <v>230</v>
      </c>
      <c r="AN94" s="220" t="s">
        <v>141</v>
      </c>
    </row>
    <row r="95" spans="32:46" x14ac:dyDescent="0.2">
      <c r="AM95" s="148" t="s">
        <v>170</v>
      </c>
      <c r="AN95" s="217" t="s">
        <v>32</v>
      </c>
      <c r="AS95" s="217" t="s">
        <v>231</v>
      </c>
      <c r="AT95" s="217"/>
    </row>
    <row r="96" spans="32:46" x14ac:dyDescent="0.2">
      <c r="AF96" t="s">
        <v>232</v>
      </c>
      <c r="AI96" t="s">
        <v>233</v>
      </c>
      <c r="AK96" s="214"/>
      <c r="AL96" s="214"/>
      <c r="AM96" s="215" t="s">
        <v>232</v>
      </c>
      <c r="AN96" s="216" t="s">
        <v>34</v>
      </c>
    </row>
    <row r="97" spans="32:69" x14ac:dyDescent="0.2">
      <c r="AM97" s="148" t="s">
        <v>234</v>
      </c>
      <c r="AN97" s="149" t="s">
        <v>30</v>
      </c>
    </row>
    <row r="98" spans="32:69" x14ac:dyDescent="0.2">
      <c r="AM98" s="217" t="s">
        <v>235</v>
      </c>
      <c r="AN98" s="220" t="s">
        <v>141</v>
      </c>
    </row>
    <row r="99" spans="32:69" x14ac:dyDescent="0.2">
      <c r="AM99" s="217" t="s">
        <v>236</v>
      </c>
      <c r="AN99" s="220" t="s">
        <v>141</v>
      </c>
    </row>
    <row r="103" spans="32:69" ht="15" thickBot="1" x14ac:dyDescent="0.25"/>
    <row r="104" spans="32:69" ht="18" x14ac:dyDescent="0.25">
      <c r="AF104" s="227" t="s">
        <v>237</v>
      </c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9"/>
      <c r="AV104" s="229"/>
      <c r="AW104" s="228"/>
      <c r="AX104" s="228"/>
      <c r="AY104" s="228"/>
      <c r="AZ104" s="228"/>
      <c r="BA104" s="228"/>
      <c r="BB104" s="228"/>
      <c r="BC104" s="228"/>
      <c r="BD104" s="228"/>
      <c r="BE104" s="228"/>
      <c r="BF104" s="228"/>
      <c r="BG104" s="228"/>
      <c r="BH104" s="228"/>
      <c r="BI104" s="228"/>
      <c r="BJ104" s="228"/>
      <c r="BK104" s="228"/>
      <c r="BL104" s="228"/>
      <c r="BM104" s="228"/>
      <c r="BN104" s="228"/>
      <c r="BO104" s="228"/>
      <c r="BP104" s="228"/>
      <c r="BQ104" s="230"/>
    </row>
    <row r="105" spans="32:69" x14ac:dyDescent="0.2">
      <c r="AF105" s="231"/>
      <c r="AU105" s="148"/>
      <c r="AV105" s="148"/>
      <c r="BI105" s="141" t="s">
        <v>238</v>
      </c>
      <c r="BQ105" s="232"/>
    </row>
    <row r="106" spans="32:69" ht="18" x14ac:dyDescent="0.25">
      <c r="AF106" s="231"/>
      <c r="AG106" s="233" t="s">
        <v>239</v>
      </c>
      <c r="AH106" s="233"/>
      <c r="AU106" s="148"/>
      <c r="AV106" s="148"/>
      <c r="BI106" s="234" t="s">
        <v>240</v>
      </c>
      <c r="BJ106" s="148">
        <v>1</v>
      </c>
      <c r="BK106" s="217" t="s">
        <v>164</v>
      </c>
      <c r="BL106" s="148" t="s">
        <v>241</v>
      </c>
      <c r="BN106" s="235" t="s">
        <v>242</v>
      </c>
      <c r="BQ106" s="232"/>
    </row>
    <row r="107" spans="32:69" ht="15" thickBot="1" x14ac:dyDescent="0.25">
      <c r="AF107" s="231"/>
      <c r="AM107" s="236" t="s">
        <v>243</v>
      </c>
      <c r="AU107" s="148"/>
      <c r="AV107" s="148"/>
      <c r="BI107" s="141">
        <v>22</v>
      </c>
      <c r="BJ107" s="148">
        <v>2</v>
      </c>
      <c r="BK107" s="217" t="s">
        <v>244</v>
      </c>
      <c r="BL107" s="148" t="s">
        <v>241</v>
      </c>
      <c r="BN107" s="235" t="s">
        <v>245</v>
      </c>
      <c r="BQ107" s="232"/>
    </row>
    <row r="108" spans="32:69" ht="15" thickBot="1" x14ac:dyDescent="0.25">
      <c r="AF108" s="231"/>
      <c r="AG108" s="219">
        <v>1</v>
      </c>
      <c r="AH108" s="219"/>
      <c r="AI108" s="219" t="s">
        <v>33</v>
      </c>
      <c r="AJ108" s="237"/>
      <c r="AK108" s="237"/>
      <c r="AL108" s="237"/>
      <c r="AM108" s="237"/>
      <c r="AN108" s="237"/>
      <c r="AO108" s="238" t="s">
        <v>246</v>
      </c>
      <c r="AR108" s="219">
        <v>3</v>
      </c>
      <c r="AS108" s="268" t="s">
        <v>34</v>
      </c>
      <c r="AT108" s="215"/>
      <c r="AU108" s="215"/>
      <c r="AV108" s="215"/>
      <c r="AW108" s="215"/>
      <c r="AX108" s="215"/>
      <c r="AY108" s="238" t="s">
        <v>246</v>
      </c>
      <c r="BA108" s="219">
        <v>5</v>
      </c>
      <c r="BB108" s="467" t="s">
        <v>32</v>
      </c>
      <c r="BC108" s="239"/>
      <c r="BD108" s="239"/>
      <c r="BE108" s="239"/>
      <c r="BF108" s="239"/>
      <c r="BG108" s="239"/>
      <c r="BH108" s="238" t="s">
        <v>246</v>
      </c>
      <c r="BI108" s="141">
        <v>33</v>
      </c>
      <c r="BJ108" s="148">
        <v>3</v>
      </c>
      <c r="BK108" s="217" t="s">
        <v>247</v>
      </c>
      <c r="BL108" s="148" t="s">
        <v>241</v>
      </c>
      <c r="BN108" s="235" t="s">
        <v>248</v>
      </c>
      <c r="BQ108" s="232"/>
    </row>
    <row r="109" spans="32:69" x14ac:dyDescent="0.2">
      <c r="AF109" s="231"/>
      <c r="AI109" s="219" t="s">
        <v>33</v>
      </c>
      <c r="AJ109" s="240">
        <v>1</v>
      </c>
      <c r="AK109" s="466" t="s">
        <v>138</v>
      </c>
      <c r="AL109" s="240" t="s">
        <v>249</v>
      </c>
      <c r="AM109" s="466" t="s">
        <v>197</v>
      </c>
      <c r="AN109" s="240" t="s">
        <v>250</v>
      </c>
      <c r="AO109" t="str">
        <f>AO142</f>
        <v>กำแพงเมือง</v>
      </c>
      <c r="AS109" s="268" t="s">
        <v>34</v>
      </c>
      <c r="AT109" s="240">
        <v>1</v>
      </c>
      <c r="AU109" s="466" t="s">
        <v>193</v>
      </c>
      <c r="AV109" s="240" t="s">
        <v>249</v>
      </c>
      <c r="AW109" s="466" t="s">
        <v>251</v>
      </c>
      <c r="AX109" s="240" t="s">
        <v>252</v>
      </c>
      <c r="AY109" t="str">
        <f>AO145</f>
        <v>ดาวในจักรวาล</v>
      </c>
      <c r="BB109" s="467" t="s">
        <v>32</v>
      </c>
      <c r="BC109" s="240">
        <v>1</v>
      </c>
      <c r="BD109" s="466" t="s">
        <v>222</v>
      </c>
      <c r="BE109" s="240" t="s">
        <v>249</v>
      </c>
      <c r="BF109" s="466" t="s">
        <v>253</v>
      </c>
      <c r="BG109" s="240" t="s">
        <v>254</v>
      </c>
      <c r="BH109" t="str">
        <f>AO141</f>
        <v>ใช้ขวานผ่าฟืน</v>
      </c>
      <c r="BI109" s="141">
        <v>44</v>
      </c>
      <c r="BJ109" s="148">
        <v>4</v>
      </c>
      <c r="BK109" s="217" t="s">
        <v>255</v>
      </c>
      <c r="BL109" s="148" t="s">
        <v>241</v>
      </c>
      <c r="BN109" s="235" t="s">
        <v>256</v>
      </c>
      <c r="BQ109" s="232"/>
    </row>
    <row r="110" spans="32:69" x14ac:dyDescent="0.2">
      <c r="AF110" s="231"/>
      <c r="AI110" s="219" t="s">
        <v>33</v>
      </c>
      <c r="AJ110" s="240">
        <v>2</v>
      </c>
      <c r="AK110" s="466" t="s">
        <v>257</v>
      </c>
      <c r="AL110" s="240" t="s">
        <v>249</v>
      </c>
      <c r="AM110" s="466" t="s">
        <v>173</v>
      </c>
      <c r="AN110" s="240" t="s">
        <v>250</v>
      </c>
      <c r="AO110" t="str">
        <f>AP142</f>
        <v>ยานอวกาศ</v>
      </c>
      <c r="AS110" s="268" t="s">
        <v>34</v>
      </c>
      <c r="AT110" s="240">
        <v>2</v>
      </c>
      <c r="AU110" s="466" t="s">
        <v>224</v>
      </c>
      <c r="AV110" s="240" t="s">
        <v>249</v>
      </c>
      <c r="AW110" s="466" t="s">
        <v>258</v>
      </c>
      <c r="AX110" s="240" t="s">
        <v>252</v>
      </c>
      <c r="AY110" t="str">
        <f>AP145</f>
        <v>คลื่นทะเล</v>
      </c>
      <c r="BB110" s="467" t="s">
        <v>32</v>
      </c>
      <c r="BC110" s="240">
        <v>2</v>
      </c>
      <c r="BD110" s="466" t="s">
        <v>205</v>
      </c>
      <c r="BE110" s="240" t="s">
        <v>249</v>
      </c>
      <c r="BF110" s="466" t="s">
        <v>259</v>
      </c>
      <c r="BG110" s="240" t="s">
        <v>254</v>
      </c>
      <c r="BH110" t="str">
        <f>AP141</f>
        <v>เข็มเย็บผ้า</v>
      </c>
      <c r="BI110" s="141">
        <v>55</v>
      </c>
      <c r="BJ110" s="148">
        <v>5</v>
      </c>
      <c r="BK110" s="217" t="s">
        <v>260</v>
      </c>
      <c r="BL110" s="148" t="s">
        <v>241</v>
      </c>
      <c r="BN110" s="235" t="s">
        <v>261</v>
      </c>
      <c r="BQ110" s="232"/>
    </row>
    <row r="111" spans="32:69" x14ac:dyDescent="0.2">
      <c r="AF111" s="231"/>
      <c r="AI111" s="219" t="s">
        <v>33</v>
      </c>
      <c r="AJ111" s="240">
        <v>3</v>
      </c>
      <c r="AK111" s="466" t="s">
        <v>191</v>
      </c>
      <c r="AL111" s="240" t="s">
        <v>249</v>
      </c>
      <c r="AM111" s="466" t="s">
        <v>262</v>
      </c>
      <c r="AN111" s="240" t="s">
        <v>250</v>
      </c>
      <c r="AO111" t="str">
        <f>AQ142</f>
        <v>ปิรามิด</v>
      </c>
      <c r="AS111" s="268" t="s">
        <v>34</v>
      </c>
      <c r="AT111" s="240">
        <v>3</v>
      </c>
      <c r="AU111" s="466" t="s">
        <v>180</v>
      </c>
      <c r="AV111" s="240" t="s">
        <v>249</v>
      </c>
      <c r="AW111" s="466" t="s">
        <v>263</v>
      </c>
      <c r="AX111" s="240" t="s">
        <v>252</v>
      </c>
      <c r="AY111" t="str">
        <f>AQ145</f>
        <v>ดวงอาทิตย์</v>
      </c>
      <c r="BB111" s="467" t="s">
        <v>32</v>
      </c>
      <c r="BC111" s="240">
        <v>3</v>
      </c>
      <c r="BD111" s="466" t="s">
        <v>204</v>
      </c>
      <c r="BE111" s="240" t="s">
        <v>249</v>
      </c>
      <c r="BF111" s="466" t="s">
        <v>264</v>
      </c>
      <c r="BG111" s="240" t="s">
        <v>254</v>
      </c>
      <c r="BH111" s="214" t="str">
        <f>AQ141</f>
        <v>ลูกกุญแจ</v>
      </c>
      <c r="BI111" s="141">
        <v>66</v>
      </c>
      <c r="BJ111" s="148">
        <v>6</v>
      </c>
      <c r="BK111" s="217" t="s">
        <v>265</v>
      </c>
      <c r="BL111" s="148" t="s">
        <v>241</v>
      </c>
      <c r="BN111" s="235" t="s">
        <v>266</v>
      </c>
      <c r="BQ111" s="232"/>
    </row>
    <row r="112" spans="32:69" x14ac:dyDescent="0.2">
      <c r="AF112" s="231"/>
      <c r="AI112" s="219" t="s">
        <v>33</v>
      </c>
      <c r="AJ112" s="240">
        <v>4</v>
      </c>
      <c r="AK112" s="466" t="s">
        <v>134</v>
      </c>
      <c r="AL112" s="240" t="s">
        <v>249</v>
      </c>
      <c r="AM112" s="466" t="s">
        <v>267</v>
      </c>
      <c r="AN112" s="240" t="s">
        <v>250</v>
      </c>
      <c r="AO112" t="str">
        <f>AR142</f>
        <v>เขื่อนกั้นน้ำ</v>
      </c>
      <c r="AS112" s="268" t="s">
        <v>34</v>
      </c>
      <c r="AT112" s="240">
        <v>4</v>
      </c>
      <c r="AU112" s="466" t="s">
        <v>174</v>
      </c>
      <c r="AV112" s="240" t="s">
        <v>249</v>
      </c>
      <c r="AW112" s="466" t="s">
        <v>268</v>
      </c>
      <c r="AX112" s="240" t="s">
        <v>252</v>
      </c>
      <c r="AY112" t="str">
        <f>AR145</f>
        <v>พระจันทร์</v>
      </c>
      <c r="BB112" s="467" t="s">
        <v>32</v>
      </c>
      <c r="BC112" s="240">
        <v>4</v>
      </c>
      <c r="BD112" s="466" t="s">
        <v>199</v>
      </c>
      <c r="BE112" s="240" t="s">
        <v>249</v>
      </c>
      <c r="BF112" s="466" t="s">
        <v>269</v>
      </c>
      <c r="BG112" s="240" t="s">
        <v>254</v>
      </c>
      <c r="BH112" t="str">
        <f>AR141</f>
        <v>ค้อนตอกตะปู</v>
      </c>
      <c r="BI112" s="141">
        <v>77</v>
      </c>
      <c r="BJ112" s="148">
        <v>7</v>
      </c>
      <c r="BK112" s="217" t="s">
        <v>270</v>
      </c>
      <c r="BL112" s="148" t="s">
        <v>241</v>
      </c>
      <c r="BN112" s="235" t="s">
        <v>271</v>
      </c>
      <c r="BQ112" s="232"/>
    </row>
    <row r="113" spans="32:69" x14ac:dyDescent="0.2">
      <c r="AF113" s="231"/>
      <c r="AI113" s="219" t="s">
        <v>33</v>
      </c>
      <c r="AJ113" s="240">
        <v>5</v>
      </c>
      <c r="AK113" s="466" t="s">
        <v>172</v>
      </c>
      <c r="AL113" s="240" t="s">
        <v>249</v>
      </c>
      <c r="AM113" s="466" t="s">
        <v>272</v>
      </c>
      <c r="AN113" s="240" t="s">
        <v>250</v>
      </c>
      <c r="AO113" t="str">
        <f>AO143</f>
        <v>วงล้อบนเกวียน</v>
      </c>
      <c r="AS113" s="268" t="s">
        <v>34</v>
      </c>
      <c r="AT113" s="240">
        <v>5</v>
      </c>
      <c r="AU113" s="466" t="s">
        <v>212</v>
      </c>
      <c r="AV113" s="240" t="s">
        <v>249</v>
      </c>
      <c r="AW113" s="466" t="s">
        <v>273</v>
      </c>
      <c r="AX113" s="240" t="s">
        <v>252</v>
      </c>
      <c r="AY113" t="str">
        <f>AO153</f>
        <v>จิตกรวาดภาพ</v>
      </c>
      <c r="BB113" s="467" t="s">
        <v>32</v>
      </c>
      <c r="BC113" s="240">
        <v>5</v>
      </c>
      <c r="BD113" s="466" t="s">
        <v>274</v>
      </c>
      <c r="BE113" s="240" t="s">
        <v>249</v>
      </c>
      <c r="BF113" s="466" t="s">
        <v>221</v>
      </c>
      <c r="BG113" s="240" t="s">
        <v>254</v>
      </c>
      <c r="BH113" t="str">
        <f>AO146</f>
        <v>งานปั้นหม้อ</v>
      </c>
      <c r="BI113" s="141">
        <v>88</v>
      </c>
      <c r="BJ113" s="148">
        <v>8</v>
      </c>
      <c r="BK113" s="217" t="s">
        <v>140</v>
      </c>
      <c r="BL113" s="148" t="s">
        <v>241</v>
      </c>
      <c r="BN113" s="235" t="s">
        <v>275</v>
      </c>
      <c r="BQ113" s="232"/>
    </row>
    <row r="114" spans="32:69" x14ac:dyDescent="0.2">
      <c r="AF114" s="231"/>
      <c r="AI114" s="219" t="s">
        <v>33</v>
      </c>
      <c r="AJ114" s="240">
        <v>6</v>
      </c>
      <c r="AK114" s="466" t="s">
        <v>150</v>
      </c>
      <c r="AL114" s="240" t="s">
        <v>249</v>
      </c>
      <c r="AM114" s="466" t="s">
        <v>276</v>
      </c>
      <c r="AN114" s="240" t="s">
        <v>250</v>
      </c>
      <c r="AO114" t="str">
        <f>AP143</f>
        <v>บันไดทางขึ้น</v>
      </c>
      <c r="AS114" s="268" t="s">
        <v>34</v>
      </c>
      <c r="AT114" s="240">
        <v>6</v>
      </c>
      <c r="AU114" s="466" t="s">
        <v>159</v>
      </c>
      <c r="AV114" s="240" t="s">
        <v>249</v>
      </c>
      <c r="AW114" s="466" t="s">
        <v>161</v>
      </c>
      <c r="AX114" s="240" t="s">
        <v>252</v>
      </c>
      <c r="AY114" t="str">
        <f>AP153</f>
        <v>ช่างปั้นรูปปั้น</v>
      </c>
      <c r="BB114" s="467" t="s">
        <v>32</v>
      </c>
      <c r="BC114" s="240">
        <v>6</v>
      </c>
      <c r="BD114" s="466" t="s">
        <v>170</v>
      </c>
      <c r="BE114" s="240" t="s">
        <v>249</v>
      </c>
      <c r="BF114" s="466" t="s">
        <v>277</v>
      </c>
      <c r="BG114" s="240" t="s">
        <v>254</v>
      </c>
      <c r="BH114" t="str">
        <f>AP146</f>
        <v>งานทอผ้า</v>
      </c>
      <c r="BI114" s="141">
        <v>99</v>
      </c>
      <c r="BJ114" s="148">
        <v>9</v>
      </c>
      <c r="BK114" s="217" t="s">
        <v>278</v>
      </c>
      <c r="BL114" s="148" t="s">
        <v>241</v>
      </c>
      <c r="BN114" s="235" t="s">
        <v>279</v>
      </c>
      <c r="BQ114" s="232"/>
    </row>
    <row r="115" spans="32:69" x14ac:dyDescent="0.2">
      <c r="AF115" s="231"/>
      <c r="AI115" s="219" t="s">
        <v>33</v>
      </c>
      <c r="AJ115" s="240">
        <v>7</v>
      </c>
      <c r="AK115" s="466" t="s">
        <v>203</v>
      </c>
      <c r="AL115" s="240" t="s">
        <v>249</v>
      </c>
      <c r="AM115" s="466" t="s">
        <v>217</v>
      </c>
      <c r="AN115" s="240" t="s">
        <v>250</v>
      </c>
      <c r="AO115" t="str">
        <f>AQ143</f>
        <v>รางรถไฟ</v>
      </c>
      <c r="AS115" s="268" t="s">
        <v>34</v>
      </c>
      <c r="AT115" s="240">
        <v>7</v>
      </c>
      <c r="AU115" s="466" t="s">
        <v>171</v>
      </c>
      <c r="AV115" s="240" t="s">
        <v>249</v>
      </c>
      <c r="AW115" s="466" t="s">
        <v>206</v>
      </c>
      <c r="AX115" s="240" t="s">
        <v>252</v>
      </c>
      <c r="AY115" t="str">
        <f>AQ153</f>
        <v>นักมายากล</v>
      </c>
      <c r="BB115" s="467" t="s">
        <v>32</v>
      </c>
      <c r="BC115" s="240">
        <v>7</v>
      </c>
      <c r="BD115" s="466" t="s">
        <v>188</v>
      </c>
      <c r="BE115" s="240" t="s">
        <v>249</v>
      </c>
      <c r="BF115" s="466" t="s">
        <v>280</v>
      </c>
      <c r="BG115" s="240" t="s">
        <v>254</v>
      </c>
      <c r="BH115" t="str">
        <f>AQ146</f>
        <v>ทำนาข้าว</v>
      </c>
      <c r="BI115" s="243">
        <v>100</v>
      </c>
      <c r="BJ115" s="148">
        <v>10</v>
      </c>
      <c r="BK115" s="217" t="s">
        <v>281</v>
      </c>
      <c r="BL115" s="148" t="s">
        <v>241</v>
      </c>
      <c r="BN115" s="235" t="s">
        <v>282</v>
      </c>
      <c r="BQ115" s="232"/>
    </row>
    <row r="116" spans="32:69" x14ac:dyDescent="0.2">
      <c r="AF116" s="231"/>
      <c r="AI116" s="219" t="s">
        <v>33</v>
      </c>
      <c r="AJ116" s="240">
        <v>8</v>
      </c>
      <c r="AK116" s="466" t="s">
        <v>198</v>
      </c>
      <c r="AL116" s="240" t="s">
        <v>249</v>
      </c>
      <c r="AM116" s="466" t="s">
        <v>283</v>
      </c>
      <c r="AN116" s="240" t="s">
        <v>250</v>
      </c>
      <c r="AO116" t="str">
        <f>AR143</f>
        <v>เครื่องบินบนฟ้า</v>
      </c>
      <c r="AS116" s="268" t="s">
        <v>34</v>
      </c>
      <c r="AT116" s="240">
        <v>8</v>
      </c>
      <c r="AU116" s="466" t="s">
        <v>128</v>
      </c>
      <c r="AV116" s="240" t="s">
        <v>249</v>
      </c>
      <c r="AW116" s="466" t="s">
        <v>284</v>
      </c>
      <c r="AX116" s="240" t="s">
        <v>252</v>
      </c>
      <c r="AY116" t="str">
        <f>AO155</f>
        <v>ดอกบัว</v>
      </c>
      <c r="BB116" s="467" t="s">
        <v>32</v>
      </c>
      <c r="BC116" s="240">
        <v>8</v>
      </c>
      <c r="BD116" s="466" t="s">
        <v>135</v>
      </c>
      <c r="BE116" s="240" t="s">
        <v>249</v>
      </c>
      <c r="BF116" s="466" t="s">
        <v>285</v>
      </c>
      <c r="BG116" s="240" t="s">
        <v>254</v>
      </c>
      <c r="BH116" t="str">
        <f>AR146</f>
        <v>ถ้ำอยู่อาศัย</v>
      </c>
      <c r="BI116" s="141">
        <v>111</v>
      </c>
      <c r="BJ116" s="148">
        <v>11</v>
      </c>
      <c r="BK116" s="217" t="s">
        <v>286</v>
      </c>
      <c r="BL116" s="148" t="s">
        <v>241</v>
      </c>
      <c r="BN116" s="235" t="s">
        <v>287</v>
      </c>
      <c r="BQ116" s="232"/>
    </row>
    <row r="117" spans="32:69" x14ac:dyDescent="0.2">
      <c r="AF117" s="231"/>
      <c r="AI117" s="219" t="s">
        <v>33</v>
      </c>
      <c r="AJ117" s="240">
        <v>9</v>
      </c>
      <c r="AK117" s="466" t="s">
        <v>149</v>
      </c>
      <c r="AL117" s="240" t="s">
        <v>249</v>
      </c>
      <c r="AM117" s="466" t="s">
        <v>288</v>
      </c>
      <c r="AN117" s="240" t="s">
        <v>250</v>
      </c>
      <c r="AO117" t="str">
        <f>AO152</f>
        <v>ถ้วยรางวัล</v>
      </c>
      <c r="AS117" s="268" t="s">
        <v>34</v>
      </c>
      <c r="AT117" s="240">
        <v>9</v>
      </c>
      <c r="AU117" s="466" t="s">
        <v>209</v>
      </c>
      <c r="AV117" s="240" t="s">
        <v>249</v>
      </c>
      <c r="AW117" s="466" t="s">
        <v>289</v>
      </c>
      <c r="AX117" s="240" t="s">
        <v>252</v>
      </c>
      <c r="AY117" t="str">
        <f>AR153</f>
        <v>นักแสดงบนเวที</v>
      </c>
      <c r="BB117" s="467" t="s">
        <v>32</v>
      </c>
      <c r="BC117" s="240">
        <v>9</v>
      </c>
      <c r="BD117" s="466" t="s">
        <v>185</v>
      </c>
      <c r="BE117" s="240" t="s">
        <v>249</v>
      </c>
      <c r="BF117" s="466" t="s">
        <v>290</v>
      </c>
      <c r="BG117" s="240" t="s">
        <v>254</v>
      </c>
      <c r="BH117" t="str">
        <f>AO148</f>
        <v>รถดับเพลิง</v>
      </c>
      <c r="BI117" s="141">
        <v>112</v>
      </c>
      <c r="BJ117" s="148">
        <v>12</v>
      </c>
      <c r="BK117" s="217" t="s">
        <v>291</v>
      </c>
      <c r="BL117" s="148" t="s">
        <v>241</v>
      </c>
      <c r="BN117" s="235" t="s">
        <v>292</v>
      </c>
      <c r="BQ117" s="232"/>
    </row>
    <row r="118" spans="32:69" x14ac:dyDescent="0.2">
      <c r="AF118" s="231"/>
      <c r="AI118" s="219" t="s">
        <v>33</v>
      </c>
      <c r="AJ118" s="240">
        <v>10</v>
      </c>
      <c r="AK118" s="466" t="s">
        <v>186</v>
      </c>
      <c r="AL118" s="240" t="s">
        <v>249</v>
      </c>
      <c r="AM118" s="466" t="s">
        <v>293</v>
      </c>
      <c r="AN118" s="240" t="s">
        <v>250</v>
      </c>
      <c r="AO118" t="str">
        <f>AP152</f>
        <v>หีบสมบัติ</v>
      </c>
      <c r="AS118" s="268" t="s">
        <v>34</v>
      </c>
      <c r="AT118" s="240">
        <v>10</v>
      </c>
      <c r="AU118" s="466" t="s">
        <v>175</v>
      </c>
      <c r="AV118" s="240" t="s">
        <v>249</v>
      </c>
      <c r="AW118" s="466" t="s">
        <v>294</v>
      </c>
      <c r="AX118" s="240" t="s">
        <v>252</v>
      </c>
      <c r="AY118" t="str">
        <f>AP155</f>
        <v>คนนั่งสมาธิ</v>
      </c>
      <c r="BB118" s="467" t="s">
        <v>32</v>
      </c>
      <c r="BC118" s="240">
        <v>10</v>
      </c>
      <c r="BD118" s="466" t="s">
        <v>295</v>
      </c>
      <c r="BE118" s="240" t="s">
        <v>249</v>
      </c>
      <c r="BF118" s="466" t="s">
        <v>296</v>
      </c>
      <c r="BG118" s="240" t="s">
        <v>254</v>
      </c>
      <c r="BH118" t="str">
        <f>AP148</f>
        <v>ห้องฉุกเฉิน</v>
      </c>
      <c r="BI118" s="141">
        <v>113</v>
      </c>
      <c r="BJ118" s="148">
        <v>13</v>
      </c>
      <c r="BK118" s="217" t="s">
        <v>230</v>
      </c>
      <c r="BL118" s="148" t="s">
        <v>241</v>
      </c>
      <c r="BN118" s="235" t="s">
        <v>297</v>
      </c>
      <c r="BQ118" s="232"/>
    </row>
    <row r="119" spans="32:69" x14ac:dyDescent="0.2">
      <c r="AF119" s="231"/>
      <c r="AI119" s="219" t="s">
        <v>33</v>
      </c>
      <c r="AJ119" s="240">
        <v>11</v>
      </c>
      <c r="AK119" s="466" t="s">
        <v>153</v>
      </c>
      <c r="AL119" s="240" t="s">
        <v>249</v>
      </c>
      <c r="AM119" s="466" t="s">
        <v>298</v>
      </c>
      <c r="AN119" s="240" t="s">
        <v>250</v>
      </c>
      <c r="AO119" t="str">
        <f>AQ152</f>
        <v>กล่องของขวัญ</v>
      </c>
      <c r="AS119" s="268" t="s">
        <v>34</v>
      </c>
      <c r="AT119" s="240">
        <v>11</v>
      </c>
      <c r="AU119" s="466" t="s">
        <v>189</v>
      </c>
      <c r="AV119" s="240" t="s">
        <v>249</v>
      </c>
      <c r="AW119" s="466" t="s">
        <v>299</v>
      </c>
      <c r="AX119" s="240" t="s">
        <v>252</v>
      </c>
      <c r="AY119" t="str">
        <f>AR155</f>
        <v>ครูสอนนักเรียน</v>
      </c>
      <c r="BB119" s="467" t="s">
        <v>32</v>
      </c>
      <c r="BC119" s="240">
        <v>11</v>
      </c>
      <c r="BD119" s="466" t="s">
        <v>162</v>
      </c>
      <c r="BE119" s="240" t="s">
        <v>249</v>
      </c>
      <c r="BF119" s="466" t="s">
        <v>300</v>
      </c>
      <c r="BG119" s="240" t="s">
        <v>254</v>
      </c>
      <c r="BH119" t="str">
        <f>AQ148</f>
        <v>โรงงาน</v>
      </c>
      <c r="BI119" s="141">
        <v>114</v>
      </c>
      <c r="BJ119" s="148">
        <v>14</v>
      </c>
      <c r="BK119" s="217" t="s">
        <v>220</v>
      </c>
      <c r="BL119" s="148" t="s">
        <v>241</v>
      </c>
      <c r="BN119" s="235" t="s">
        <v>301</v>
      </c>
      <c r="BQ119" s="232"/>
    </row>
    <row r="120" spans="32:69" x14ac:dyDescent="0.2">
      <c r="AF120" s="231"/>
      <c r="AI120" s="219" t="s">
        <v>33</v>
      </c>
      <c r="AJ120" s="240">
        <v>12</v>
      </c>
      <c r="AK120" s="466" t="s">
        <v>156</v>
      </c>
      <c r="AL120" s="240" t="s">
        <v>249</v>
      </c>
      <c r="AM120" s="466" t="s">
        <v>137</v>
      </c>
      <c r="AN120" s="240" t="s">
        <v>250</v>
      </c>
      <c r="AO120" t="str">
        <f>AR152</f>
        <v>เหรียญรางวัล</v>
      </c>
      <c r="AS120" s="268" t="s">
        <v>34</v>
      </c>
      <c r="AT120" s="240">
        <v>12</v>
      </c>
      <c r="AU120" s="466" t="s">
        <v>183</v>
      </c>
      <c r="AV120" s="240" t="s">
        <v>249</v>
      </c>
      <c r="AW120" s="466" t="s">
        <v>302</v>
      </c>
      <c r="AX120" s="240" t="s">
        <v>252</v>
      </c>
      <c r="AY120" t="str">
        <f>AQ155</f>
        <v>หมากรุก</v>
      </c>
      <c r="BB120" s="467" t="s">
        <v>32</v>
      </c>
      <c r="BC120" s="240">
        <v>12</v>
      </c>
      <c r="BD120" s="466" t="s">
        <v>139</v>
      </c>
      <c r="BE120" s="240" t="s">
        <v>249</v>
      </c>
      <c r="BF120" s="466" t="s">
        <v>303</v>
      </c>
      <c r="BG120" s="240" t="s">
        <v>254</v>
      </c>
      <c r="BH120" t="str">
        <f>AR148</f>
        <v>เรือบรรทุกสินค้า</v>
      </c>
      <c r="BI120" s="141">
        <v>115</v>
      </c>
      <c r="BJ120" s="148">
        <v>15</v>
      </c>
      <c r="BK120" s="217" t="s">
        <v>304</v>
      </c>
      <c r="BL120" s="148" t="s">
        <v>241</v>
      </c>
      <c r="BN120" s="244" t="s">
        <v>305</v>
      </c>
      <c r="BO120" s="214"/>
      <c r="BP120" s="214"/>
      <c r="BQ120" s="232"/>
    </row>
    <row r="121" spans="32:69" ht="15" thickBot="1" x14ac:dyDescent="0.25">
      <c r="AF121" s="231"/>
      <c r="AK121" s="148"/>
      <c r="AL121" s="148"/>
      <c r="AM121" s="158"/>
      <c r="AU121" s="148"/>
      <c r="AV121" s="148"/>
      <c r="AW121" s="158"/>
      <c r="BQ121" s="232"/>
    </row>
    <row r="122" spans="32:69" ht="15" thickBot="1" x14ac:dyDescent="0.25">
      <c r="AF122" s="231"/>
      <c r="AG122" s="219">
        <v>2</v>
      </c>
      <c r="AH122" s="219"/>
      <c r="AI122" s="149" t="s">
        <v>30</v>
      </c>
      <c r="AJ122" s="245"/>
      <c r="AK122" s="245"/>
      <c r="AL122" s="245"/>
      <c r="AM122" s="245"/>
      <c r="AN122" s="245"/>
      <c r="AO122" s="238" t="s">
        <v>246</v>
      </c>
      <c r="AR122" s="219">
        <v>4</v>
      </c>
      <c r="AS122" s="223" t="s">
        <v>31</v>
      </c>
      <c r="AT122" s="246"/>
      <c r="AU122" s="246"/>
      <c r="AV122" s="246"/>
      <c r="AW122" s="246"/>
      <c r="AX122" s="246"/>
      <c r="AY122" s="238" t="s">
        <v>246</v>
      </c>
      <c r="BK122" s="217"/>
      <c r="BQ122" s="232"/>
    </row>
    <row r="123" spans="32:69" x14ac:dyDescent="0.2">
      <c r="AF123" s="231"/>
      <c r="AI123" s="149" t="s">
        <v>30</v>
      </c>
      <c r="AJ123" s="240">
        <v>1</v>
      </c>
      <c r="AK123" s="466" t="s">
        <v>151</v>
      </c>
      <c r="AL123" s="240" t="s">
        <v>249</v>
      </c>
      <c r="AM123" s="466" t="s">
        <v>306</v>
      </c>
      <c r="AN123" s="240" t="s">
        <v>307</v>
      </c>
      <c r="AO123" t="str">
        <f>AO147</f>
        <v>กองเชียร์</v>
      </c>
      <c r="AS123" s="223" t="s">
        <v>31</v>
      </c>
      <c r="AT123" s="240">
        <v>1</v>
      </c>
      <c r="AU123" s="466" t="s">
        <v>182</v>
      </c>
      <c r="AV123" s="240" t="s">
        <v>249</v>
      </c>
      <c r="AW123" s="466" t="s">
        <v>308</v>
      </c>
      <c r="AX123" s="240" t="s">
        <v>309</v>
      </c>
      <c r="AY123" t="str">
        <f>AO144</f>
        <v>งูลอกคราบ</v>
      </c>
      <c r="BK123" s="217"/>
      <c r="BQ123" s="232"/>
    </row>
    <row r="124" spans="32:69" x14ac:dyDescent="0.2">
      <c r="AF124" s="231"/>
      <c r="AI124" s="149" t="s">
        <v>30</v>
      </c>
      <c r="AJ124" s="240">
        <v>2</v>
      </c>
      <c r="AK124" s="466" t="s">
        <v>310</v>
      </c>
      <c r="AL124" s="240" t="s">
        <v>249</v>
      </c>
      <c r="AM124" s="466" t="s">
        <v>311</v>
      </c>
      <c r="AN124" s="240" t="s">
        <v>307</v>
      </c>
      <c r="AO124" t="str">
        <f>AP147</f>
        <v>ขบวนสวนสนาม</v>
      </c>
      <c r="AS124" s="223" t="s">
        <v>31</v>
      </c>
      <c r="AT124" s="240">
        <v>2</v>
      </c>
      <c r="AU124" s="466" t="s">
        <v>158</v>
      </c>
      <c r="AV124" s="240" t="s">
        <v>249</v>
      </c>
      <c r="AW124" s="466" t="s">
        <v>133</v>
      </c>
      <c r="AX124" s="240" t="s">
        <v>309</v>
      </c>
      <c r="AY124" t="str">
        <f>AP144</f>
        <v>สิงห์โตล่าเหยื่อ</v>
      </c>
      <c r="BK124" s="217"/>
      <c r="BQ124" s="232"/>
    </row>
    <row r="125" spans="32:69" x14ac:dyDescent="0.2">
      <c r="AF125" s="231"/>
      <c r="AI125" s="149" t="s">
        <v>30</v>
      </c>
      <c r="AJ125" s="240">
        <v>3</v>
      </c>
      <c r="AK125" s="466" t="s">
        <v>312</v>
      </c>
      <c r="AL125" s="240" t="s">
        <v>249</v>
      </c>
      <c r="AM125" s="466" t="s">
        <v>313</v>
      </c>
      <c r="AN125" s="240" t="s">
        <v>307</v>
      </c>
      <c r="AO125" t="str">
        <f>AQ147</f>
        <v>วงดนตรี</v>
      </c>
      <c r="AS125" s="223" t="s">
        <v>31</v>
      </c>
      <c r="AT125" s="240">
        <v>3</v>
      </c>
      <c r="AU125" s="466" t="s">
        <v>184</v>
      </c>
      <c r="AV125" s="240" t="s">
        <v>249</v>
      </c>
      <c r="AW125" s="466" t="s">
        <v>154</v>
      </c>
      <c r="AX125" s="240" t="s">
        <v>309</v>
      </c>
      <c r="AY125" t="str">
        <f>AQ144</f>
        <v>ฝูงปลาว่าย</v>
      </c>
      <c r="BQ125" s="232"/>
    </row>
    <row r="126" spans="32:69" x14ac:dyDescent="0.2">
      <c r="AF126" s="231"/>
      <c r="AI126" s="149" t="s">
        <v>30</v>
      </c>
      <c r="AJ126" s="240">
        <v>4</v>
      </c>
      <c r="AK126" s="466" t="s">
        <v>234</v>
      </c>
      <c r="AL126" s="240" t="s">
        <v>249</v>
      </c>
      <c r="AM126" s="466" t="s">
        <v>223</v>
      </c>
      <c r="AN126" s="240" t="s">
        <v>307</v>
      </c>
      <c r="AO126" t="str">
        <f>AR147</f>
        <v>งานก่อสร้าง</v>
      </c>
      <c r="AS126" s="223" t="s">
        <v>31</v>
      </c>
      <c r="AT126" s="240">
        <v>4</v>
      </c>
      <c r="AU126" s="466" t="s">
        <v>210</v>
      </c>
      <c r="AV126" s="240" t="s">
        <v>249</v>
      </c>
      <c r="AW126" s="466" t="s">
        <v>314</v>
      </c>
      <c r="AX126" s="240" t="s">
        <v>309</v>
      </c>
      <c r="AY126" t="str">
        <f>AR144</f>
        <v>นกบินอพยพ</v>
      </c>
      <c r="BQ126" s="232"/>
    </row>
    <row r="127" spans="32:69" x14ac:dyDescent="0.2">
      <c r="AF127" s="231"/>
      <c r="AI127" s="149" t="s">
        <v>30</v>
      </c>
      <c r="AJ127" s="240">
        <v>5</v>
      </c>
      <c r="AK127" s="466" t="s">
        <v>218</v>
      </c>
      <c r="AL127" s="240" t="s">
        <v>249</v>
      </c>
      <c r="AM127" s="466" t="s">
        <v>315</v>
      </c>
      <c r="AN127" s="240" t="s">
        <v>307</v>
      </c>
      <c r="AO127" t="str">
        <f>AO150</f>
        <v>ประภาคาร</v>
      </c>
      <c r="AS127" s="223" t="s">
        <v>31</v>
      </c>
      <c r="AT127" s="240">
        <v>5</v>
      </c>
      <c r="AU127" s="466" t="s">
        <v>167</v>
      </c>
      <c r="AV127" s="240" t="s">
        <v>249</v>
      </c>
      <c r="AW127" s="466" t="s">
        <v>316</v>
      </c>
      <c r="AX127" s="240" t="s">
        <v>309</v>
      </c>
      <c r="AY127" t="str">
        <f>AO149</f>
        <v>คนอ่านหนังสือ</v>
      </c>
      <c r="BQ127" s="232"/>
    </row>
    <row r="128" spans="32:69" x14ac:dyDescent="0.2">
      <c r="AF128" s="231"/>
      <c r="AI128" s="149" t="s">
        <v>30</v>
      </c>
      <c r="AJ128" s="240">
        <v>6</v>
      </c>
      <c r="AK128" s="466" t="s">
        <v>317</v>
      </c>
      <c r="AL128" s="240" t="s">
        <v>249</v>
      </c>
      <c r="AM128" s="466" t="s">
        <v>318</v>
      </c>
      <c r="AN128" s="240" t="s">
        <v>307</v>
      </c>
      <c r="AO128" t="str">
        <f>AP150</f>
        <v>เข็มทิศ</v>
      </c>
      <c r="AS128" s="223" t="s">
        <v>31</v>
      </c>
      <c r="AT128" s="240">
        <v>6</v>
      </c>
      <c r="AU128" s="466" t="s">
        <v>168</v>
      </c>
      <c r="AV128" s="240" t="s">
        <v>249</v>
      </c>
      <c r="AW128" s="466" t="s">
        <v>129</v>
      </c>
      <c r="AX128" s="240" t="s">
        <v>309</v>
      </c>
      <c r="AY128" t="str">
        <f>AP149</f>
        <v>ห้องทดลอง</v>
      </c>
      <c r="BQ128" s="232"/>
    </row>
    <row r="129" spans="1:69" x14ac:dyDescent="0.2">
      <c r="AF129" s="231"/>
      <c r="AI129" s="149" t="s">
        <v>30</v>
      </c>
      <c r="AJ129" s="240">
        <v>7</v>
      </c>
      <c r="AK129" s="466" t="s">
        <v>163</v>
      </c>
      <c r="AL129" s="240" t="s">
        <v>249</v>
      </c>
      <c r="AM129" s="466" t="s">
        <v>319</v>
      </c>
      <c r="AN129" s="240" t="s">
        <v>307</v>
      </c>
      <c r="AO129" t="str">
        <f>AQ150</f>
        <v>แว่นขยาย</v>
      </c>
      <c r="AS129" s="223" t="s">
        <v>31</v>
      </c>
      <c r="AT129" s="240">
        <v>7</v>
      </c>
      <c r="AU129" s="466" t="s">
        <v>145</v>
      </c>
      <c r="AV129" s="240" t="s">
        <v>249</v>
      </c>
      <c r="AW129" s="466" t="s">
        <v>320</v>
      </c>
      <c r="AX129" s="240" t="s">
        <v>309</v>
      </c>
      <c r="AY129" t="str">
        <f>AQ149</f>
        <v>คนเดียวนั่งคิด</v>
      </c>
      <c r="BC129" t="s">
        <v>321</v>
      </c>
      <c r="BQ129" s="232"/>
    </row>
    <row r="130" spans="1:69" x14ac:dyDescent="0.2">
      <c r="AF130" s="231"/>
      <c r="AI130" s="149" t="s">
        <v>30</v>
      </c>
      <c r="AJ130" s="240">
        <v>8</v>
      </c>
      <c r="AK130" s="466" t="s">
        <v>196</v>
      </c>
      <c r="AL130" s="240" t="s">
        <v>249</v>
      </c>
      <c r="AM130" s="466" t="s">
        <v>322</v>
      </c>
      <c r="AN130" s="240" t="s">
        <v>307</v>
      </c>
      <c r="AO130" t="str">
        <f>AR150</f>
        <v>แผนที่โลก</v>
      </c>
      <c r="AS130" s="223" t="s">
        <v>31</v>
      </c>
      <c r="AT130" s="240">
        <v>8</v>
      </c>
      <c r="AU130" s="466" t="s">
        <v>323</v>
      </c>
      <c r="AV130" s="240" t="s">
        <v>249</v>
      </c>
      <c r="AW130" s="466" t="s">
        <v>215</v>
      </c>
      <c r="AX130" s="240" t="s">
        <v>309</v>
      </c>
      <c r="AY130" t="str">
        <f>AR149</f>
        <v>คนในห้องประชุม</v>
      </c>
      <c r="BC130" t="s">
        <v>324</v>
      </c>
      <c r="BQ130" s="232"/>
    </row>
    <row r="131" spans="1:69" x14ac:dyDescent="0.2">
      <c r="AF131" s="231"/>
      <c r="AI131" s="149" t="s">
        <v>30</v>
      </c>
      <c r="AJ131" s="240">
        <v>9</v>
      </c>
      <c r="AK131" s="466" t="s">
        <v>201</v>
      </c>
      <c r="AL131" s="240" t="s">
        <v>249</v>
      </c>
      <c r="AM131" s="466" t="s">
        <v>202</v>
      </c>
      <c r="AN131" s="240" t="s">
        <v>307</v>
      </c>
      <c r="AO131" t="str">
        <f>AO151</f>
        <v>ภูเขาไฟระเบิด</v>
      </c>
      <c r="AS131" s="223" t="s">
        <v>31</v>
      </c>
      <c r="AT131" s="240">
        <v>9</v>
      </c>
      <c r="AU131" s="466" t="s">
        <v>211</v>
      </c>
      <c r="AV131" s="240" t="s">
        <v>249</v>
      </c>
      <c r="AW131" s="466" t="s">
        <v>213</v>
      </c>
      <c r="AX131" s="240" t="s">
        <v>309</v>
      </c>
      <c r="AY131" t="str">
        <f>AO154</f>
        <v>ผังองค์กร</v>
      </c>
      <c r="BC131">
        <v>1</v>
      </c>
      <c r="BD131" t="s">
        <v>325</v>
      </c>
      <c r="BQ131" s="232"/>
    </row>
    <row r="132" spans="1:69" x14ac:dyDescent="0.2">
      <c r="AF132" s="231"/>
      <c r="AI132" s="149" t="s">
        <v>30</v>
      </c>
      <c r="AJ132" s="240">
        <v>10</v>
      </c>
      <c r="AK132" s="466" t="s">
        <v>132</v>
      </c>
      <c r="AL132" s="240" t="s">
        <v>249</v>
      </c>
      <c r="AM132" s="466" t="s">
        <v>326</v>
      </c>
      <c r="AN132" s="240" t="s">
        <v>307</v>
      </c>
      <c r="AO132" t="str">
        <f>AP151</f>
        <v>ลมพายุ</v>
      </c>
      <c r="AS132" s="223" t="s">
        <v>31</v>
      </c>
      <c r="AT132" s="240">
        <v>10</v>
      </c>
      <c r="AU132" s="466" t="s">
        <v>176</v>
      </c>
      <c r="AV132" s="240" t="s">
        <v>249</v>
      </c>
      <c r="AW132" s="466" t="s">
        <v>227</v>
      </c>
      <c r="AX132" s="240" t="s">
        <v>309</v>
      </c>
      <c r="AY132" t="str">
        <f>AP154</f>
        <v>ชาร์ตควบคุม</v>
      </c>
      <c r="BC132">
        <v>2</v>
      </c>
      <c r="BD132" t="s">
        <v>327</v>
      </c>
      <c r="BQ132" s="232"/>
    </row>
    <row r="133" spans="1:69" x14ac:dyDescent="0.2">
      <c r="AF133" s="231"/>
      <c r="AI133" s="149" t="s">
        <v>30</v>
      </c>
      <c r="AJ133" s="240">
        <v>11</v>
      </c>
      <c r="AK133" s="466" t="s">
        <v>146</v>
      </c>
      <c r="AL133" s="240" t="s">
        <v>249</v>
      </c>
      <c r="AM133" s="466" t="s">
        <v>328</v>
      </c>
      <c r="AN133" s="240" t="s">
        <v>307</v>
      </c>
      <c r="AO133" t="str">
        <f>AQ151</f>
        <v>ฝนตก</v>
      </c>
      <c r="AS133" s="223" t="s">
        <v>31</v>
      </c>
      <c r="AT133" s="240">
        <v>11</v>
      </c>
      <c r="AU133" s="466" t="s">
        <v>208</v>
      </c>
      <c r="AV133" s="240" t="s">
        <v>249</v>
      </c>
      <c r="AW133" s="466" t="s">
        <v>329</v>
      </c>
      <c r="AX133" s="240" t="s">
        <v>309</v>
      </c>
      <c r="AY133" t="str">
        <f>AQ154</f>
        <v>2 คนเชคแฮนด์</v>
      </c>
      <c r="BC133">
        <v>3</v>
      </c>
      <c r="BD133" t="s">
        <v>330</v>
      </c>
      <c r="BQ133" s="232"/>
    </row>
    <row r="134" spans="1:69" x14ac:dyDescent="0.2">
      <c r="AF134" s="231"/>
      <c r="AI134" s="149" t="s">
        <v>30</v>
      </c>
      <c r="AJ134" s="240">
        <v>12</v>
      </c>
      <c r="AK134" s="466" t="s">
        <v>187</v>
      </c>
      <c r="AL134" s="240" t="s">
        <v>249</v>
      </c>
      <c r="AM134" s="466" t="s">
        <v>331</v>
      </c>
      <c r="AN134" s="240" t="s">
        <v>307</v>
      </c>
      <c r="AO134" t="str">
        <f>AR151</f>
        <v>หิมะตก</v>
      </c>
      <c r="AS134" s="223" t="s">
        <v>31</v>
      </c>
      <c r="AT134" s="240">
        <v>12</v>
      </c>
      <c r="AU134" s="466" t="s">
        <v>200</v>
      </c>
      <c r="AV134" s="240" t="s">
        <v>249</v>
      </c>
      <c r="AW134" s="466" t="s">
        <v>332</v>
      </c>
      <c r="AX134" s="240" t="s">
        <v>309</v>
      </c>
      <c r="AY134" t="str">
        <f>AR154</f>
        <v>ฝักไข่เป็นตัว</v>
      </c>
      <c r="BC134">
        <v>4</v>
      </c>
      <c r="BD134" t="s">
        <v>333</v>
      </c>
      <c r="BQ134" s="232"/>
    </row>
    <row r="135" spans="1:69" x14ac:dyDescent="0.2">
      <c r="AF135" s="231"/>
      <c r="AU135" s="148"/>
      <c r="AV135" s="148"/>
      <c r="BC135">
        <v>5</v>
      </c>
      <c r="BD135" t="s">
        <v>334</v>
      </c>
      <c r="BQ135" s="232"/>
    </row>
    <row r="136" spans="1:69" x14ac:dyDescent="0.2">
      <c r="AF136" s="231"/>
      <c r="AU136" s="148"/>
      <c r="AV136" s="148"/>
      <c r="BC136">
        <v>6</v>
      </c>
      <c r="BD136" t="s">
        <v>335</v>
      </c>
      <c r="BQ136" s="232"/>
    </row>
    <row r="137" spans="1:69" x14ac:dyDescent="0.2">
      <c r="AF137" s="231"/>
      <c r="AU137" s="148"/>
      <c r="AV137" s="148"/>
      <c r="BC137">
        <v>7</v>
      </c>
      <c r="BD137" t="s">
        <v>336</v>
      </c>
      <c r="BQ137" s="232"/>
    </row>
    <row r="138" spans="1:69" ht="15" thickBot="1" x14ac:dyDescent="0.25">
      <c r="AF138" s="231"/>
      <c r="AU138" s="148"/>
      <c r="AV138" s="148"/>
      <c r="BQ138" s="232"/>
    </row>
    <row r="139" spans="1:69" ht="18.75" thickBot="1" x14ac:dyDescent="0.3">
      <c r="F139" s="831" t="s">
        <v>544</v>
      </c>
      <c r="G139" s="832"/>
      <c r="H139" s="10"/>
      <c r="AF139" s="231"/>
      <c r="AG139" s="247" t="s">
        <v>337</v>
      </c>
      <c r="AH139" s="247"/>
      <c r="AL139" s="141" t="s">
        <v>338</v>
      </c>
      <c r="AO139" s="248">
        <v>1</v>
      </c>
      <c r="AP139" s="248">
        <v>2</v>
      </c>
      <c r="AQ139" s="248">
        <v>3</v>
      </c>
      <c r="AR139" s="248">
        <v>4</v>
      </c>
      <c r="AU139" s="148"/>
      <c r="AV139" s="148"/>
      <c r="BQ139" s="232"/>
    </row>
    <row r="140" spans="1:69" ht="15" thickBot="1" x14ac:dyDescent="0.25">
      <c r="A140" s="238" t="s">
        <v>339</v>
      </c>
      <c r="B140" s="238" t="s">
        <v>342</v>
      </c>
      <c r="C140" s="238" t="s">
        <v>37</v>
      </c>
      <c r="D140" s="238" t="s">
        <v>538</v>
      </c>
      <c r="E140" s="309" t="s">
        <v>540</v>
      </c>
      <c r="F140" s="238" t="s">
        <v>543</v>
      </c>
      <c r="G140" s="238" t="s">
        <v>38</v>
      </c>
      <c r="H140" s="316" t="s">
        <v>1</v>
      </c>
      <c r="I140" s="309" t="s">
        <v>14</v>
      </c>
      <c r="J140" s="309" t="s">
        <v>8</v>
      </c>
      <c r="K140" s="309" t="s">
        <v>22</v>
      </c>
      <c r="L140" s="309" t="s">
        <v>24</v>
      </c>
      <c r="M140" s="309" t="s">
        <v>2</v>
      </c>
      <c r="N140" s="309" t="s">
        <v>10</v>
      </c>
      <c r="O140" s="309" t="s">
        <v>18</v>
      </c>
      <c r="P140" s="309" t="s">
        <v>9</v>
      </c>
      <c r="Q140" s="309" t="s">
        <v>25</v>
      </c>
      <c r="R140" s="309" t="s">
        <v>3</v>
      </c>
      <c r="S140" s="309" t="s">
        <v>16</v>
      </c>
      <c r="T140" s="309" t="s">
        <v>19</v>
      </c>
      <c r="U140" s="309" t="s">
        <v>23</v>
      </c>
      <c r="V140" s="309" t="s">
        <v>26</v>
      </c>
      <c r="W140" s="309" t="s">
        <v>4</v>
      </c>
      <c r="X140" s="309" t="s">
        <v>6</v>
      </c>
      <c r="Y140" s="309" t="s">
        <v>20</v>
      </c>
      <c r="Z140" s="309" t="s">
        <v>7</v>
      </c>
      <c r="AA140" s="309" t="s">
        <v>27</v>
      </c>
      <c r="AB140" s="309" t="s">
        <v>5</v>
      </c>
      <c r="AC140" s="309" t="s">
        <v>17</v>
      </c>
      <c r="AD140" s="309" t="s">
        <v>21</v>
      </c>
      <c r="AE140" s="309" t="s">
        <v>13</v>
      </c>
      <c r="AF140" s="326" t="s">
        <v>28</v>
      </c>
      <c r="AG140" s="310" t="s">
        <v>340</v>
      </c>
      <c r="AH140" s="238" t="s">
        <v>341</v>
      </c>
      <c r="AI140" s="238" t="s">
        <v>342</v>
      </c>
      <c r="AJ140" s="238" t="s">
        <v>343</v>
      </c>
      <c r="AO140" s="249"/>
      <c r="AP140" s="249"/>
      <c r="AQ140" s="249"/>
      <c r="AR140" s="249"/>
      <c r="AU140" s="148"/>
      <c r="AV140" s="148"/>
      <c r="BQ140" s="232"/>
    </row>
    <row r="141" spans="1:69" x14ac:dyDescent="0.2">
      <c r="A141" s="250">
        <v>1</v>
      </c>
      <c r="B141" s="508" t="str">
        <f>$AK$123</f>
        <v>Confirm</v>
      </c>
      <c r="C141" s="311">
        <v>1</v>
      </c>
      <c r="D141" s="308">
        <v>1</v>
      </c>
      <c r="E141" s="307">
        <v>1</v>
      </c>
      <c r="F141" s="311" t="str">
        <f>_xlfn.CONCAT(C141,D141,E141)</f>
        <v>111</v>
      </c>
      <c r="G141" s="322">
        <f>AVERAGE(H141:AF141)</f>
        <v>12.468302506855878</v>
      </c>
      <c r="H141" s="5">
        <f>'Detailed Avalerem Tables'!X23</f>
        <v>9.3786231884057969</v>
      </c>
      <c r="I141" s="5">
        <f>'Detailed Avalerem Tables'!X72</f>
        <v>9.0729166666666679</v>
      </c>
      <c r="J141" s="5">
        <f>'Detailed Avalerem Tables'!X120</f>
        <v>8.625</v>
      </c>
      <c r="K141" s="5">
        <f>'Detailed Avalerem Tables'!X168</f>
        <v>8.7015027322404386</v>
      </c>
      <c r="L141" s="5">
        <f>'Detailed Avalerem Tables'!X216</f>
        <v>10.077380952380953</v>
      </c>
      <c r="M141" s="5">
        <f>'Detailed Avalerem Tables'!AZ23</f>
        <v>12.318693693693694</v>
      </c>
      <c r="N141" s="5">
        <f>'Detailed Avalerem Tables'!AZ72</f>
        <v>11.758333333333333</v>
      </c>
      <c r="O141" s="5">
        <f>'Detailed Avalerem Tables'!AZ120</f>
        <v>11.53409090909091</v>
      </c>
      <c r="P141" s="5">
        <f>'Detailed Avalerem Tables'!AZ168</f>
        <v>11.499458874458874</v>
      </c>
      <c r="Q141" s="5">
        <f>'Detailed Avalerem Tables'!AZ216</f>
        <v>14.51747311827957</v>
      </c>
      <c r="R141" s="5">
        <f>'Detailed Avalerem Tables'!CB23</f>
        <v>9.6296948356807519</v>
      </c>
      <c r="S141" s="5">
        <f>'Detailed Avalerem Tables'!CB72</f>
        <v>10.269444444444444</v>
      </c>
      <c r="T141" s="5">
        <f>'Detailed Avalerem Tables'!CB120</f>
        <v>9.5365646258503407</v>
      </c>
      <c r="U141" s="5">
        <f>'Detailed Avalerem Tables'!CB168</f>
        <v>9.9316666666666684</v>
      </c>
      <c r="V141" s="5">
        <f>'Detailed Avalerem Tables'!CB216</f>
        <v>10.137820512820513</v>
      </c>
      <c r="W141" s="5">
        <f>'Detailed Avalerem Tables'!DD23</f>
        <v>19.655303030303031</v>
      </c>
      <c r="X141" s="5">
        <f>'Detailed Avalerem Tables'!DD72</f>
        <v>17.872311827956988</v>
      </c>
      <c r="Y141" s="5">
        <f>'Detailed Avalerem Tables'!DD120</f>
        <v>15.392932489451475</v>
      </c>
      <c r="Z141" s="5">
        <f>'Detailed Avalerem Tables'!DD168</f>
        <v>16.860294117647062</v>
      </c>
      <c r="AA141" s="5">
        <f>'Detailed Avalerem Tables'!DD216</f>
        <v>17.593036529680365</v>
      </c>
      <c r="AB141" s="5">
        <f>'Detailed Avalerem Tables'!EF23</f>
        <v>14.094945355191257</v>
      </c>
      <c r="AC141" s="5">
        <f>'Detailed Avalerem Tables'!EF72</f>
        <v>13.436244979919678</v>
      </c>
      <c r="AD141" s="5">
        <f>'Detailed Avalerem Tables'!EF120</f>
        <v>13.541666666666666</v>
      </c>
      <c r="AE141" s="5">
        <f>'Detailed Avalerem Tables'!EF168</f>
        <v>12.916666666666668</v>
      </c>
      <c r="AF141" s="322">
        <f>'Detailed Avalerem Tables'!EF216</f>
        <v>13.355496453900709</v>
      </c>
      <c r="AG141" s="261" t="s">
        <v>30</v>
      </c>
      <c r="AH141" s="262"/>
      <c r="AI141" s="263" t="str">
        <f>$AK$123</f>
        <v>Confirm</v>
      </c>
      <c r="AJ141" s="264" t="s">
        <v>356</v>
      </c>
      <c r="AL141">
        <v>1</v>
      </c>
      <c r="AM141" t="s">
        <v>345</v>
      </c>
      <c r="AN141" s="217" t="s">
        <v>32</v>
      </c>
      <c r="AO141" s="254" t="s">
        <v>346</v>
      </c>
      <c r="AP141" s="254" t="s">
        <v>347</v>
      </c>
      <c r="AQ141" s="255" t="s">
        <v>348</v>
      </c>
      <c r="AR141" s="254" t="s">
        <v>349</v>
      </c>
      <c r="AU141" s="148"/>
      <c r="AV141" s="148"/>
      <c r="BQ141" s="232"/>
    </row>
    <row r="142" spans="1:69" x14ac:dyDescent="0.2">
      <c r="A142" s="256">
        <v>2</v>
      </c>
      <c r="B142" s="509" t="str">
        <f>$AK$124</f>
        <v>Forecast</v>
      </c>
      <c r="C142" s="311">
        <v>2</v>
      </c>
      <c r="D142" s="311">
        <v>1</v>
      </c>
      <c r="E142" s="307">
        <v>1</v>
      </c>
      <c r="F142" s="311" t="str">
        <f t="shared" ref="F142:F164" si="0">_xlfn.CONCAT(C142,D142,E142)</f>
        <v>211</v>
      </c>
      <c r="G142" s="322">
        <f t="shared" ref="G142:G205" si="1">AVERAGE(H142:AF142)</f>
        <v>15.430302415329463</v>
      </c>
      <c r="H142" s="5">
        <f>'Detailed Avalerem Tables'!X24</f>
        <v>16.681159420289852</v>
      </c>
      <c r="I142" s="5">
        <f>'Detailed Avalerem Tables'!X73</f>
        <v>15.458333333333334</v>
      </c>
      <c r="J142" s="5">
        <f>'Detailed Avalerem Tables'!X121</f>
        <v>13.666666666666664</v>
      </c>
      <c r="K142" s="5">
        <f>'Detailed Avalerem Tables'!X169</f>
        <v>13.972677595628415</v>
      </c>
      <c r="L142" s="5">
        <f>'Detailed Avalerem Tables'!X217</f>
        <v>19.476190476190474</v>
      </c>
      <c r="M142" s="5">
        <f>'Detailed Avalerem Tables'!AZ24</f>
        <v>10.846846846846846</v>
      </c>
      <c r="N142" s="5">
        <f>'Detailed Avalerem Tables'!AZ73</f>
        <v>10.566666666666666</v>
      </c>
      <c r="O142" s="5">
        <f>'Detailed Avalerem Tables'!AZ121</f>
        <v>10.454545454545453</v>
      </c>
      <c r="P142" s="5">
        <f>'Detailed Avalerem Tables'!AZ169</f>
        <v>10.437229437229437</v>
      </c>
      <c r="Q142" s="5">
        <f>'Detailed Avalerem Tables'!AZ217</f>
        <v>11.946236559139786</v>
      </c>
      <c r="R142" s="5">
        <f>'Detailed Avalerem Tables'!CB24</f>
        <v>17.685446009389672</v>
      </c>
      <c r="S142" s="5">
        <f>'Detailed Avalerem Tables'!CB73</f>
        <v>20.244444444444444</v>
      </c>
      <c r="T142" s="5">
        <f>'Detailed Avalerem Tables'!CB121</f>
        <v>17.312925170068027</v>
      </c>
      <c r="U142" s="5">
        <f>'Detailed Avalerem Tables'!CB169</f>
        <v>18.893333333333334</v>
      </c>
      <c r="V142" s="5">
        <f>'Detailed Avalerem Tables'!CB217</f>
        <v>19.717948717948715</v>
      </c>
      <c r="W142" s="5">
        <f>'Detailed Avalerem Tables'!DD24</f>
        <v>16.060606060606062</v>
      </c>
      <c r="X142" s="5">
        <f>'Detailed Avalerem Tables'!DD73</f>
        <v>14.946236559139786</v>
      </c>
      <c r="Y142" s="5">
        <f>'Detailed Avalerem Tables'!DD121</f>
        <v>13.396624472573837</v>
      </c>
      <c r="Z142" s="5">
        <f>'Detailed Avalerem Tables'!DD169</f>
        <v>14.313725490196079</v>
      </c>
      <c r="AA142" s="5">
        <f>'Detailed Avalerem Tables'!DD217</f>
        <v>14.771689497716892</v>
      </c>
      <c r="AB142" s="5">
        <f>'Detailed Avalerem Tables'!EF24</f>
        <v>17.857923497267755</v>
      </c>
      <c r="AC142" s="5">
        <f>'Detailed Avalerem Tables'!EF73</f>
        <v>16.935742971887549</v>
      </c>
      <c r="AD142" s="5">
        <f>'Detailed Avalerem Tables'!EF121</f>
        <v>17.083333333333332</v>
      </c>
      <c r="AE142" s="5">
        <f>'Detailed Avalerem Tables'!EF169</f>
        <v>16.208333333333332</v>
      </c>
      <c r="AF142" s="322">
        <f>'Detailed Avalerem Tables'!EF217</f>
        <v>16.822695035460995</v>
      </c>
      <c r="AG142" s="261" t="s">
        <v>30</v>
      </c>
      <c r="AH142" s="262" t="s">
        <v>173</v>
      </c>
      <c r="AI142" s="263" t="str">
        <f>$AK$124</f>
        <v>Forecast</v>
      </c>
      <c r="AJ142" s="264" t="s">
        <v>356</v>
      </c>
      <c r="AL142">
        <v>2</v>
      </c>
      <c r="AM142" t="s">
        <v>351</v>
      </c>
      <c r="AN142" s="219" t="s">
        <v>33</v>
      </c>
      <c r="AO142" s="254" t="s">
        <v>352</v>
      </c>
      <c r="AP142" s="254" t="s">
        <v>353</v>
      </c>
      <c r="AQ142" s="254" t="s">
        <v>354</v>
      </c>
      <c r="AR142" s="254" t="s">
        <v>355</v>
      </c>
      <c r="AU142" s="148"/>
      <c r="AV142" s="148"/>
      <c r="BQ142" s="232"/>
    </row>
    <row r="143" spans="1:69" x14ac:dyDescent="0.2">
      <c r="A143" s="256">
        <v>3</v>
      </c>
      <c r="B143" s="509" t="str">
        <f>$AK$125</f>
        <v>Order</v>
      </c>
      <c r="C143" s="311">
        <v>3</v>
      </c>
      <c r="D143" s="311">
        <v>1</v>
      </c>
      <c r="E143" s="307">
        <v>1</v>
      </c>
      <c r="F143" s="311" t="str">
        <f t="shared" si="0"/>
        <v>311</v>
      </c>
      <c r="G143" s="322">
        <f t="shared" si="1"/>
        <v>15.474167876835413</v>
      </c>
      <c r="H143" s="5">
        <f>'Detailed Avalerem Tables'!X25</f>
        <v>13.548913043478262</v>
      </c>
      <c r="I143" s="5">
        <f>'Detailed Avalerem Tables'!X74</f>
        <v>12.9375</v>
      </c>
      <c r="J143" s="5">
        <f>'Detailed Avalerem Tables'!X122</f>
        <v>12.041666666666664</v>
      </c>
      <c r="K143" s="5">
        <f>'Detailed Avalerem Tables'!X170</f>
        <v>12.194672131147541</v>
      </c>
      <c r="L143" s="5">
        <f>'Detailed Avalerem Tables'!X218</f>
        <v>14.946428571428573</v>
      </c>
      <c r="M143" s="5">
        <f>'Detailed Avalerem Tables'!AZ25</f>
        <v>19.429054054054056</v>
      </c>
      <c r="N143" s="5">
        <f>'Detailed Avalerem Tables'!AZ74</f>
        <v>18.30833333333333</v>
      </c>
      <c r="O143" s="5">
        <f>'Detailed Avalerem Tables'!AZ122</f>
        <v>17.859848484848484</v>
      </c>
      <c r="P143" s="5">
        <f>'Detailed Avalerem Tables'!AZ170</f>
        <v>17.790584415584416</v>
      </c>
      <c r="Q143" s="5">
        <f>'Detailed Avalerem Tables'!AZ218</f>
        <v>23.826612903225808</v>
      </c>
      <c r="R143" s="5">
        <f>'Detailed Avalerem Tables'!CB25</f>
        <v>15.220070422535212</v>
      </c>
      <c r="S143" s="5">
        <f>'Detailed Avalerem Tables'!CB74</f>
        <v>16.819444444444446</v>
      </c>
      <c r="T143" s="5">
        <f>'Detailed Avalerem Tables'!CB122</f>
        <v>14.987244897959183</v>
      </c>
      <c r="U143" s="5">
        <f>'Detailed Avalerem Tables'!CB170</f>
        <v>15.975000000000003</v>
      </c>
      <c r="V143" s="5">
        <f>'Detailed Avalerem Tables'!CB218</f>
        <v>16.490384615384617</v>
      </c>
      <c r="W143" s="5">
        <f>'Detailed Avalerem Tables'!DD25</f>
        <v>20.19318181818182</v>
      </c>
      <c r="X143" s="5">
        <f>'Detailed Avalerem Tables'!DD74</f>
        <v>18.633064516129032</v>
      </c>
      <c r="Y143" s="5">
        <f>'Detailed Avalerem Tables'!DD122</f>
        <v>16.463607594936708</v>
      </c>
      <c r="Z143" s="5">
        <f>'Detailed Avalerem Tables'!DD170</f>
        <v>17.747549019607845</v>
      </c>
      <c r="AA143" s="5">
        <f>'Detailed Avalerem Tables'!DD218</f>
        <v>18.388698630136986</v>
      </c>
      <c r="AB143" s="5">
        <f>'Detailed Avalerem Tables'!EF25</f>
        <v>10.735655737704917</v>
      </c>
      <c r="AC143" s="5">
        <f>'Detailed Avalerem Tables'!EF74</f>
        <v>10.603915662650602</v>
      </c>
      <c r="AD143" s="5">
        <f>'Detailed Avalerem Tables'!EF122</f>
        <v>10.625</v>
      </c>
      <c r="AE143" s="5">
        <f>'Detailed Avalerem Tables'!EF170</f>
        <v>10.5</v>
      </c>
      <c r="AF143" s="322">
        <f>'Detailed Avalerem Tables'!EF218</f>
        <v>10.587765957446809</v>
      </c>
      <c r="AG143" s="261" t="s">
        <v>30</v>
      </c>
      <c r="AH143" s="262" t="s">
        <v>137</v>
      </c>
      <c r="AI143" s="263" t="str">
        <f>$AK$125</f>
        <v>Order</v>
      </c>
      <c r="AJ143" s="264" t="s">
        <v>356</v>
      </c>
      <c r="AL143">
        <v>3</v>
      </c>
      <c r="AM143" t="s">
        <v>357</v>
      </c>
      <c r="AN143" s="219" t="s">
        <v>33</v>
      </c>
      <c r="AO143" s="254" t="s">
        <v>358</v>
      </c>
      <c r="AP143" s="254" t="s">
        <v>359</v>
      </c>
      <c r="AQ143" s="254" t="s">
        <v>360</v>
      </c>
      <c r="AR143" s="254" t="s">
        <v>361</v>
      </c>
      <c r="AU143" s="148"/>
      <c r="AV143" s="148"/>
      <c r="BQ143" s="232"/>
    </row>
    <row r="144" spans="1:69" x14ac:dyDescent="0.2">
      <c r="A144" s="256">
        <v>4</v>
      </c>
      <c r="B144" s="509" t="str">
        <f>$AK$126</f>
        <v>Update</v>
      </c>
      <c r="C144" s="311">
        <v>4</v>
      </c>
      <c r="D144" s="311">
        <v>1</v>
      </c>
      <c r="E144" s="307">
        <v>1</v>
      </c>
      <c r="F144" s="311" t="str">
        <f t="shared" si="0"/>
        <v>411</v>
      </c>
      <c r="G144" s="322">
        <f t="shared" si="1"/>
        <v>16.710066481666534</v>
      </c>
      <c r="H144" s="5">
        <f>'Detailed Avalerem Tables'!X26</f>
        <v>26.070652173913043</v>
      </c>
      <c r="I144" s="5">
        <f>'Detailed Avalerem Tables'!X75</f>
        <v>23.625</v>
      </c>
      <c r="J144" s="5">
        <f>'Detailed Avalerem Tables'!X123</f>
        <v>20.041666666666664</v>
      </c>
      <c r="K144" s="5">
        <f>'Detailed Avalerem Tables'!X171</f>
        <v>20.653688524590166</v>
      </c>
      <c r="L144" s="5">
        <f>'Detailed Avalerem Tables'!X219</f>
        <v>31.660714285714288</v>
      </c>
      <c r="M144" s="5">
        <f>'Detailed Avalerem Tables'!AZ26</f>
        <v>15.658783783783784</v>
      </c>
      <c r="N144" s="5">
        <f>'Detailed Avalerem Tables'!AZ75</f>
        <v>14.958333333333332</v>
      </c>
      <c r="O144" s="5">
        <f>'Detailed Avalerem Tables'!AZ123</f>
        <v>14.678030303030303</v>
      </c>
      <c r="P144" s="5">
        <f>'Detailed Avalerem Tables'!AZ171</f>
        <v>14.634740259740258</v>
      </c>
      <c r="Q144" s="5">
        <f>'Detailed Avalerem Tables'!AZ219</f>
        <v>18.407258064516128</v>
      </c>
      <c r="R144" s="5">
        <f>'Detailed Avalerem Tables'!CB26</f>
        <v>17.558098591549296</v>
      </c>
      <c r="S144" s="5">
        <f>'Detailed Avalerem Tables'!CB75</f>
        <v>19.797222222222224</v>
      </c>
      <c r="T144" s="5">
        <f>'Detailed Avalerem Tables'!CB123</f>
        <v>17.232142857142858</v>
      </c>
      <c r="U144" s="5">
        <f>'Detailed Avalerem Tables'!CB171</f>
        <v>18.615000000000002</v>
      </c>
      <c r="V144" s="5">
        <f>'Detailed Avalerem Tables'!CB219</f>
        <v>19.33653846153846</v>
      </c>
      <c r="W144" s="5">
        <f>'Detailed Avalerem Tables'!DD26</f>
        <v>10.920454545454545</v>
      </c>
      <c r="X144" s="5">
        <f>'Detailed Avalerem Tables'!DD75</f>
        <v>10.69758064516129</v>
      </c>
      <c r="Y144" s="5">
        <f>'Detailed Avalerem Tables'!DD123</f>
        <v>10.387658227848101</v>
      </c>
      <c r="Z144" s="5">
        <f>'Detailed Avalerem Tables'!DD171</f>
        <v>10.57107843137255</v>
      </c>
      <c r="AA144" s="5">
        <f>'Detailed Avalerem Tables'!DD219</f>
        <v>10.662671232876711</v>
      </c>
      <c r="AB144" s="5">
        <f>'Detailed Avalerem Tables'!EF26</f>
        <v>14.817622950819672</v>
      </c>
      <c r="AC144" s="5">
        <f>'Detailed Avalerem Tables'!EF75</f>
        <v>14.29066265060241</v>
      </c>
      <c r="AD144" s="5">
        <f>'Detailed Avalerem Tables'!EF123</f>
        <v>14.375</v>
      </c>
      <c r="AE144" s="5">
        <f>'Detailed Avalerem Tables'!EF171</f>
        <v>13.875</v>
      </c>
      <c r="AF144" s="322">
        <f>'Detailed Avalerem Tables'!EF219</f>
        <v>14.226063829787234</v>
      </c>
      <c r="AG144" s="261" t="s">
        <v>30</v>
      </c>
      <c r="AH144" s="262"/>
      <c r="AI144" s="263" t="str">
        <f>$AK$126</f>
        <v>Update</v>
      </c>
      <c r="AJ144" s="264" t="s">
        <v>356</v>
      </c>
      <c r="AL144">
        <v>4</v>
      </c>
      <c r="AM144" t="s">
        <v>363</v>
      </c>
      <c r="AN144" s="223" t="s">
        <v>31</v>
      </c>
      <c r="AO144" s="254" t="s">
        <v>364</v>
      </c>
      <c r="AP144" s="254" t="s">
        <v>365</v>
      </c>
      <c r="AQ144" s="254" t="s">
        <v>366</v>
      </c>
      <c r="AR144" s="254" t="s">
        <v>367</v>
      </c>
      <c r="AU144" s="148"/>
      <c r="AV144" s="148"/>
      <c r="BQ144" s="232"/>
    </row>
    <row r="145" spans="1:69" x14ac:dyDescent="0.2">
      <c r="A145" s="256">
        <v>5</v>
      </c>
      <c r="B145" s="509" t="str">
        <f>$AK$127</f>
        <v>Share</v>
      </c>
      <c r="C145" s="311">
        <v>5</v>
      </c>
      <c r="D145" s="311">
        <v>1</v>
      </c>
      <c r="E145" s="307">
        <v>1</v>
      </c>
      <c r="F145" s="311" t="str">
        <f t="shared" si="0"/>
        <v>511</v>
      </c>
      <c r="G145" s="322">
        <f t="shared" si="1"/>
        <v>13.748066573192935</v>
      </c>
      <c r="H145" s="5">
        <f>'Detailed Avalerem Tables'!X27</f>
        <v>18.768115942028984</v>
      </c>
      <c r="I145" s="5">
        <f>'Detailed Avalerem Tables'!X76</f>
        <v>17.239583333333336</v>
      </c>
      <c r="J145" s="5">
        <f>'Detailed Avalerem Tables'!X124</f>
        <v>15</v>
      </c>
      <c r="K145" s="5">
        <f>'Detailed Avalerem Tables'!X172</f>
        <v>15.382513661202186</v>
      </c>
      <c r="L145" s="5">
        <f>'Detailed Avalerem Tables'!X220</f>
        <v>22.261904761904763</v>
      </c>
      <c r="M145" s="5">
        <f>'Detailed Avalerem Tables'!AZ27</f>
        <v>17.13063063063063</v>
      </c>
      <c r="N145" s="5">
        <f>'Detailed Avalerem Tables'!AZ76</f>
        <v>16.149999999999999</v>
      </c>
      <c r="O145" s="5">
        <f>'Detailed Avalerem Tables'!AZ124</f>
        <v>15.757575757575758</v>
      </c>
      <c r="P145" s="5">
        <f>'Detailed Avalerem Tables'!AZ172</f>
        <v>15.696969696969695</v>
      </c>
      <c r="Q145" s="5">
        <f>'Detailed Avalerem Tables'!AZ220</f>
        <v>20.978494623655912</v>
      </c>
      <c r="R145" s="5">
        <f>'Detailed Avalerem Tables'!CB27</f>
        <v>9.5023474178403742</v>
      </c>
      <c r="S145" s="5">
        <f>'Detailed Avalerem Tables'!CB76</f>
        <v>9.8222222222222211</v>
      </c>
      <c r="T145" s="5">
        <f>'Detailed Avalerem Tables'!CB124</f>
        <v>9.4557823129251712</v>
      </c>
      <c r="U145" s="5">
        <f>'Detailed Avalerem Tables'!CB172</f>
        <v>9.6533333333333342</v>
      </c>
      <c r="V145" s="5">
        <f>'Detailed Avalerem Tables'!CB220</f>
        <v>9.7564102564102555</v>
      </c>
      <c r="W145" s="5">
        <f>'Detailed Avalerem Tables'!DD27</f>
        <v>14.515151515151516</v>
      </c>
      <c r="X145" s="5">
        <f>'Detailed Avalerem Tables'!DD76</f>
        <v>13.623655913978496</v>
      </c>
      <c r="Y145" s="5">
        <f>'Detailed Avalerem Tables'!DD124</f>
        <v>12.383966244725737</v>
      </c>
      <c r="Z145" s="5">
        <f>'Detailed Avalerem Tables'!DD172</f>
        <v>13.117647058823529</v>
      </c>
      <c r="AA145" s="5">
        <f>'Detailed Avalerem Tables'!DD220</f>
        <v>13.484018264840181</v>
      </c>
      <c r="AB145" s="5">
        <f>'Detailed Avalerem Tables'!EF27</f>
        <v>11.054644808743168</v>
      </c>
      <c r="AC145" s="5">
        <f>'Detailed Avalerem Tables'!EF76</f>
        <v>10.791164658634537</v>
      </c>
      <c r="AD145" s="5">
        <f>'Detailed Avalerem Tables'!EF124</f>
        <v>10.833333333333332</v>
      </c>
      <c r="AE145" s="5">
        <f>'Detailed Avalerem Tables'!EF172</f>
        <v>10.583333333333332</v>
      </c>
      <c r="AF145" s="322">
        <f>'Detailed Avalerem Tables'!EF220</f>
        <v>10.75886524822695</v>
      </c>
      <c r="AG145" s="261" t="s">
        <v>30</v>
      </c>
      <c r="AH145" s="262"/>
      <c r="AI145" s="263" t="str">
        <f>$AK$127</f>
        <v>Share</v>
      </c>
      <c r="AJ145" s="264" t="s">
        <v>356</v>
      </c>
      <c r="AL145">
        <v>5</v>
      </c>
      <c r="AM145" t="s">
        <v>368</v>
      </c>
      <c r="AN145" s="268" t="s">
        <v>34</v>
      </c>
      <c r="AO145" s="254" t="s">
        <v>369</v>
      </c>
      <c r="AP145" s="254" t="s">
        <v>370</v>
      </c>
      <c r="AQ145" s="254" t="s">
        <v>371</v>
      </c>
      <c r="AR145" s="254" t="s">
        <v>372</v>
      </c>
      <c r="AU145" s="148"/>
      <c r="AV145" s="148"/>
      <c r="BQ145" s="232"/>
    </row>
    <row r="146" spans="1:69" x14ac:dyDescent="0.2">
      <c r="A146" s="256">
        <v>6</v>
      </c>
      <c r="B146" s="509" t="str">
        <f>$AK$128</f>
        <v>Follow-up</v>
      </c>
      <c r="C146" s="311">
        <v>6</v>
      </c>
      <c r="D146" s="311">
        <v>1</v>
      </c>
      <c r="E146" s="307">
        <v>1</v>
      </c>
      <c r="F146" s="311" t="str">
        <f t="shared" si="0"/>
        <v>611</v>
      </c>
      <c r="G146" s="322">
        <f t="shared" si="1"/>
        <v>13.704201111686999</v>
      </c>
      <c r="H146" s="5">
        <f>'Detailed Avalerem Tables'!X28</f>
        <v>21.900362318840582</v>
      </c>
      <c r="I146" s="5">
        <f>'Detailed Avalerem Tables'!X77</f>
        <v>19.760416666666668</v>
      </c>
      <c r="J146" s="5">
        <f>'Detailed Avalerem Tables'!X125</f>
        <v>16.625</v>
      </c>
      <c r="K146" s="5">
        <f>'Detailed Avalerem Tables'!X173</f>
        <v>17.160519125683063</v>
      </c>
      <c r="L146" s="5">
        <f>'Detailed Avalerem Tables'!X221</f>
        <v>26.791666666666671</v>
      </c>
      <c r="M146" s="5">
        <f>'Detailed Avalerem Tables'!AZ28</f>
        <v>8.548423423423424</v>
      </c>
      <c r="N146" s="5">
        <f>'Detailed Avalerem Tables'!AZ77</f>
        <v>8.4083333333333332</v>
      </c>
      <c r="O146" s="5">
        <f>'Detailed Avalerem Tables'!AZ125</f>
        <v>8.3522727272727266</v>
      </c>
      <c r="P146" s="5">
        <f>'Detailed Avalerem Tables'!AZ173</f>
        <v>8.3436147186147185</v>
      </c>
      <c r="Q146" s="5">
        <f>'Detailed Avalerem Tables'!AZ221</f>
        <v>9.0981182795698921</v>
      </c>
      <c r="R146" s="5">
        <f>'Detailed Avalerem Tables'!CB28</f>
        <v>11.967723004694836</v>
      </c>
      <c r="S146" s="5">
        <f>'Detailed Avalerem Tables'!CB77</f>
        <v>13.247222222222222</v>
      </c>
      <c r="T146" s="5">
        <f>'Detailed Avalerem Tables'!CB125</f>
        <v>11.781462585034014</v>
      </c>
      <c r="U146" s="5">
        <f>'Detailed Avalerem Tables'!CB173</f>
        <v>12.571666666666669</v>
      </c>
      <c r="V146" s="5">
        <f>'Detailed Avalerem Tables'!CB221</f>
        <v>12.983974358974358</v>
      </c>
      <c r="W146" s="5">
        <f>'Detailed Avalerem Tables'!DD28</f>
        <v>10.382575757575758</v>
      </c>
      <c r="X146" s="5">
        <f>'Detailed Avalerem Tables'!DD77</f>
        <v>9.9368279569892479</v>
      </c>
      <c r="Y146" s="5">
        <f>'Detailed Avalerem Tables'!DD125</f>
        <v>9.3169831223628687</v>
      </c>
      <c r="Z146" s="5">
        <f>'Detailed Avalerem Tables'!DD173</f>
        <v>9.6838235294117663</v>
      </c>
      <c r="AA146" s="5">
        <f>'Detailed Avalerem Tables'!DD221</f>
        <v>9.8670091324200904</v>
      </c>
      <c r="AB146" s="5">
        <f>'Detailed Avalerem Tables'!EF28</f>
        <v>18.176912568306012</v>
      </c>
      <c r="AC146" s="5">
        <f>'Detailed Avalerem Tables'!EF77</f>
        <v>17.122991967871485</v>
      </c>
      <c r="AD146" s="5">
        <f>'Detailed Avalerem Tables'!EF125</f>
        <v>17.291666666666664</v>
      </c>
      <c r="AE146" s="5">
        <f>'Detailed Avalerem Tables'!EF173</f>
        <v>16.291666666666668</v>
      </c>
      <c r="AF146" s="322">
        <f>'Detailed Avalerem Tables'!EF221</f>
        <v>16.993794326241137</v>
      </c>
      <c r="AG146" s="261" t="s">
        <v>30</v>
      </c>
      <c r="AH146" s="262"/>
      <c r="AI146" s="263" t="str">
        <f>$AK$128</f>
        <v>Follow-up</v>
      </c>
      <c r="AJ146" s="264" t="s">
        <v>356</v>
      </c>
      <c r="AL146">
        <v>6</v>
      </c>
      <c r="AM146" t="s">
        <v>374</v>
      </c>
      <c r="AN146" s="217" t="s">
        <v>32</v>
      </c>
      <c r="AO146" s="254" t="s">
        <v>375</v>
      </c>
      <c r="AP146" s="254" t="s">
        <v>376</v>
      </c>
      <c r="AQ146" s="254" t="s">
        <v>377</v>
      </c>
      <c r="AR146" s="254" t="s">
        <v>378</v>
      </c>
      <c r="AU146" s="148"/>
      <c r="AV146" s="148"/>
      <c r="BQ146" s="232"/>
    </row>
    <row r="147" spans="1:69" x14ac:dyDescent="0.2">
      <c r="A147" s="256">
        <v>7</v>
      </c>
      <c r="B147" s="509" t="str">
        <f>$AK$129</f>
        <v>Discuss</v>
      </c>
      <c r="C147" s="311">
        <v>7</v>
      </c>
      <c r="D147" s="311">
        <v>1</v>
      </c>
      <c r="E147" s="307">
        <v>1</v>
      </c>
      <c r="F147" s="311" t="str">
        <f t="shared" si="0"/>
        <v>711</v>
      </c>
      <c r="G147" s="322">
        <f t="shared" si="1"/>
        <v>12.468302506855878</v>
      </c>
      <c r="H147" s="5">
        <f>'Detailed Avalerem Tables'!X29</f>
        <v>9.3786231884057969</v>
      </c>
      <c r="I147" s="5">
        <f>'Detailed Avalerem Tables'!X78</f>
        <v>9.0729166666666679</v>
      </c>
      <c r="J147" s="5">
        <f>'Detailed Avalerem Tables'!X126</f>
        <v>8.625</v>
      </c>
      <c r="K147" s="5">
        <f>'Detailed Avalerem Tables'!X174</f>
        <v>8.7015027322404386</v>
      </c>
      <c r="L147" s="5">
        <f>'Detailed Avalerem Tables'!X222</f>
        <v>10.077380952380953</v>
      </c>
      <c r="M147" s="5">
        <f>'Detailed Avalerem Tables'!AZ29</f>
        <v>12.318693693693694</v>
      </c>
      <c r="N147" s="5">
        <f>'Detailed Avalerem Tables'!AZ78</f>
        <v>11.758333333333333</v>
      </c>
      <c r="O147" s="5">
        <f>'Detailed Avalerem Tables'!AZ126</f>
        <v>11.53409090909091</v>
      </c>
      <c r="P147" s="5">
        <f>'Detailed Avalerem Tables'!AZ174</f>
        <v>11.499458874458874</v>
      </c>
      <c r="Q147" s="5">
        <f>'Detailed Avalerem Tables'!AZ222</f>
        <v>14.51747311827957</v>
      </c>
      <c r="R147" s="5">
        <f>'Detailed Avalerem Tables'!CB29</f>
        <v>9.6296948356807519</v>
      </c>
      <c r="S147" s="5">
        <f>'Detailed Avalerem Tables'!CB78</f>
        <v>10.269444444444444</v>
      </c>
      <c r="T147" s="5">
        <f>'Detailed Avalerem Tables'!CB126</f>
        <v>9.5365646258503407</v>
      </c>
      <c r="U147" s="5">
        <f>'Detailed Avalerem Tables'!CB174</f>
        <v>9.9316666666666684</v>
      </c>
      <c r="V147" s="5">
        <f>'Detailed Avalerem Tables'!CB222</f>
        <v>10.137820512820513</v>
      </c>
      <c r="W147" s="5">
        <f>'Detailed Avalerem Tables'!DD29</f>
        <v>19.655303030303031</v>
      </c>
      <c r="X147" s="5">
        <f>'Detailed Avalerem Tables'!DD78</f>
        <v>17.872311827956988</v>
      </c>
      <c r="Y147" s="5">
        <f>'Detailed Avalerem Tables'!DD126</f>
        <v>15.392932489451475</v>
      </c>
      <c r="Z147" s="5">
        <f>'Detailed Avalerem Tables'!DD174</f>
        <v>16.860294117647062</v>
      </c>
      <c r="AA147" s="5">
        <f>'Detailed Avalerem Tables'!DD222</f>
        <v>17.593036529680365</v>
      </c>
      <c r="AB147" s="5">
        <f>'Detailed Avalerem Tables'!EF29</f>
        <v>14.094945355191257</v>
      </c>
      <c r="AC147" s="5">
        <f>'Detailed Avalerem Tables'!EF78</f>
        <v>13.436244979919678</v>
      </c>
      <c r="AD147" s="5">
        <f>'Detailed Avalerem Tables'!EF126</f>
        <v>13.541666666666666</v>
      </c>
      <c r="AE147" s="5">
        <f>'Detailed Avalerem Tables'!EF174</f>
        <v>12.916666666666668</v>
      </c>
      <c r="AF147" s="322">
        <f>'Detailed Avalerem Tables'!EF222</f>
        <v>13.355496453900709</v>
      </c>
      <c r="AG147" s="261" t="s">
        <v>30</v>
      </c>
      <c r="AH147" s="262"/>
      <c r="AI147" s="263" t="str">
        <f>$AK$129</f>
        <v>Discuss</v>
      </c>
      <c r="AJ147" s="264" t="s">
        <v>356</v>
      </c>
      <c r="AL147">
        <v>7</v>
      </c>
      <c r="AM147" t="s">
        <v>380</v>
      </c>
      <c r="AN147" s="272" t="s">
        <v>30</v>
      </c>
      <c r="AO147" s="254" t="s">
        <v>381</v>
      </c>
      <c r="AP147" s="254" t="s">
        <v>382</v>
      </c>
      <c r="AQ147" s="254" t="s">
        <v>383</v>
      </c>
      <c r="AR147" s="254" t="s">
        <v>384</v>
      </c>
      <c r="AU147" s="148"/>
      <c r="AV147" s="148"/>
      <c r="BQ147" s="232"/>
    </row>
    <row r="148" spans="1:69" x14ac:dyDescent="0.2">
      <c r="A148" s="256">
        <v>8</v>
      </c>
      <c r="B148" s="509" t="str">
        <f>$AK$130</f>
        <v>Listen</v>
      </c>
      <c r="C148" s="311">
        <v>8</v>
      </c>
      <c r="D148" s="311">
        <v>1</v>
      </c>
      <c r="E148" s="307">
        <v>1</v>
      </c>
      <c r="F148" s="311" t="str">
        <f t="shared" si="0"/>
        <v>811</v>
      </c>
      <c r="G148" s="322">
        <f t="shared" si="1"/>
        <v>15.430302415329463</v>
      </c>
      <c r="H148" s="5">
        <f>'Detailed Avalerem Tables'!X30</f>
        <v>16.681159420289852</v>
      </c>
      <c r="I148" s="5">
        <f>'Detailed Avalerem Tables'!X79</f>
        <v>15.458333333333334</v>
      </c>
      <c r="J148" s="5">
        <f>'Detailed Avalerem Tables'!X127</f>
        <v>13.666666666666664</v>
      </c>
      <c r="K148" s="5">
        <f>'Detailed Avalerem Tables'!X175</f>
        <v>13.972677595628415</v>
      </c>
      <c r="L148" s="5">
        <f>'Detailed Avalerem Tables'!X223</f>
        <v>19.476190476190474</v>
      </c>
      <c r="M148" s="5">
        <f>'Detailed Avalerem Tables'!AZ30</f>
        <v>10.846846846846846</v>
      </c>
      <c r="N148" s="5">
        <f>'Detailed Avalerem Tables'!AZ79</f>
        <v>10.566666666666666</v>
      </c>
      <c r="O148" s="5">
        <f>'Detailed Avalerem Tables'!AZ127</f>
        <v>10.454545454545453</v>
      </c>
      <c r="P148" s="5">
        <f>'Detailed Avalerem Tables'!AZ175</f>
        <v>10.437229437229437</v>
      </c>
      <c r="Q148" s="5">
        <f>'Detailed Avalerem Tables'!AZ223</f>
        <v>11.946236559139786</v>
      </c>
      <c r="R148" s="5">
        <f>'Detailed Avalerem Tables'!CB30</f>
        <v>17.685446009389672</v>
      </c>
      <c r="S148" s="5">
        <f>'Detailed Avalerem Tables'!CB79</f>
        <v>20.244444444444444</v>
      </c>
      <c r="T148" s="5">
        <f>'Detailed Avalerem Tables'!CB127</f>
        <v>17.312925170068027</v>
      </c>
      <c r="U148" s="5">
        <f>'Detailed Avalerem Tables'!CB175</f>
        <v>18.893333333333334</v>
      </c>
      <c r="V148" s="5">
        <f>'Detailed Avalerem Tables'!CB223</f>
        <v>19.717948717948715</v>
      </c>
      <c r="W148" s="5">
        <f>'Detailed Avalerem Tables'!DD30</f>
        <v>16.060606060606062</v>
      </c>
      <c r="X148" s="5">
        <f>'Detailed Avalerem Tables'!DD79</f>
        <v>14.946236559139786</v>
      </c>
      <c r="Y148" s="5">
        <f>'Detailed Avalerem Tables'!DD127</f>
        <v>13.396624472573837</v>
      </c>
      <c r="Z148" s="5">
        <f>'Detailed Avalerem Tables'!DD175</f>
        <v>14.313725490196079</v>
      </c>
      <c r="AA148" s="5">
        <f>'Detailed Avalerem Tables'!DD223</f>
        <v>14.771689497716892</v>
      </c>
      <c r="AB148" s="5">
        <f>'Detailed Avalerem Tables'!EF30</f>
        <v>17.857923497267755</v>
      </c>
      <c r="AC148" s="5">
        <f>'Detailed Avalerem Tables'!EF79</f>
        <v>16.935742971887549</v>
      </c>
      <c r="AD148" s="5">
        <f>'Detailed Avalerem Tables'!EF127</f>
        <v>17.083333333333332</v>
      </c>
      <c r="AE148" s="5">
        <f>'Detailed Avalerem Tables'!EF175</f>
        <v>16.208333333333332</v>
      </c>
      <c r="AF148" s="322">
        <f>'Detailed Avalerem Tables'!EF223</f>
        <v>16.822695035460995</v>
      </c>
      <c r="AG148" s="261" t="s">
        <v>30</v>
      </c>
      <c r="AH148" s="262"/>
      <c r="AI148" s="263" t="str">
        <f>$AK$130</f>
        <v>Listen</v>
      </c>
      <c r="AJ148" s="264" t="s">
        <v>356</v>
      </c>
      <c r="AL148">
        <v>8</v>
      </c>
      <c r="AM148" t="s">
        <v>385</v>
      </c>
      <c r="AN148" s="217" t="s">
        <v>32</v>
      </c>
      <c r="AO148" s="254" t="s">
        <v>386</v>
      </c>
      <c r="AP148" s="254" t="s">
        <v>387</v>
      </c>
      <c r="AQ148" s="254" t="s">
        <v>388</v>
      </c>
      <c r="AR148" s="254" t="s">
        <v>389</v>
      </c>
      <c r="AU148" s="148"/>
      <c r="AV148" s="148"/>
      <c r="BQ148" s="232"/>
    </row>
    <row r="149" spans="1:69" x14ac:dyDescent="0.2">
      <c r="A149" s="256">
        <v>9</v>
      </c>
      <c r="B149" s="509" t="str">
        <f>$AK$131</f>
        <v>Monitor</v>
      </c>
      <c r="C149" s="311">
        <v>9</v>
      </c>
      <c r="D149" s="311">
        <v>1</v>
      </c>
      <c r="E149" s="307">
        <v>1</v>
      </c>
      <c r="F149" s="311" t="str">
        <f t="shared" si="0"/>
        <v>911</v>
      </c>
      <c r="G149" s="322">
        <f t="shared" si="1"/>
        <v>15.474167876835413</v>
      </c>
      <c r="H149" s="5">
        <f>'Detailed Avalerem Tables'!X31</f>
        <v>13.548913043478262</v>
      </c>
      <c r="I149" s="5">
        <f>'Detailed Avalerem Tables'!X80</f>
        <v>12.9375</v>
      </c>
      <c r="J149" s="5">
        <f>'Detailed Avalerem Tables'!X128</f>
        <v>12.041666666666664</v>
      </c>
      <c r="K149" s="5">
        <f>'Detailed Avalerem Tables'!X176</f>
        <v>12.194672131147541</v>
      </c>
      <c r="L149" s="5">
        <f>'Detailed Avalerem Tables'!X224</f>
        <v>14.946428571428573</v>
      </c>
      <c r="M149" s="5">
        <f>'Detailed Avalerem Tables'!AZ31</f>
        <v>19.429054054054056</v>
      </c>
      <c r="N149" s="5">
        <f>'Detailed Avalerem Tables'!AZ80</f>
        <v>18.30833333333333</v>
      </c>
      <c r="O149" s="5">
        <f>'Detailed Avalerem Tables'!AZ128</f>
        <v>17.859848484848484</v>
      </c>
      <c r="P149" s="5">
        <f>'Detailed Avalerem Tables'!AZ176</f>
        <v>17.790584415584416</v>
      </c>
      <c r="Q149" s="5">
        <f>'Detailed Avalerem Tables'!AZ224</f>
        <v>23.826612903225808</v>
      </c>
      <c r="R149" s="5">
        <f>'Detailed Avalerem Tables'!CB31</f>
        <v>15.220070422535212</v>
      </c>
      <c r="S149" s="5">
        <f>'Detailed Avalerem Tables'!CB80</f>
        <v>16.819444444444446</v>
      </c>
      <c r="T149" s="5">
        <f>'Detailed Avalerem Tables'!CB128</f>
        <v>14.987244897959183</v>
      </c>
      <c r="U149" s="5">
        <f>'Detailed Avalerem Tables'!CB176</f>
        <v>15.975000000000003</v>
      </c>
      <c r="V149" s="5">
        <f>'Detailed Avalerem Tables'!CB224</f>
        <v>16.490384615384617</v>
      </c>
      <c r="W149" s="5">
        <f>'Detailed Avalerem Tables'!DD31</f>
        <v>20.19318181818182</v>
      </c>
      <c r="X149" s="5">
        <f>'Detailed Avalerem Tables'!DD80</f>
        <v>18.633064516129032</v>
      </c>
      <c r="Y149" s="5">
        <f>'Detailed Avalerem Tables'!DD128</f>
        <v>16.463607594936708</v>
      </c>
      <c r="Z149" s="5">
        <f>'Detailed Avalerem Tables'!DD176</f>
        <v>17.747549019607845</v>
      </c>
      <c r="AA149" s="5">
        <f>'Detailed Avalerem Tables'!DD224</f>
        <v>18.388698630136986</v>
      </c>
      <c r="AB149" s="5">
        <f>'Detailed Avalerem Tables'!EF31</f>
        <v>10.735655737704917</v>
      </c>
      <c r="AC149" s="5">
        <f>'Detailed Avalerem Tables'!EF80</f>
        <v>10.603915662650602</v>
      </c>
      <c r="AD149" s="5">
        <f>'Detailed Avalerem Tables'!EF128</f>
        <v>10.625</v>
      </c>
      <c r="AE149" s="5">
        <f>'Detailed Avalerem Tables'!EF176</f>
        <v>10.5</v>
      </c>
      <c r="AF149" s="322">
        <f>'Detailed Avalerem Tables'!EF224</f>
        <v>10.587765957446809</v>
      </c>
      <c r="AG149" s="261" t="s">
        <v>30</v>
      </c>
      <c r="AH149" s="262"/>
      <c r="AI149" s="263" t="str">
        <f>$AK$131</f>
        <v>Monitor</v>
      </c>
      <c r="AJ149" s="264" t="s">
        <v>356</v>
      </c>
      <c r="AL149">
        <v>9</v>
      </c>
      <c r="AM149" t="s">
        <v>390</v>
      </c>
      <c r="AN149" s="223" t="s">
        <v>31</v>
      </c>
      <c r="AO149" s="254" t="s">
        <v>391</v>
      </c>
      <c r="AP149" s="254" t="s">
        <v>392</v>
      </c>
      <c r="AQ149" s="254" t="s">
        <v>393</v>
      </c>
      <c r="AR149" s="254" t="s">
        <v>394</v>
      </c>
      <c r="AU149" s="148"/>
      <c r="AV149" s="148"/>
      <c r="BQ149" s="232"/>
    </row>
    <row r="150" spans="1:69" x14ac:dyDescent="0.2">
      <c r="A150" s="256">
        <v>10</v>
      </c>
      <c r="B150" s="509" t="str">
        <f>$AK$132</f>
        <v>Accelerate</v>
      </c>
      <c r="C150" s="311">
        <v>10</v>
      </c>
      <c r="D150" s="311">
        <v>1</v>
      </c>
      <c r="E150" s="307">
        <v>1</v>
      </c>
      <c r="F150" s="311" t="str">
        <f t="shared" si="0"/>
        <v>1011</v>
      </c>
      <c r="G150" s="322">
        <f t="shared" si="1"/>
        <v>16.710066481666534</v>
      </c>
      <c r="H150" s="5">
        <f>'Detailed Avalerem Tables'!X32</f>
        <v>26.070652173913043</v>
      </c>
      <c r="I150" s="5">
        <f>'Detailed Avalerem Tables'!X81</f>
        <v>23.625</v>
      </c>
      <c r="J150" s="5">
        <f>'Detailed Avalerem Tables'!X129</f>
        <v>20.041666666666664</v>
      </c>
      <c r="K150" s="5">
        <f>'Detailed Avalerem Tables'!X177</f>
        <v>20.653688524590166</v>
      </c>
      <c r="L150" s="5">
        <f>'Detailed Avalerem Tables'!X225</f>
        <v>31.660714285714288</v>
      </c>
      <c r="M150" s="5">
        <f>'Detailed Avalerem Tables'!AZ32</f>
        <v>15.658783783783784</v>
      </c>
      <c r="N150" s="5">
        <f>'Detailed Avalerem Tables'!AZ81</f>
        <v>14.958333333333332</v>
      </c>
      <c r="O150" s="5">
        <f>'Detailed Avalerem Tables'!AZ129</f>
        <v>14.678030303030303</v>
      </c>
      <c r="P150" s="5">
        <f>'Detailed Avalerem Tables'!AZ177</f>
        <v>14.634740259740258</v>
      </c>
      <c r="Q150" s="5">
        <f>'Detailed Avalerem Tables'!AZ225</f>
        <v>18.407258064516128</v>
      </c>
      <c r="R150" s="5">
        <f>'Detailed Avalerem Tables'!CB32</f>
        <v>17.558098591549296</v>
      </c>
      <c r="S150" s="5">
        <f>'Detailed Avalerem Tables'!CB81</f>
        <v>19.797222222222224</v>
      </c>
      <c r="T150" s="5">
        <f>'Detailed Avalerem Tables'!CB129</f>
        <v>17.232142857142858</v>
      </c>
      <c r="U150" s="5">
        <f>'Detailed Avalerem Tables'!CB177</f>
        <v>18.615000000000002</v>
      </c>
      <c r="V150" s="5">
        <f>'Detailed Avalerem Tables'!CB225</f>
        <v>19.33653846153846</v>
      </c>
      <c r="W150" s="5">
        <f>'Detailed Avalerem Tables'!DD32</f>
        <v>10.920454545454545</v>
      </c>
      <c r="X150" s="5">
        <f>'Detailed Avalerem Tables'!DD81</f>
        <v>10.69758064516129</v>
      </c>
      <c r="Y150" s="5">
        <f>'Detailed Avalerem Tables'!DD129</f>
        <v>10.387658227848101</v>
      </c>
      <c r="Z150" s="5">
        <f>'Detailed Avalerem Tables'!DD177</f>
        <v>10.57107843137255</v>
      </c>
      <c r="AA150" s="5">
        <f>'Detailed Avalerem Tables'!DD225</f>
        <v>10.662671232876711</v>
      </c>
      <c r="AB150" s="5">
        <f>'Detailed Avalerem Tables'!EF32</f>
        <v>14.817622950819672</v>
      </c>
      <c r="AC150" s="5">
        <f>'Detailed Avalerem Tables'!EF81</f>
        <v>14.29066265060241</v>
      </c>
      <c r="AD150" s="5">
        <f>'Detailed Avalerem Tables'!EF129</f>
        <v>14.375</v>
      </c>
      <c r="AE150" s="5">
        <f>'Detailed Avalerem Tables'!EF177</f>
        <v>13.875</v>
      </c>
      <c r="AF150" s="322">
        <f>'Detailed Avalerem Tables'!EF225</f>
        <v>14.226063829787234</v>
      </c>
      <c r="AG150" s="261" t="s">
        <v>30</v>
      </c>
      <c r="AH150" s="262"/>
      <c r="AI150" s="263" t="str">
        <f>$AK$132</f>
        <v>Accelerate</v>
      </c>
      <c r="AJ150" s="264" t="s">
        <v>356</v>
      </c>
      <c r="AL150">
        <v>10</v>
      </c>
      <c r="AM150" t="s">
        <v>395</v>
      </c>
      <c r="AN150" s="272" t="s">
        <v>30</v>
      </c>
      <c r="AO150" s="254" t="s">
        <v>396</v>
      </c>
      <c r="AP150" s="254" t="s">
        <v>397</v>
      </c>
      <c r="AQ150" s="254" t="s">
        <v>398</v>
      </c>
      <c r="AR150" s="254" t="s">
        <v>399</v>
      </c>
      <c r="AU150" s="148"/>
      <c r="AV150" s="148"/>
      <c r="BQ150" s="232"/>
    </row>
    <row r="151" spans="1:69" x14ac:dyDescent="0.2">
      <c r="A151" s="256">
        <v>11</v>
      </c>
      <c r="B151" s="509" t="str">
        <f>$AK$133</f>
        <v>Check</v>
      </c>
      <c r="C151" s="311">
        <v>11</v>
      </c>
      <c r="D151" s="311">
        <v>1</v>
      </c>
      <c r="E151" s="307">
        <v>1</v>
      </c>
      <c r="F151" s="311" t="str">
        <f t="shared" si="0"/>
        <v>1111</v>
      </c>
      <c r="G151" s="322">
        <f t="shared" si="1"/>
        <v>13.748066573192935</v>
      </c>
      <c r="H151" s="5">
        <f>'Detailed Avalerem Tables'!X33</f>
        <v>18.768115942028984</v>
      </c>
      <c r="I151" s="5">
        <f>'Detailed Avalerem Tables'!X82</f>
        <v>17.239583333333336</v>
      </c>
      <c r="J151" s="5">
        <f>'Detailed Avalerem Tables'!X130</f>
        <v>15</v>
      </c>
      <c r="K151" s="5">
        <f>'Detailed Avalerem Tables'!X178</f>
        <v>15.382513661202186</v>
      </c>
      <c r="L151" s="5">
        <f>'Detailed Avalerem Tables'!X226</f>
        <v>22.261904761904763</v>
      </c>
      <c r="M151" s="5">
        <f>'Detailed Avalerem Tables'!AZ33</f>
        <v>17.13063063063063</v>
      </c>
      <c r="N151" s="5">
        <f>'Detailed Avalerem Tables'!AZ82</f>
        <v>16.149999999999999</v>
      </c>
      <c r="O151" s="5">
        <f>'Detailed Avalerem Tables'!AZ130</f>
        <v>15.757575757575758</v>
      </c>
      <c r="P151" s="5">
        <f>'Detailed Avalerem Tables'!AZ178</f>
        <v>15.696969696969695</v>
      </c>
      <c r="Q151" s="5">
        <f>'Detailed Avalerem Tables'!AZ226</f>
        <v>20.978494623655912</v>
      </c>
      <c r="R151" s="5">
        <f>'Detailed Avalerem Tables'!CB33</f>
        <v>9.5023474178403742</v>
      </c>
      <c r="S151" s="5">
        <f>'Detailed Avalerem Tables'!CB82</f>
        <v>9.8222222222222211</v>
      </c>
      <c r="T151" s="5">
        <f>'Detailed Avalerem Tables'!CB130</f>
        <v>9.4557823129251712</v>
      </c>
      <c r="U151" s="5">
        <f>'Detailed Avalerem Tables'!CB178</f>
        <v>9.6533333333333342</v>
      </c>
      <c r="V151" s="5">
        <f>'Detailed Avalerem Tables'!CB226</f>
        <v>9.7564102564102555</v>
      </c>
      <c r="W151" s="5">
        <f>'Detailed Avalerem Tables'!DD33</f>
        <v>14.515151515151516</v>
      </c>
      <c r="X151" s="5">
        <f>'Detailed Avalerem Tables'!DD82</f>
        <v>13.623655913978496</v>
      </c>
      <c r="Y151" s="5">
        <f>'Detailed Avalerem Tables'!DD130</f>
        <v>12.383966244725737</v>
      </c>
      <c r="Z151" s="5">
        <f>'Detailed Avalerem Tables'!DD178</f>
        <v>13.117647058823529</v>
      </c>
      <c r="AA151" s="5">
        <f>'Detailed Avalerem Tables'!DD226</f>
        <v>13.484018264840181</v>
      </c>
      <c r="AB151" s="5">
        <f>'Detailed Avalerem Tables'!EF33</f>
        <v>11.054644808743168</v>
      </c>
      <c r="AC151" s="5">
        <f>'Detailed Avalerem Tables'!EF82</f>
        <v>10.791164658634537</v>
      </c>
      <c r="AD151" s="5">
        <f>'Detailed Avalerem Tables'!EF130</f>
        <v>10.833333333333332</v>
      </c>
      <c r="AE151" s="5">
        <f>'Detailed Avalerem Tables'!EF178</f>
        <v>10.583333333333332</v>
      </c>
      <c r="AF151" s="322">
        <f>'Detailed Avalerem Tables'!EF226</f>
        <v>10.75886524822695</v>
      </c>
      <c r="AG151" s="261" t="s">
        <v>30</v>
      </c>
      <c r="AH151" s="262"/>
      <c r="AI151" s="263" t="str">
        <f>$AK$133</f>
        <v>Check</v>
      </c>
      <c r="AJ151" s="264" t="s">
        <v>356</v>
      </c>
      <c r="AL151">
        <v>11</v>
      </c>
      <c r="AM151" t="s">
        <v>400</v>
      </c>
      <c r="AN151" s="272" t="s">
        <v>30</v>
      </c>
      <c r="AO151" s="254" t="s">
        <v>401</v>
      </c>
      <c r="AP151" s="254" t="s">
        <v>402</v>
      </c>
      <c r="AQ151" s="254" t="s">
        <v>403</v>
      </c>
      <c r="AR151" s="254" t="s">
        <v>404</v>
      </c>
      <c r="AU151" s="148"/>
      <c r="AV151" s="148"/>
      <c r="BQ151" s="232"/>
    </row>
    <row r="152" spans="1:69" x14ac:dyDescent="0.2">
      <c r="A152" s="256">
        <v>12</v>
      </c>
      <c r="B152" s="509" t="str">
        <f>$AK$134</f>
        <v>Investigate</v>
      </c>
      <c r="C152" s="311">
        <v>12</v>
      </c>
      <c r="D152" s="311">
        <v>1</v>
      </c>
      <c r="E152" s="307">
        <v>1</v>
      </c>
      <c r="F152" s="311" t="str">
        <f t="shared" si="0"/>
        <v>1211</v>
      </c>
      <c r="G152" s="322">
        <f t="shared" si="1"/>
        <v>13.704201111686999</v>
      </c>
      <c r="H152" s="5">
        <f>'Detailed Avalerem Tables'!X34</f>
        <v>21.900362318840582</v>
      </c>
      <c r="I152" s="5">
        <f>'Detailed Avalerem Tables'!X83</f>
        <v>19.760416666666668</v>
      </c>
      <c r="J152" s="5">
        <f>'Detailed Avalerem Tables'!X131</f>
        <v>16.625</v>
      </c>
      <c r="K152" s="5">
        <f>'Detailed Avalerem Tables'!X179</f>
        <v>17.160519125683063</v>
      </c>
      <c r="L152" s="5">
        <f>'Detailed Avalerem Tables'!X227</f>
        <v>26.791666666666671</v>
      </c>
      <c r="M152" s="5">
        <f>'Detailed Avalerem Tables'!AZ34</f>
        <v>8.548423423423424</v>
      </c>
      <c r="N152" s="5">
        <f>'Detailed Avalerem Tables'!AZ83</f>
        <v>8.4083333333333332</v>
      </c>
      <c r="O152" s="5">
        <f>'Detailed Avalerem Tables'!AZ131</f>
        <v>8.3522727272727266</v>
      </c>
      <c r="P152" s="5">
        <f>'Detailed Avalerem Tables'!AZ179</f>
        <v>8.3436147186147185</v>
      </c>
      <c r="Q152" s="5">
        <f>'Detailed Avalerem Tables'!AZ227</f>
        <v>9.0981182795698921</v>
      </c>
      <c r="R152" s="5">
        <f>'Detailed Avalerem Tables'!CB34</f>
        <v>11.967723004694836</v>
      </c>
      <c r="S152" s="5">
        <f>'Detailed Avalerem Tables'!CB83</f>
        <v>13.247222222222222</v>
      </c>
      <c r="T152" s="5">
        <f>'Detailed Avalerem Tables'!CB131</f>
        <v>11.781462585034014</v>
      </c>
      <c r="U152" s="5">
        <f>'Detailed Avalerem Tables'!CB179</f>
        <v>12.571666666666669</v>
      </c>
      <c r="V152" s="5">
        <f>'Detailed Avalerem Tables'!CB227</f>
        <v>12.983974358974358</v>
      </c>
      <c r="W152" s="5">
        <f>'Detailed Avalerem Tables'!DD34</f>
        <v>10.382575757575758</v>
      </c>
      <c r="X152" s="5">
        <f>'Detailed Avalerem Tables'!DD83</f>
        <v>9.9368279569892479</v>
      </c>
      <c r="Y152" s="5">
        <f>'Detailed Avalerem Tables'!DD131</f>
        <v>9.3169831223628687</v>
      </c>
      <c r="Z152" s="5">
        <f>'Detailed Avalerem Tables'!DD179</f>
        <v>9.6838235294117663</v>
      </c>
      <c r="AA152" s="5">
        <f>'Detailed Avalerem Tables'!DD227</f>
        <v>9.8670091324200904</v>
      </c>
      <c r="AB152" s="5">
        <f>'Detailed Avalerem Tables'!EF34</f>
        <v>18.176912568306012</v>
      </c>
      <c r="AC152" s="5">
        <f>'Detailed Avalerem Tables'!EF83</f>
        <v>17.122991967871485</v>
      </c>
      <c r="AD152" s="5">
        <f>'Detailed Avalerem Tables'!EF131</f>
        <v>17.291666666666664</v>
      </c>
      <c r="AE152" s="5">
        <f>'Detailed Avalerem Tables'!EF179</f>
        <v>16.291666666666668</v>
      </c>
      <c r="AF152" s="322">
        <f>'Detailed Avalerem Tables'!EF227</f>
        <v>16.993794326241137</v>
      </c>
      <c r="AG152" s="261" t="s">
        <v>30</v>
      </c>
      <c r="AH152" s="262"/>
      <c r="AI152" s="263" t="str">
        <f>$AK$134</f>
        <v>Investigate</v>
      </c>
      <c r="AJ152" s="264" t="s">
        <v>356</v>
      </c>
      <c r="AL152">
        <v>12</v>
      </c>
      <c r="AM152" t="s">
        <v>405</v>
      </c>
      <c r="AN152" s="219" t="s">
        <v>33</v>
      </c>
      <c r="AO152" s="254" t="s">
        <v>406</v>
      </c>
      <c r="AP152" s="254" t="s">
        <v>407</v>
      </c>
      <c r="AQ152" s="254" t="s">
        <v>408</v>
      </c>
      <c r="AR152" s="254" t="s">
        <v>409</v>
      </c>
      <c r="AU152" s="148"/>
      <c r="AV152" s="148"/>
      <c r="BQ152" s="232"/>
    </row>
    <row r="153" spans="1:69" x14ac:dyDescent="0.2">
      <c r="A153" s="256">
        <v>13</v>
      </c>
      <c r="B153" s="509" t="str">
        <f>$AM$123</f>
        <v>Commit</v>
      </c>
      <c r="C153" s="311">
        <v>1</v>
      </c>
      <c r="D153" s="311">
        <v>1</v>
      </c>
      <c r="E153" s="307">
        <v>2</v>
      </c>
      <c r="F153" s="311" t="str">
        <f t="shared" si="0"/>
        <v>112</v>
      </c>
      <c r="G153" s="322">
        <f t="shared" si="1"/>
        <v>30.556329701673157</v>
      </c>
      <c r="H153" s="5">
        <f>'Detailed Avalerem Tables'!X38</f>
        <v>42.176235922822059</v>
      </c>
      <c r="I153" s="5">
        <f>'Detailed Avalerem Tables'!X87</f>
        <v>36.2837734238542</v>
      </c>
      <c r="J153" s="5">
        <f>'Detailed Avalerem Tables'!X135</f>
        <v>29.561411859422762</v>
      </c>
      <c r="K153" s="5">
        <f>'Detailed Avalerem Tables'!X183</f>
        <v>32.631444353476098</v>
      </c>
      <c r="L153" s="5">
        <f>'Detailed Avalerem Tables'!X231</f>
        <v>46.561738179713572</v>
      </c>
      <c r="M153" s="5">
        <f>'Detailed Avalerem Tables'!AZ38</f>
        <v>30.051582492919877</v>
      </c>
      <c r="N153" s="5">
        <f>'Detailed Avalerem Tables'!AZ87</f>
        <v>29.067871084324828</v>
      </c>
      <c r="O153" s="5">
        <f>'Detailed Avalerem Tables'!AZ135</f>
        <v>31.387558773662409</v>
      </c>
      <c r="P153" s="5">
        <f>'Detailed Avalerem Tables'!AZ183</f>
        <v>28.88455225787256</v>
      </c>
      <c r="Q153" s="5">
        <f>'Detailed Avalerem Tables'!AZ231</f>
        <v>34.491034215353601</v>
      </c>
      <c r="R153" s="5">
        <f>'Detailed Avalerem Tables'!CB38</f>
        <v>27.938507224712673</v>
      </c>
      <c r="S153" s="5">
        <f>'Detailed Avalerem Tables'!CB87</f>
        <v>31.364405847713606</v>
      </c>
      <c r="T153" s="5">
        <f>'Detailed Avalerem Tables'!CB135</f>
        <v>29.99383543565105</v>
      </c>
      <c r="U153" s="5">
        <f>'Detailed Avalerem Tables'!CB183</f>
        <v>28.456952632822873</v>
      </c>
      <c r="V153" s="5">
        <f>'Detailed Avalerem Tables'!CB231</f>
        <v>29.664593707719142</v>
      </c>
      <c r="W153" s="5">
        <f>'Detailed Avalerem Tables'!DD38</f>
        <v>32.253846594770764</v>
      </c>
      <c r="X153" s="5">
        <f>'Detailed Avalerem Tables'!DD87</f>
        <v>29.044495547941544</v>
      </c>
      <c r="Y153" s="5">
        <f>'Detailed Avalerem Tables'!DD135</f>
        <v>24.875967002105508</v>
      </c>
      <c r="Z153" s="5">
        <f>'Detailed Avalerem Tables'!DD183</f>
        <v>25.759585367805972</v>
      </c>
      <c r="AA153" s="5">
        <f>'Detailed Avalerem Tables'!DD231</f>
        <v>27.897129713420053</v>
      </c>
      <c r="AB153" s="5">
        <f>'Detailed Avalerem Tables'!EF38</f>
        <v>28.906576228514208</v>
      </c>
      <c r="AC153" s="5">
        <f>'Detailed Avalerem Tables'!EF87</f>
        <v>27.787569989340184</v>
      </c>
      <c r="AD153" s="5">
        <f>'Detailed Avalerem Tables'!EF135</f>
        <v>27.124342433703159</v>
      </c>
      <c r="AE153" s="5">
        <f>'Detailed Avalerem Tables'!EF183</f>
        <v>24.87916666666667</v>
      </c>
      <c r="AF153" s="322">
        <f>'Detailed Avalerem Tables'!EF231</f>
        <v>26.864065585519519</v>
      </c>
      <c r="AG153" s="261" t="s">
        <v>30</v>
      </c>
      <c r="AH153" s="262"/>
      <c r="AI153" s="263" t="str">
        <f>$AM$123</f>
        <v>Commit</v>
      </c>
      <c r="AJ153" s="264" t="s">
        <v>356</v>
      </c>
      <c r="AL153">
        <v>13</v>
      </c>
      <c r="AM153" t="s">
        <v>410</v>
      </c>
      <c r="AN153" s="268" t="s">
        <v>34</v>
      </c>
      <c r="AO153" s="254" t="s">
        <v>411</v>
      </c>
      <c r="AP153" s="254" t="s">
        <v>412</v>
      </c>
      <c r="AQ153" s="254" t="s">
        <v>413</v>
      </c>
      <c r="AR153" s="254" t="s">
        <v>414</v>
      </c>
      <c r="AU153" s="148"/>
      <c r="AV153" s="148"/>
      <c r="BQ153" s="232"/>
    </row>
    <row r="154" spans="1:69" x14ac:dyDescent="0.2">
      <c r="A154" s="256">
        <v>14</v>
      </c>
      <c r="B154" s="509" t="str">
        <f>$AM$124</f>
        <v>Assess</v>
      </c>
      <c r="C154" s="311">
        <v>2</v>
      </c>
      <c r="D154" s="311">
        <v>1</v>
      </c>
      <c r="E154" s="307">
        <v>2</v>
      </c>
      <c r="F154" s="311" t="str">
        <f t="shared" si="0"/>
        <v>212</v>
      </c>
      <c r="G154" s="322">
        <f t="shared" si="1"/>
        <v>31.849172107335839</v>
      </c>
      <c r="H154" s="5">
        <f>'Detailed Avalerem Tables'!X39</f>
        <v>43.744417741003872</v>
      </c>
      <c r="I154" s="5">
        <f>'Detailed Avalerem Tables'!X88</f>
        <v>37.559635492819716</v>
      </c>
      <c r="J154" s="5">
        <f>'Detailed Avalerem Tables'!X136</f>
        <v>30.748078526089429</v>
      </c>
      <c r="K154" s="5">
        <f>'Detailed Avalerem Tables'!X184</f>
        <v>34.090903812935558</v>
      </c>
      <c r="L154" s="5">
        <f>'Detailed Avalerem Tables'!X232</f>
        <v>47.674238179713569</v>
      </c>
      <c r="M154" s="5">
        <f>'Detailed Avalerem Tables'!AZ39</f>
        <v>31.490178984147949</v>
      </c>
      <c r="N154" s="5">
        <f>'Detailed Avalerem Tables'!AZ88</f>
        <v>30.706759973213721</v>
      </c>
      <c r="O154" s="5">
        <f>'Detailed Avalerem Tables'!AZ136</f>
        <v>33.512558773662406</v>
      </c>
      <c r="P154" s="5">
        <f>'Detailed Avalerem Tables'!AZ184</f>
        <v>30.63455225787256</v>
      </c>
      <c r="Q154" s="5">
        <f>'Detailed Avalerem Tables'!AZ232</f>
        <v>35.580777805097185</v>
      </c>
      <c r="R154" s="5">
        <f>'Detailed Avalerem Tables'!CB39</f>
        <v>29.271840558046009</v>
      </c>
      <c r="S154" s="5">
        <f>'Detailed Avalerem Tables'!CB88</f>
        <v>32.547504439262902</v>
      </c>
      <c r="T154" s="5">
        <f>'Detailed Avalerem Tables'!CB136</f>
        <v>31.827168768984386</v>
      </c>
      <c r="U154" s="5">
        <f>'Detailed Avalerem Tables'!CB184</f>
        <v>29.562215790717609</v>
      </c>
      <c r="V154" s="5">
        <f>'Detailed Avalerem Tables'!CB232</f>
        <v>30.75282900183679</v>
      </c>
      <c r="W154" s="5">
        <f>'Detailed Avalerem Tables'!DD39</f>
        <v>33.439031779955947</v>
      </c>
      <c r="X154" s="5">
        <f>'Detailed Avalerem Tables'!DD88</f>
        <v>30.219098722544715</v>
      </c>
      <c r="Y154" s="5">
        <f>'Detailed Avalerem Tables'!DD136</f>
        <v>26.153744779883283</v>
      </c>
      <c r="Z154" s="5">
        <f>'Detailed Avalerem Tables'!DD184</f>
        <v>26.798046906267508</v>
      </c>
      <c r="AA154" s="5">
        <f>'Detailed Avalerem Tables'!DD232</f>
        <v>28.97525471342005</v>
      </c>
      <c r="AB154" s="5">
        <f>'Detailed Avalerem Tables'!EF39</f>
        <v>29.974758046696017</v>
      </c>
      <c r="AC154" s="5">
        <f>'Detailed Avalerem Tables'!EF88</f>
        <v>28.957061514763907</v>
      </c>
      <c r="AD154" s="5">
        <f>'Detailed Avalerem Tables'!EF136</f>
        <v>28.177913862274593</v>
      </c>
      <c r="AE154" s="5">
        <f>'Detailed Avalerem Tables'!EF184</f>
        <v>25.9</v>
      </c>
      <c r="AF154" s="322">
        <f>'Detailed Avalerem Tables'!EF232</f>
        <v>27.930732252186182</v>
      </c>
      <c r="AG154" s="261" t="s">
        <v>30</v>
      </c>
      <c r="AH154" s="262"/>
      <c r="AI154" s="263" t="str">
        <f>$AM$124</f>
        <v>Assess</v>
      </c>
      <c r="AJ154" s="264" t="s">
        <v>356</v>
      </c>
      <c r="AL154">
        <v>14</v>
      </c>
      <c r="AM154" t="s">
        <v>415</v>
      </c>
      <c r="AN154" s="223" t="s">
        <v>31</v>
      </c>
      <c r="AO154" s="254" t="s">
        <v>416</v>
      </c>
      <c r="AP154" s="254" t="s">
        <v>417</v>
      </c>
      <c r="AQ154" s="254" t="s">
        <v>418</v>
      </c>
      <c r="AR154" s="254" t="s">
        <v>419</v>
      </c>
      <c r="AU154" s="148"/>
      <c r="AV154" s="148"/>
      <c r="BQ154" s="232"/>
    </row>
    <row r="155" spans="1:69" x14ac:dyDescent="0.2">
      <c r="A155" s="256">
        <v>15</v>
      </c>
      <c r="B155" s="509" t="str">
        <f>$AM$125</f>
        <v>Formalize</v>
      </c>
      <c r="C155" s="311">
        <v>3</v>
      </c>
      <c r="D155" s="311">
        <v>1</v>
      </c>
      <c r="E155" s="307">
        <v>2</v>
      </c>
      <c r="F155" s="311" t="str">
        <f t="shared" si="0"/>
        <v>312</v>
      </c>
      <c r="G155" s="322">
        <f t="shared" si="1"/>
        <v>33.142014512998522</v>
      </c>
      <c r="H155" s="5">
        <f>'Detailed Avalerem Tables'!X40</f>
        <v>45.312599559185692</v>
      </c>
      <c r="I155" s="5">
        <f>'Detailed Avalerem Tables'!X89</f>
        <v>38.835497561785232</v>
      </c>
      <c r="J155" s="5">
        <f>'Detailed Avalerem Tables'!X137</f>
        <v>31.934745192756097</v>
      </c>
      <c r="K155" s="5">
        <f>'Detailed Avalerem Tables'!X185</f>
        <v>35.550363272395018</v>
      </c>
      <c r="L155" s="5">
        <f>'Detailed Avalerem Tables'!X233</f>
        <v>48.786738179713574</v>
      </c>
      <c r="M155" s="5">
        <f>'Detailed Avalerem Tables'!AZ40</f>
        <v>32.928775475376021</v>
      </c>
      <c r="N155" s="5">
        <f>'Detailed Avalerem Tables'!AZ89</f>
        <v>32.345648862102607</v>
      </c>
      <c r="O155" s="5">
        <f>'Detailed Avalerem Tables'!AZ137</f>
        <v>35.637558773662406</v>
      </c>
      <c r="P155" s="5">
        <f>'Detailed Avalerem Tables'!AZ185</f>
        <v>32.384552257872556</v>
      </c>
      <c r="Q155" s="5">
        <f>'Detailed Avalerem Tables'!AZ233</f>
        <v>36.670521394840776</v>
      </c>
      <c r="R155" s="5">
        <f>'Detailed Avalerem Tables'!CB40</f>
        <v>30.605173891379341</v>
      </c>
      <c r="S155" s="5">
        <f>'Detailed Avalerem Tables'!CB89</f>
        <v>33.730603030812205</v>
      </c>
      <c r="T155" s="5">
        <f>'Detailed Avalerem Tables'!CB137</f>
        <v>33.660502102317722</v>
      </c>
      <c r="U155" s="5">
        <f>'Detailed Avalerem Tables'!CB185</f>
        <v>30.667478948612342</v>
      </c>
      <c r="V155" s="5">
        <f>'Detailed Avalerem Tables'!CB233</f>
        <v>31.841064295954446</v>
      </c>
      <c r="W155" s="5">
        <f>'Detailed Avalerem Tables'!DD40</f>
        <v>34.62421696514113</v>
      </c>
      <c r="X155" s="5">
        <f>'Detailed Avalerem Tables'!DD89</f>
        <v>31.393701897147892</v>
      </c>
      <c r="Y155" s="5">
        <f>'Detailed Avalerem Tables'!DD137</f>
        <v>27.431522557661069</v>
      </c>
      <c r="Z155" s="5">
        <f>'Detailed Avalerem Tables'!DD185</f>
        <v>27.836508444729049</v>
      </c>
      <c r="AA155" s="5">
        <f>'Detailed Avalerem Tables'!DD233</f>
        <v>30.053379713420053</v>
      </c>
      <c r="AB155" s="5">
        <f>'Detailed Avalerem Tables'!EF40</f>
        <v>31.042939864877845</v>
      </c>
      <c r="AC155" s="5">
        <f>'Detailed Avalerem Tables'!EF89</f>
        <v>30.126553040187638</v>
      </c>
      <c r="AD155" s="5">
        <f>'Detailed Avalerem Tables'!EF137</f>
        <v>29.231485290846017</v>
      </c>
      <c r="AE155" s="5">
        <f>'Detailed Avalerem Tables'!EF185</f>
        <v>26.920833333333334</v>
      </c>
      <c r="AF155" s="322">
        <f>'Detailed Avalerem Tables'!EF233</f>
        <v>28.997398918852852</v>
      </c>
      <c r="AG155" s="261" t="s">
        <v>30</v>
      </c>
      <c r="AH155" s="262"/>
      <c r="AI155" s="263" t="str">
        <f>$AM$125</f>
        <v>Formalize</v>
      </c>
      <c r="AJ155" s="264" t="s">
        <v>356</v>
      </c>
      <c r="AK155" s="148">
        <f>15*4</f>
        <v>60</v>
      </c>
      <c r="AL155">
        <v>15</v>
      </c>
      <c r="AM155" t="s">
        <v>420</v>
      </c>
      <c r="AN155" s="268" t="s">
        <v>34</v>
      </c>
      <c r="AO155" s="254" t="s">
        <v>421</v>
      </c>
      <c r="AP155" s="254" t="s">
        <v>422</v>
      </c>
      <c r="AQ155" s="254" t="s">
        <v>423</v>
      </c>
      <c r="AR155" s="254" t="s">
        <v>424</v>
      </c>
      <c r="AU155" s="148"/>
      <c r="AV155" s="148"/>
      <c r="BQ155" s="232"/>
    </row>
    <row r="156" spans="1:69" x14ac:dyDescent="0.2">
      <c r="A156" s="256">
        <v>16</v>
      </c>
      <c r="B156" s="509" t="str">
        <f>$AM$126</f>
        <v>Inform</v>
      </c>
      <c r="C156" s="311">
        <v>4</v>
      </c>
      <c r="D156" s="311">
        <v>1</v>
      </c>
      <c r="E156" s="307">
        <v>2</v>
      </c>
      <c r="F156" s="311" t="str">
        <f t="shared" si="0"/>
        <v>412</v>
      </c>
      <c r="G156" s="322">
        <f t="shared" si="1"/>
        <v>33.142014512998522</v>
      </c>
      <c r="H156" s="5">
        <f>'Detailed Avalerem Tables'!X41</f>
        <v>45.312599559185692</v>
      </c>
      <c r="I156" s="5">
        <f>'Detailed Avalerem Tables'!X90</f>
        <v>38.835497561785232</v>
      </c>
      <c r="J156" s="5">
        <f>'Detailed Avalerem Tables'!X138</f>
        <v>31.934745192756097</v>
      </c>
      <c r="K156" s="5">
        <f>'Detailed Avalerem Tables'!X186</f>
        <v>35.550363272395018</v>
      </c>
      <c r="L156" s="5">
        <f>'Detailed Avalerem Tables'!X234</f>
        <v>48.786738179713574</v>
      </c>
      <c r="M156" s="5">
        <f>'Detailed Avalerem Tables'!AZ41</f>
        <v>32.928775475376021</v>
      </c>
      <c r="N156" s="5">
        <f>'Detailed Avalerem Tables'!AZ90</f>
        <v>32.345648862102607</v>
      </c>
      <c r="O156" s="5">
        <f>'Detailed Avalerem Tables'!AZ138</f>
        <v>35.637558773662406</v>
      </c>
      <c r="P156" s="5">
        <f>'Detailed Avalerem Tables'!AZ186</f>
        <v>32.384552257872556</v>
      </c>
      <c r="Q156" s="5">
        <f>'Detailed Avalerem Tables'!AZ234</f>
        <v>36.670521394840776</v>
      </c>
      <c r="R156" s="5">
        <f>'Detailed Avalerem Tables'!CB41</f>
        <v>30.605173891379341</v>
      </c>
      <c r="S156" s="5">
        <f>'Detailed Avalerem Tables'!CB90</f>
        <v>33.730603030812198</v>
      </c>
      <c r="T156" s="5">
        <f>'Detailed Avalerem Tables'!CB138</f>
        <v>33.660502102317714</v>
      </c>
      <c r="U156" s="5">
        <f>'Detailed Avalerem Tables'!CB186</f>
        <v>30.667478948612349</v>
      </c>
      <c r="V156" s="5">
        <f>'Detailed Avalerem Tables'!CB234</f>
        <v>31.841064295954439</v>
      </c>
      <c r="W156" s="5">
        <f>'Detailed Avalerem Tables'!DD41</f>
        <v>34.62421696514113</v>
      </c>
      <c r="X156" s="5">
        <f>'Detailed Avalerem Tables'!DD90</f>
        <v>31.393701897147892</v>
      </c>
      <c r="Y156" s="5">
        <f>'Detailed Avalerem Tables'!DD138</f>
        <v>27.431522557661062</v>
      </c>
      <c r="Z156" s="5">
        <f>'Detailed Avalerem Tables'!DD186</f>
        <v>27.836508444729049</v>
      </c>
      <c r="AA156" s="5">
        <f>'Detailed Avalerem Tables'!DD234</f>
        <v>30.053379713420053</v>
      </c>
      <c r="AB156" s="5">
        <f>'Detailed Avalerem Tables'!EF41</f>
        <v>31.042939864877845</v>
      </c>
      <c r="AC156" s="5">
        <f>'Detailed Avalerem Tables'!EF90</f>
        <v>30.126553040187638</v>
      </c>
      <c r="AD156" s="5">
        <f>'Detailed Avalerem Tables'!EF138</f>
        <v>29.231485290846017</v>
      </c>
      <c r="AE156" s="5">
        <f>'Detailed Avalerem Tables'!EF186</f>
        <v>26.920833333333334</v>
      </c>
      <c r="AF156" s="322">
        <f>'Detailed Avalerem Tables'!EF234</f>
        <v>28.997398918852852</v>
      </c>
      <c r="AG156" s="261" t="s">
        <v>30</v>
      </c>
      <c r="AH156" s="262"/>
      <c r="AI156" s="263" t="str">
        <f>$AM$126</f>
        <v>Inform</v>
      </c>
      <c r="AJ156" s="264" t="s">
        <v>356</v>
      </c>
      <c r="AK156" s="148"/>
      <c r="AU156" s="148"/>
      <c r="AV156" s="148"/>
      <c r="BQ156" s="232"/>
    </row>
    <row r="157" spans="1:69" x14ac:dyDescent="0.2">
      <c r="A157" s="256">
        <v>17</v>
      </c>
      <c r="B157" s="509" t="str">
        <f>$AM$127</f>
        <v>Obtain</v>
      </c>
      <c r="C157" s="311">
        <v>5</v>
      </c>
      <c r="D157" s="311">
        <v>1</v>
      </c>
      <c r="E157" s="307">
        <v>2</v>
      </c>
      <c r="F157" s="311" t="str">
        <f t="shared" si="0"/>
        <v>512</v>
      </c>
      <c r="G157" s="322">
        <f t="shared" si="1"/>
        <v>31.849172107335839</v>
      </c>
      <c r="H157" s="5">
        <f>'Detailed Avalerem Tables'!X42</f>
        <v>43.744417741003872</v>
      </c>
      <c r="I157" s="5">
        <f>'Detailed Avalerem Tables'!X91</f>
        <v>37.559635492819716</v>
      </c>
      <c r="J157" s="5">
        <f>'Detailed Avalerem Tables'!X139</f>
        <v>30.748078526089433</v>
      </c>
      <c r="K157" s="5">
        <f>'Detailed Avalerem Tables'!X187</f>
        <v>34.090903812935565</v>
      </c>
      <c r="L157" s="5">
        <f>'Detailed Avalerem Tables'!X235</f>
        <v>47.674238179713562</v>
      </c>
      <c r="M157" s="5">
        <f>'Detailed Avalerem Tables'!AZ42</f>
        <v>31.490178984147949</v>
      </c>
      <c r="N157" s="5">
        <f>'Detailed Avalerem Tables'!AZ91</f>
        <v>30.706759973213721</v>
      </c>
      <c r="O157" s="5">
        <f>'Detailed Avalerem Tables'!AZ139</f>
        <v>33.512558773662406</v>
      </c>
      <c r="P157" s="5">
        <f>'Detailed Avalerem Tables'!AZ187</f>
        <v>30.63455225787256</v>
      </c>
      <c r="Q157" s="5">
        <f>'Detailed Avalerem Tables'!AZ235</f>
        <v>35.580777805097185</v>
      </c>
      <c r="R157" s="5">
        <f>'Detailed Avalerem Tables'!CB42</f>
        <v>29.271840558046009</v>
      </c>
      <c r="S157" s="5">
        <f>'Detailed Avalerem Tables'!CB91</f>
        <v>32.547504439262902</v>
      </c>
      <c r="T157" s="5">
        <f>'Detailed Avalerem Tables'!CB139</f>
        <v>31.827168768984386</v>
      </c>
      <c r="U157" s="5">
        <f>'Detailed Avalerem Tables'!CB187</f>
        <v>29.562215790717609</v>
      </c>
      <c r="V157" s="5">
        <f>'Detailed Avalerem Tables'!CB235</f>
        <v>30.75282900183679</v>
      </c>
      <c r="W157" s="5">
        <f>'Detailed Avalerem Tables'!DD42</f>
        <v>33.439031779955947</v>
      </c>
      <c r="X157" s="5">
        <f>'Detailed Avalerem Tables'!DD91</f>
        <v>30.219098722544722</v>
      </c>
      <c r="Y157" s="5">
        <f>'Detailed Avalerem Tables'!DD139</f>
        <v>26.153744779883283</v>
      </c>
      <c r="Z157" s="5">
        <f>'Detailed Avalerem Tables'!DD187</f>
        <v>26.798046906267508</v>
      </c>
      <c r="AA157" s="5">
        <f>'Detailed Avalerem Tables'!DD235</f>
        <v>28.975254713420053</v>
      </c>
      <c r="AB157" s="5">
        <f>'Detailed Avalerem Tables'!EF42</f>
        <v>29.974758046696024</v>
      </c>
      <c r="AC157" s="5">
        <f>'Detailed Avalerem Tables'!EF91</f>
        <v>28.957061514763907</v>
      </c>
      <c r="AD157" s="5">
        <f>'Detailed Avalerem Tables'!EF139</f>
        <v>28.177913862274586</v>
      </c>
      <c r="AE157" s="5">
        <f>'Detailed Avalerem Tables'!EF187</f>
        <v>25.9</v>
      </c>
      <c r="AF157" s="322">
        <f>'Detailed Avalerem Tables'!EF235</f>
        <v>27.930732252186182</v>
      </c>
      <c r="AG157" s="261" t="s">
        <v>30</v>
      </c>
      <c r="AH157" s="262" t="s">
        <v>135</v>
      </c>
      <c r="AI157" s="263" t="str">
        <f>$AM$127</f>
        <v>Obtain</v>
      </c>
      <c r="AJ157" s="264" t="s">
        <v>356</v>
      </c>
      <c r="AK157" s="148"/>
      <c r="AU157" s="148"/>
      <c r="AV157" s="148"/>
      <c r="BQ157" s="232"/>
    </row>
    <row r="158" spans="1:69" x14ac:dyDescent="0.2">
      <c r="A158" s="256">
        <v>18</v>
      </c>
      <c r="B158" s="509" t="str">
        <f>$AM$128</f>
        <v>Warn</v>
      </c>
      <c r="C158" s="311">
        <v>6</v>
      </c>
      <c r="D158" s="311">
        <v>1</v>
      </c>
      <c r="E158" s="307">
        <v>2</v>
      </c>
      <c r="F158" s="311" t="str">
        <f t="shared" si="0"/>
        <v>612</v>
      </c>
      <c r="G158" s="322">
        <f t="shared" si="1"/>
        <v>30.556329701673157</v>
      </c>
      <c r="H158" s="5">
        <f>'Detailed Avalerem Tables'!X43</f>
        <v>42.176235922822059</v>
      </c>
      <c r="I158" s="5">
        <f>'Detailed Avalerem Tables'!X92</f>
        <v>36.2837734238542</v>
      </c>
      <c r="J158" s="5">
        <f>'Detailed Avalerem Tables'!X140</f>
        <v>29.561411859422769</v>
      </c>
      <c r="K158" s="5">
        <f>'Detailed Avalerem Tables'!X188</f>
        <v>32.631444353476098</v>
      </c>
      <c r="L158" s="5">
        <f>'Detailed Avalerem Tables'!X236</f>
        <v>46.561738179713565</v>
      </c>
      <c r="M158" s="5">
        <f>'Detailed Avalerem Tables'!AZ43</f>
        <v>30.051582492919877</v>
      </c>
      <c r="N158" s="5">
        <f>'Detailed Avalerem Tables'!AZ92</f>
        <v>29.067871084324828</v>
      </c>
      <c r="O158" s="5">
        <f>'Detailed Avalerem Tables'!AZ140</f>
        <v>31.387558773662409</v>
      </c>
      <c r="P158" s="5">
        <f>'Detailed Avalerem Tables'!AZ188</f>
        <v>28.88455225787256</v>
      </c>
      <c r="Q158" s="5">
        <f>'Detailed Avalerem Tables'!AZ236</f>
        <v>34.491034215353601</v>
      </c>
      <c r="R158" s="5">
        <f>'Detailed Avalerem Tables'!CB43</f>
        <v>27.938507224712673</v>
      </c>
      <c r="S158" s="5">
        <f>'Detailed Avalerem Tables'!CB92</f>
        <v>31.364405847713606</v>
      </c>
      <c r="T158" s="5">
        <f>'Detailed Avalerem Tables'!CB140</f>
        <v>29.99383543565105</v>
      </c>
      <c r="U158" s="5">
        <f>'Detailed Avalerem Tables'!CB188</f>
        <v>28.456952632822873</v>
      </c>
      <c r="V158" s="5">
        <f>'Detailed Avalerem Tables'!CB236</f>
        <v>29.664593707719142</v>
      </c>
      <c r="W158" s="5">
        <f>'Detailed Avalerem Tables'!DD43</f>
        <v>32.253846594770764</v>
      </c>
      <c r="X158" s="5">
        <f>'Detailed Avalerem Tables'!DD92</f>
        <v>29.044495547941544</v>
      </c>
      <c r="Y158" s="5">
        <f>'Detailed Avalerem Tables'!DD140</f>
        <v>24.875967002105508</v>
      </c>
      <c r="Z158" s="5">
        <f>'Detailed Avalerem Tables'!DD188</f>
        <v>25.759585367805972</v>
      </c>
      <c r="AA158" s="5">
        <f>'Detailed Avalerem Tables'!DD236</f>
        <v>27.897129713420053</v>
      </c>
      <c r="AB158" s="5">
        <f>'Detailed Avalerem Tables'!EF43</f>
        <v>28.906576228514208</v>
      </c>
      <c r="AC158" s="5">
        <f>'Detailed Avalerem Tables'!EF92</f>
        <v>27.787569989340177</v>
      </c>
      <c r="AD158" s="5">
        <f>'Detailed Avalerem Tables'!EF140</f>
        <v>27.124342433703159</v>
      </c>
      <c r="AE158" s="5">
        <f>'Detailed Avalerem Tables'!EF188</f>
        <v>24.87916666666667</v>
      </c>
      <c r="AF158" s="322">
        <f>'Detailed Avalerem Tables'!EF236</f>
        <v>26.864065585519519</v>
      </c>
      <c r="AG158" s="261" t="s">
        <v>30</v>
      </c>
      <c r="AH158" s="262"/>
      <c r="AI158" s="263" t="str">
        <f>$AM$128</f>
        <v>Warn</v>
      </c>
      <c r="AJ158" s="264" t="s">
        <v>356</v>
      </c>
      <c r="AK158" s="148"/>
      <c r="AL158" s="141" t="s">
        <v>425</v>
      </c>
      <c r="AN158" s="252" t="s">
        <v>426</v>
      </c>
      <c r="AU158" s="148"/>
      <c r="AV158" s="148"/>
      <c r="BQ158" s="232"/>
    </row>
    <row r="159" spans="1:69" x14ac:dyDescent="0.2">
      <c r="A159" s="256">
        <v>19</v>
      </c>
      <c r="B159" s="509" t="str">
        <f>$AM$129</f>
        <v>Meet</v>
      </c>
      <c r="C159" s="311">
        <v>7</v>
      </c>
      <c r="D159" s="311">
        <v>1</v>
      </c>
      <c r="E159" s="307">
        <v>2</v>
      </c>
      <c r="F159" s="311" t="str">
        <f t="shared" si="0"/>
        <v>712</v>
      </c>
      <c r="G159" s="322">
        <f t="shared" si="1"/>
        <v>30.556329701673157</v>
      </c>
      <c r="H159" s="5">
        <f>'Detailed Avalerem Tables'!X44</f>
        <v>42.176235922822059</v>
      </c>
      <c r="I159" s="5">
        <f>'Detailed Avalerem Tables'!X93</f>
        <v>36.2837734238542</v>
      </c>
      <c r="J159" s="5">
        <f>'Detailed Avalerem Tables'!X141</f>
        <v>29.561411859422762</v>
      </c>
      <c r="K159" s="5">
        <f>'Detailed Avalerem Tables'!X189</f>
        <v>32.631444353476098</v>
      </c>
      <c r="L159" s="5">
        <f>'Detailed Avalerem Tables'!X237</f>
        <v>46.561738179713572</v>
      </c>
      <c r="M159" s="5">
        <f>'Detailed Avalerem Tables'!AZ44</f>
        <v>30.051582492919877</v>
      </c>
      <c r="N159" s="5">
        <f>'Detailed Avalerem Tables'!AZ93</f>
        <v>29.067871084324828</v>
      </c>
      <c r="O159" s="5">
        <f>'Detailed Avalerem Tables'!AZ141</f>
        <v>31.387558773662409</v>
      </c>
      <c r="P159" s="5">
        <f>'Detailed Avalerem Tables'!AZ189</f>
        <v>28.88455225787256</v>
      </c>
      <c r="Q159" s="5">
        <f>'Detailed Avalerem Tables'!AZ237</f>
        <v>34.491034215353601</v>
      </c>
      <c r="R159" s="5">
        <f>'Detailed Avalerem Tables'!CB44</f>
        <v>27.938507224712673</v>
      </c>
      <c r="S159" s="5">
        <f>'Detailed Avalerem Tables'!CB93</f>
        <v>31.364405847713606</v>
      </c>
      <c r="T159" s="5">
        <f>'Detailed Avalerem Tables'!CB141</f>
        <v>29.99383543565105</v>
      </c>
      <c r="U159" s="5">
        <f>'Detailed Avalerem Tables'!CB189</f>
        <v>28.456952632822873</v>
      </c>
      <c r="V159" s="5">
        <f>'Detailed Avalerem Tables'!CB237</f>
        <v>29.664593707719142</v>
      </c>
      <c r="W159" s="5">
        <f>'Detailed Avalerem Tables'!DD44</f>
        <v>32.253846594770764</v>
      </c>
      <c r="X159" s="5">
        <f>'Detailed Avalerem Tables'!DD93</f>
        <v>29.044495547941544</v>
      </c>
      <c r="Y159" s="5">
        <f>'Detailed Avalerem Tables'!DD141</f>
        <v>24.875967002105508</v>
      </c>
      <c r="Z159" s="5">
        <f>'Detailed Avalerem Tables'!DD189</f>
        <v>25.759585367805972</v>
      </c>
      <c r="AA159" s="5">
        <f>'Detailed Avalerem Tables'!DD237</f>
        <v>27.897129713420053</v>
      </c>
      <c r="AB159" s="5">
        <f>'Detailed Avalerem Tables'!EF44</f>
        <v>28.906576228514208</v>
      </c>
      <c r="AC159" s="5">
        <f>'Detailed Avalerem Tables'!EF93</f>
        <v>27.787569989340184</v>
      </c>
      <c r="AD159" s="5">
        <f>'Detailed Avalerem Tables'!EF141</f>
        <v>27.124342433703159</v>
      </c>
      <c r="AE159" s="5">
        <f>'Detailed Avalerem Tables'!EF189</f>
        <v>24.87916666666667</v>
      </c>
      <c r="AF159" s="322">
        <f>'Detailed Avalerem Tables'!EF237</f>
        <v>26.864065585519519</v>
      </c>
      <c r="AG159" s="261" t="s">
        <v>30</v>
      </c>
      <c r="AH159" s="262"/>
      <c r="AI159" s="263" t="str">
        <f>$AM$129</f>
        <v>Meet</v>
      </c>
      <c r="AJ159" s="264" t="s">
        <v>356</v>
      </c>
      <c r="AK159" s="148"/>
      <c r="AN159" s="254" t="s">
        <v>427</v>
      </c>
      <c r="AO159" s="254" t="s">
        <v>428</v>
      </c>
      <c r="AP159" s="254" t="s">
        <v>429</v>
      </c>
      <c r="AQ159" s="254" t="s">
        <v>430</v>
      </c>
      <c r="AR159" s="254" t="s">
        <v>431</v>
      </c>
      <c r="AU159" s="148"/>
      <c r="AV159" s="148"/>
      <c r="BQ159" s="232"/>
    </row>
    <row r="160" spans="1:69" x14ac:dyDescent="0.2">
      <c r="A160" s="256">
        <v>20</v>
      </c>
      <c r="B160" s="509" t="str">
        <f>$AM$130</f>
        <v>Learn</v>
      </c>
      <c r="C160" s="311">
        <v>8</v>
      </c>
      <c r="D160" s="311">
        <v>1</v>
      </c>
      <c r="E160" s="307">
        <v>2</v>
      </c>
      <c r="F160" s="311" t="str">
        <f t="shared" si="0"/>
        <v>812</v>
      </c>
      <c r="G160" s="322">
        <f t="shared" si="1"/>
        <v>31.849172107335839</v>
      </c>
      <c r="H160" s="5">
        <f>'Detailed Avalerem Tables'!X45</f>
        <v>43.744417741003872</v>
      </c>
      <c r="I160" s="5">
        <f>'Detailed Avalerem Tables'!X94</f>
        <v>37.559635492819716</v>
      </c>
      <c r="J160" s="5">
        <f>'Detailed Avalerem Tables'!X142</f>
        <v>30.748078526089429</v>
      </c>
      <c r="K160" s="5">
        <f>'Detailed Avalerem Tables'!X190</f>
        <v>34.090903812935558</v>
      </c>
      <c r="L160" s="5">
        <f>'Detailed Avalerem Tables'!X238</f>
        <v>47.674238179713569</v>
      </c>
      <c r="M160" s="5">
        <f>'Detailed Avalerem Tables'!AZ45</f>
        <v>31.490178984147949</v>
      </c>
      <c r="N160" s="5">
        <f>'Detailed Avalerem Tables'!AZ94</f>
        <v>30.706759973213721</v>
      </c>
      <c r="O160" s="5">
        <f>'Detailed Avalerem Tables'!AZ142</f>
        <v>33.512558773662406</v>
      </c>
      <c r="P160" s="5">
        <f>'Detailed Avalerem Tables'!AZ190</f>
        <v>30.63455225787256</v>
      </c>
      <c r="Q160" s="5">
        <f>'Detailed Avalerem Tables'!AZ238</f>
        <v>35.580777805097185</v>
      </c>
      <c r="R160" s="5">
        <f>'Detailed Avalerem Tables'!CB45</f>
        <v>29.271840558046009</v>
      </c>
      <c r="S160" s="5">
        <f>'Detailed Avalerem Tables'!CB94</f>
        <v>32.547504439262902</v>
      </c>
      <c r="T160" s="5">
        <f>'Detailed Avalerem Tables'!CB142</f>
        <v>31.827168768984386</v>
      </c>
      <c r="U160" s="5">
        <f>'Detailed Avalerem Tables'!CB190</f>
        <v>29.562215790717609</v>
      </c>
      <c r="V160" s="5">
        <f>'Detailed Avalerem Tables'!CB238</f>
        <v>30.75282900183679</v>
      </c>
      <c r="W160" s="5">
        <f>'Detailed Avalerem Tables'!DD45</f>
        <v>33.439031779955947</v>
      </c>
      <c r="X160" s="5">
        <f>'Detailed Avalerem Tables'!DD94</f>
        <v>30.219098722544715</v>
      </c>
      <c r="Y160" s="5">
        <f>'Detailed Avalerem Tables'!DD142</f>
        <v>26.153744779883283</v>
      </c>
      <c r="Z160" s="5">
        <f>'Detailed Avalerem Tables'!DD190</f>
        <v>26.798046906267508</v>
      </c>
      <c r="AA160" s="5">
        <f>'Detailed Avalerem Tables'!DD238</f>
        <v>28.97525471342005</v>
      </c>
      <c r="AB160" s="5">
        <f>'Detailed Avalerem Tables'!EF45</f>
        <v>29.974758046696017</v>
      </c>
      <c r="AC160" s="5">
        <f>'Detailed Avalerem Tables'!EF94</f>
        <v>28.957061514763907</v>
      </c>
      <c r="AD160" s="5">
        <f>'Detailed Avalerem Tables'!EF142</f>
        <v>28.177913862274593</v>
      </c>
      <c r="AE160" s="5">
        <f>'Detailed Avalerem Tables'!EF190</f>
        <v>25.9</v>
      </c>
      <c r="AF160" s="322">
        <f>'Detailed Avalerem Tables'!EF238</f>
        <v>27.930732252186182</v>
      </c>
      <c r="AG160" s="261" t="s">
        <v>30</v>
      </c>
      <c r="AH160" s="262"/>
      <c r="AI160" s="263" t="str">
        <f>$AM$130</f>
        <v>Learn</v>
      </c>
      <c r="AJ160" s="264" t="s">
        <v>356</v>
      </c>
      <c r="AK160" s="148"/>
      <c r="AN160" s="254" t="s">
        <v>432</v>
      </c>
      <c r="AO160" s="254" t="s">
        <v>433</v>
      </c>
      <c r="AP160" s="254" t="s">
        <v>434</v>
      </c>
      <c r="AQ160" s="254" t="s">
        <v>435</v>
      </c>
      <c r="AR160" s="254" t="s">
        <v>436</v>
      </c>
      <c r="AU160" s="148"/>
      <c r="AV160" s="148"/>
      <c r="BQ160" s="232"/>
    </row>
    <row r="161" spans="1:69" x14ac:dyDescent="0.2">
      <c r="A161" s="256">
        <v>21</v>
      </c>
      <c r="B161" s="509" t="str">
        <f>$AM$131</f>
        <v>Observe</v>
      </c>
      <c r="C161" s="311">
        <v>9</v>
      </c>
      <c r="D161" s="311">
        <v>1</v>
      </c>
      <c r="E161" s="307">
        <v>2</v>
      </c>
      <c r="F161" s="311" t="str">
        <f t="shared" si="0"/>
        <v>912</v>
      </c>
      <c r="G161" s="322">
        <f t="shared" si="1"/>
        <v>33.142014512998522</v>
      </c>
      <c r="H161" s="5">
        <f>'Detailed Avalerem Tables'!X46</f>
        <v>45.312599559185692</v>
      </c>
      <c r="I161" s="5">
        <f>'Detailed Avalerem Tables'!X95</f>
        <v>38.835497561785232</v>
      </c>
      <c r="J161" s="5">
        <f>'Detailed Avalerem Tables'!X143</f>
        <v>31.934745192756097</v>
      </c>
      <c r="K161" s="5">
        <f>'Detailed Avalerem Tables'!X191</f>
        <v>35.550363272395018</v>
      </c>
      <c r="L161" s="5">
        <f>'Detailed Avalerem Tables'!X239</f>
        <v>48.786738179713574</v>
      </c>
      <c r="M161" s="5">
        <f>'Detailed Avalerem Tables'!AZ46</f>
        <v>32.928775475376021</v>
      </c>
      <c r="N161" s="5">
        <f>'Detailed Avalerem Tables'!AZ95</f>
        <v>32.345648862102607</v>
      </c>
      <c r="O161" s="5">
        <f>'Detailed Avalerem Tables'!AZ143</f>
        <v>35.637558773662406</v>
      </c>
      <c r="P161" s="5">
        <f>'Detailed Avalerem Tables'!AZ191</f>
        <v>32.384552257872556</v>
      </c>
      <c r="Q161" s="5">
        <f>'Detailed Avalerem Tables'!AZ239</f>
        <v>36.670521394840776</v>
      </c>
      <c r="R161" s="5">
        <f>'Detailed Avalerem Tables'!CB46</f>
        <v>30.605173891379341</v>
      </c>
      <c r="S161" s="5">
        <f>'Detailed Avalerem Tables'!CB95</f>
        <v>33.730603030812205</v>
      </c>
      <c r="T161" s="5">
        <f>'Detailed Avalerem Tables'!CB143</f>
        <v>33.660502102317722</v>
      </c>
      <c r="U161" s="5">
        <f>'Detailed Avalerem Tables'!CB191</f>
        <v>30.667478948612342</v>
      </c>
      <c r="V161" s="5">
        <f>'Detailed Avalerem Tables'!CB239</f>
        <v>31.841064295954446</v>
      </c>
      <c r="W161" s="5">
        <f>'Detailed Avalerem Tables'!DD46</f>
        <v>34.62421696514113</v>
      </c>
      <c r="X161" s="5">
        <f>'Detailed Avalerem Tables'!DD95</f>
        <v>31.393701897147892</v>
      </c>
      <c r="Y161" s="5">
        <f>'Detailed Avalerem Tables'!DD143</f>
        <v>27.431522557661069</v>
      </c>
      <c r="Z161" s="5">
        <f>'Detailed Avalerem Tables'!DD191</f>
        <v>27.836508444729049</v>
      </c>
      <c r="AA161" s="5">
        <f>'Detailed Avalerem Tables'!DD239</f>
        <v>30.053379713420053</v>
      </c>
      <c r="AB161" s="5">
        <f>'Detailed Avalerem Tables'!EF46</f>
        <v>31.042939864877845</v>
      </c>
      <c r="AC161" s="5">
        <f>'Detailed Avalerem Tables'!EF95</f>
        <v>30.126553040187638</v>
      </c>
      <c r="AD161" s="5">
        <f>'Detailed Avalerem Tables'!EF143</f>
        <v>29.231485290846017</v>
      </c>
      <c r="AE161" s="5">
        <f>'Detailed Avalerem Tables'!EF191</f>
        <v>26.920833333333334</v>
      </c>
      <c r="AF161" s="322">
        <f>'Detailed Avalerem Tables'!EF239</f>
        <v>28.997398918852852</v>
      </c>
      <c r="AG161" s="261" t="s">
        <v>30</v>
      </c>
      <c r="AH161" s="262"/>
      <c r="AI161" s="263" t="str">
        <f>$AM$131</f>
        <v>Observe</v>
      </c>
      <c r="AJ161" s="264" t="s">
        <v>356</v>
      </c>
      <c r="AK161" s="148">
        <f>3*5</f>
        <v>15</v>
      </c>
      <c r="AN161" s="254"/>
      <c r="AO161" s="254" t="s">
        <v>437</v>
      </c>
      <c r="AP161" s="254" t="s">
        <v>438</v>
      </c>
      <c r="AQ161" s="254" t="s">
        <v>439</v>
      </c>
      <c r="AR161" s="254" t="s">
        <v>440</v>
      </c>
      <c r="AU161" s="148"/>
      <c r="AV161" s="148"/>
      <c r="BQ161" s="232"/>
    </row>
    <row r="162" spans="1:69" x14ac:dyDescent="0.2">
      <c r="A162" s="256">
        <v>22</v>
      </c>
      <c r="B162" s="509" t="str">
        <f>$AM$132</f>
        <v>Run</v>
      </c>
      <c r="C162" s="311">
        <v>10</v>
      </c>
      <c r="D162" s="311">
        <v>1</v>
      </c>
      <c r="E162" s="307">
        <v>2</v>
      </c>
      <c r="F162" s="311" t="str">
        <f t="shared" si="0"/>
        <v>1012</v>
      </c>
      <c r="G162" s="322">
        <f t="shared" si="1"/>
        <v>33.142014512998522</v>
      </c>
      <c r="H162" s="5">
        <f>'Detailed Avalerem Tables'!X47</f>
        <v>45.312599559185692</v>
      </c>
      <c r="I162" s="5">
        <f>'Detailed Avalerem Tables'!X96</f>
        <v>38.835497561785232</v>
      </c>
      <c r="J162" s="5">
        <f>'Detailed Avalerem Tables'!X144</f>
        <v>31.934745192756097</v>
      </c>
      <c r="K162" s="5">
        <f>'Detailed Avalerem Tables'!X192</f>
        <v>35.550363272395018</v>
      </c>
      <c r="L162" s="5">
        <f>'Detailed Avalerem Tables'!X240</f>
        <v>48.786738179713574</v>
      </c>
      <c r="M162" s="5">
        <f>'Detailed Avalerem Tables'!AZ47</f>
        <v>32.928775475376021</v>
      </c>
      <c r="N162" s="5">
        <f>'Detailed Avalerem Tables'!AZ96</f>
        <v>32.345648862102607</v>
      </c>
      <c r="O162" s="5">
        <f>'Detailed Avalerem Tables'!AZ144</f>
        <v>35.637558773662406</v>
      </c>
      <c r="P162" s="5">
        <f>'Detailed Avalerem Tables'!AZ192</f>
        <v>32.384552257872556</v>
      </c>
      <c r="Q162" s="5">
        <f>'Detailed Avalerem Tables'!AZ240</f>
        <v>36.670521394840776</v>
      </c>
      <c r="R162" s="5">
        <f>'Detailed Avalerem Tables'!CB47</f>
        <v>30.605173891379341</v>
      </c>
      <c r="S162" s="5">
        <f>'Detailed Avalerem Tables'!CB96</f>
        <v>33.730603030812198</v>
      </c>
      <c r="T162" s="5">
        <f>'Detailed Avalerem Tables'!CB144</f>
        <v>33.660502102317714</v>
      </c>
      <c r="U162" s="5">
        <f>'Detailed Avalerem Tables'!CB192</f>
        <v>30.667478948612349</v>
      </c>
      <c r="V162" s="5">
        <f>'Detailed Avalerem Tables'!CB240</f>
        <v>31.841064295954439</v>
      </c>
      <c r="W162" s="5">
        <f>'Detailed Avalerem Tables'!DD47</f>
        <v>34.62421696514113</v>
      </c>
      <c r="X162" s="5">
        <f>'Detailed Avalerem Tables'!DD96</f>
        <v>31.393701897147892</v>
      </c>
      <c r="Y162" s="5">
        <f>'Detailed Avalerem Tables'!DD144</f>
        <v>27.431522557661062</v>
      </c>
      <c r="Z162" s="5">
        <f>'Detailed Avalerem Tables'!DD192</f>
        <v>27.836508444729049</v>
      </c>
      <c r="AA162" s="5">
        <f>'Detailed Avalerem Tables'!DD240</f>
        <v>30.053379713420053</v>
      </c>
      <c r="AB162" s="5">
        <f>'Detailed Avalerem Tables'!EF47</f>
        <v>31.042939864877845</v>
      </c>
      <c r="AC162" s="5">
        <f>'Detailed Avalerem Tables'!EF96</f>
        <v>30.126553040187638</v>
      </c>
      <c r="AD162" s="5">
        <f>'Detailed Avalerem Tables'!EF144</f>
        <v>29.231485290846017</v>
      </c>
      <c r="AE162" s="5">
        <f>'Detailed Avalerem Tables'!EF192</f>
        <v>26.920833333333334</v>
      </c>
      <c r="AF162" s="322">
        <f>'Detailed Avalerem Tables'!EF240</f>
        <v>28.997398918852852</v>
      </c>
      <c r="AG162" s="261" t="s">
        <v>30</v>
      </c>
      <c r="AH162" s="262"/>
      <c r="AI162" s="263" t="str">
        <f>$AM$132</f>
        <v>Run</v>
      </c>
      <c r="AJ162" s="264" t="s">
        <v>356</v>
      </c>
      <c r="AK162" s="148"/>
      <c r="AU162" s="148"/>
      <c r="AV162" s="148"/>
      <c r="BQ162" s="232"/>
    </row>
    <row r="163" spans="1:69" x14ac:dyDescent="0.2">
      <c r="A163" s="256">
        <v>23</v>
      </c>
      <c r="B163" s="509" t="str">
        <f>$AM$133</f>
        <v>Review</v>
      </c>
      <c r="C163" s="311">
        <v>11</v>
      </c>
      <c r="D163" s="311">
        <v>1</v>
      </c>
      <c r="E163" s="307">
        <v>2</v>
      </c>
      <c r="F163" s="311" t="str">
        <f t="shared" si="0"/>
        <v>1112</v>
      </c>
      <c r="G163" s="322">
        <f t="shared" si="1"/>
        <v>31.849172107335839</v>
      </c>
      <c r="H163" s="5">
        <f>'Detailed Avalerem Tables'!X48</f>
        <v>43.744417741003872</v>
      </c>
      <c r="I163" s="5">
        <f>'Detailed Avalerem Tables'!X97</f>
        <v>37.559635492819716</v>
      </c>
      <c r="J163" s="5">
        <f>'Detailed Avalerem Tables'!X145</f>
        <v>30.748078526089433</v>
      </c>
      <c r="K163" s="5">
        <f>'Detailed Avalerem Tables'!X193</f>
        <v>34.090903812935565</v>
      </c>
      <c r="L163" s="5">
        <f>'Detailed Avalerem Tables'!X241</f>
        <v>47.674238179713562</v>
      </c>
      <c r="M163" s="5">
        <f>'Detailed Avalerem Tables'!AZ48</f>
        <v>31.490178984147949</v>
      </c>
      <c r="N163" s="5">
        <f>'Detailed Avalerem Tables'!AZ97</f>
        <v>30.706759973213721</v>
      </c>
      <c r="O163" s="5">
        <f>'Detailed Avalerem Tables'!AZ145</f>
        <v>33.512558773662406</v>
      </c>
      <c r="P163" s="5">
        <f>'Detailed Avalerem Tables'!AZ193</f>
        <v>30.63455225787256</v>
      </c>
      <c r="Q163" s="5">
        <f>'Detailed Avalerem Tables'!AZ241</f>
        <v>35.580777805097185</v>
      </c>
      <c r="R163" s="5">
        <f>'Detailed Avalerem Tables'!CB48</f>
        <v>29.271840558046009</v>
      </c>
      <c r="S163" s="5">
        <f>'Detailed Avalerem Tables'!CB97</f>
        <v>32.547504439262902</v>
      </c>
      <c r="T163" s="5">
        <f>'Detailed Avalerem Tables'!CB145</f>
        <v>31.827168768984386</v>
      </c>
      <c r="U163" s="5">
        <f>'Detailed Avalerem Tables'!CB193</f>
        <v>29.562215790717609</v>
      </c>
      <c r="V163" s="5">
        <f>'Detailed Avalerem Tables'!CB241</f>
        <v>30.75282900183679</v>
      </c>
      <c r="W163" s="5">
        <f>'Detailed Avalerem Tables'!DD48</f>
        <v>33.439031779955947</v>
      </c>
      <c r="X163" s="5">
        <f>'Detailed Avalerem Tables'!DD97</f>
        <v>30.219098722544722</v>
      </c>
      <c r="Y163" s="5">
        <f>'Detailed Avalerem Tables'!DD145</f>
        <v>26.153744779883283</v>
      </c>
      <c r="Z163" s="5">
        <f>'Detailed Avalerem Tables'!DD193</f>
        <v>26.798046906267508</v>
      </c>
      <c r="AA163" s="5">
        <f>'Detailed Avalerem Tables'!DD241</f>
        <v>28.975254713420053</v>
      </c>
      <c r="AB163" s="5">
        <f>'Detailed Avalerem Tables'!EF48</f>
        <v>29.974758046696024</v>
      </c>
      <c r="AC163" s="5">
        <f>'Detailed Avalerem Tables'!EF97</f>
        <v>28.957061514763907</v>
      </c>
      <c r="AD163" s="5">
        <f>'Detailed Avalerem Tables'!EF145</f>
        <v>28.177913862274586</v>
      </c>
      <c r="AE163" s="5">
        <f>'Detailed Avalerem Tables'!EF193</f>
        <v>25.9</v>
      </c>
      <c r="AF163" s="322">
        <f>'Detailed Avalerem Tables'!EF241</f>
        <v>27.930732252186182</v>
      </c>
      <c r="AG163" s="261" t="s">
        <v>30</v>
      </c>
      <c r="AH163" s="262"/>
      <c r="AI163" s="263" t="str">
        <f>$AM$133</f>
        <v>Review</v>
      </c>
      <c r="AJ163" s="264" t="s">
        <v>356</v>
      </c>
      <c r="AK163" s="148"/>
      <c r="AU163" s="148"/>
      <c r="AV163" s="148"/>
      <c r="BQ163" s="232"/>
    </row>
    <row r="164" spans="1:69" ht="15" thickBot="1" x14ac:dyDescent="0.25">
      <c r="A164" s="256">
        <v>24</v>
      </c>
      <c r="B164" s="509" t="str">
        <f>$AM$134</f>
        <v>Identify</v>
      </c>
      <c r="C164" s="311">
        <v>12</v>
      </c>
      <c r="D164" s="311">
        <v>1</v>
      </c>
      <c r="E164" s="307">
        <v>2</v>
      </c>
      <c r="F164" s="311" t="str">
        <f t="shared" si="0"/>
        <v>1212</v>
      </c>
      <c r="G164" s="322">
        <f t="shared" si="1"/>
        <v>30.556329701673157</v>
      </c>
      <c r="H164" s="5">
        <f>'Detailed Avalerem Tables'!X49</f>
        <v>42.176235922822059</v>
      </c>
      <c r="I164" s="5">
        <f>'Detailed Avalerem Tables'!X98</f>
        <v>36.2837734238542</v>
      </c>
      <c r="J164" s="5">
        <f>'Detailed Avalerem Tables'!X146</f>
        <v>29.561411859422769</v>
      </c>
      <c r="K164" s="5">
        <f>'Detailed Avalerem Tables'!X194</f>
        <v>32.631444353476098</v>
      </c>
      <c r="L164" s="5">
        <f>'Detailed Avalerem Tables'!X242</f>
        <v>46.561738179713565</v>
      </c>
      <c r="M164" s="5">
        <f>'Detailed Avalerem Tables'!AZ49</f>
        <v>30.051582492919877</v>
      </c>
      <c r="N164" s="5">
        <f>'Detailed Avalerem Tables'!AZ98</f>
        <v>29.067871084324828</v>
      </c>
      <c r="O164" s="5">
        <f>'Detailed Avalerem Tables'!AZ146</f>
        <v>31.387558773662409</v>
      </c>
      <c r="P164" s="5">
        <f>'Detailed Avalerem Tables'!AZ194</f>
        <v>28.88455225787256</v>
      </c>
      <c r="Q164" s="5">
        <f>'Detailed Avalerem Tables'!AZ242</f>
        <v>34.491034215353601</v>
      </c>
      <c r="R164" s="5">
        <f>'Detailed Avalerem Tables'!CB49</f>
        <v>27.938507224712673</v>
      </c>
      <c r="S164" s="5">
        <f>'Detailed Avalerem Tables'!CB98</f>
        <v>31.364405847713606</v>
      </c>
      <c r="T164" s="5">
        <f>'Detailed Avalerem Tables'!CB146</f>
        <v>29.99383543565105</v>
      </c>
      <c r="U164" s="5">
        <f>'Detailed Avalerem Tables'!CB194</f>
        <v>28.456952632822873</v>
      </c>
      <c r="V164" s="5">
        <f>'Detailed Avalerem Tables'!CB242</f>
        <v>29.664593707719142</v>
      </c>
      <c r="W164" s="5">
        <f>'Detailed Avalerem Tables'!DD49</f>
        <v>32.253846594770764</v>
      </c>
      <c r="X164" s="5">
        <f>'Detailed Avalerem Tables'!DD98</f>
        <v>29.044495547941544</v>
      </c>
      <c r="Y164" s="5">
        <f>'Detailed Avalerem Tables'!DD146</f>
        <v>24.875967002105508</v>
      </c>
      <c r="Z164" s="5">
        <f>'Detailed Avalerem Tables'!DD194</f>
        <v>25.759585367805972</v>
      </c>
      <c r="AA164" s="5">
        <f>'Detailed Avalerem Tables'!DD242</f>
        <v>27.897129713420053</v>
      </c>
      <c r="AB164" s="5">
        <f>'Detailed Avalerem Tables'!EF49</f>
        <v>28.906576228514208</v>
      </c>
      <c r="AC164" s="5">
        <f>'Detailed Avalerem Tables'!EF98</f>
        <v>27.787569989340177</v>
      </c>
      <c r="AD164" s="5">
        <f>'Detailed Avalerem Tables'!EF146</f>
        <v>27.124342433703159</v>
      </c>
      <c r="AE164" s="5">
        <f>'Detailed Avalerem Tables'!EF194</f>
        <v>24.87916666666667</v>
      </c>
      <c r="AF164" s="322">
        <f>'Detailed Avalerem Tables'!EF242</f>
        <v>26.864065585519519</v>
      </c>
      <c r="AG164" s="261" t="s">
        <v>30</v>
      </c>
      <c r="AH164" s="262"/>
      <c r="AI164" s="263" t="str">
        <f>$AM$134</f>
        <v>Identify</v>
      </c>
      <c r="AJ164" s="264" t="s">
        <v>356</v>
      </c>
      <c r="AK164" s="148"/>
      <c r="AL164" s="141" t="s">
        <v>441</v>
      </c>
      <c r="AN164" s="252" t="s">
        <v>442</v>
      </c>
      <c r="AO164" s="273" t="s">
        <v>443</v>
      </c>
      <c r="AP164" s="214"/>
      <c r="AQ164" s="214"/>
      <c r="AU164" s="148"/>
      <c r="AV164" s="148"/>
      <c r="BQ164" s="232"/>
    </row>
    <row r="165" spans="1:69" ht="15" thickBot="1" x14ac:dyDescent="0.25">
      <c r="A165" s="256">
        <v>25</v>
      </c>
      <c r="B165" s="510" t="str">
        <f>$AU$109</f>
        <v>Justify</v>
      </c>
      <c r="C165" s="315">
        <v>1</v>
      </c>
      <c r="D165" s="315">
        <v>5</v>
      </c>
      <c r="E165" s="215">
        <v>1</v>
      </c>
      <c r="F165" s="315" t="str">
        <f>_xlfn.CONCAT(C165,D165,E165)</f>
        <v>151</v>
      </c>
      <c r="G165" s="66">
        <f t="shared" si="1"/>
        <v>12.067767424188476</v>
      </c>
      <c r="H165" s="318">
        <f>'Detailed Avalerem Tables'!AB23</f>
        <v>8.3583333333333325</v>
      </c>
      <c r="I165" s="318">
        <f>'Detailed Avalerem Tables'!AB72</f>
        <v>8.4093137254901968</v>
      </c>
      <c r="J165" s="318">
        <f>'Detailed Avalerem Tables'!AB120</f>
        <v>8.4152621722846437</v>
      </c>
      <c r="K165" s="318">
        <f>'Detailed Avalerem Tables'!AB168</f>
        <v>8.5202380952380956</v>
      </c>
      <c r="L165" s="318">
        <f>'Detailed Avalerem Tables'!AB216</f>
        <v>8.4387254901960791</v>
      </c>
      <c r="M165" s="318">
        <f>'Detailed Avalerem Tables'!BD23</f>
        <v>12.531103286384976</v>
      </c>
      <c r="N165" s="318">
        <f>'Detailed Avalerem Tables'!BD72</f>
        <v>12.25462962962963</v>
      </c>
      <c r="O165" s="318">
        <f>'Detailed Avalerem Tables'!BD120</f>
        <v>12.382575757575758</v>
      </c>
      <c r="P165" s="318">
        <f>'Detailed Avalerem Tables'!BD168</f>
        <v>12.603142076502731</v>
      </c>
      <c r="Q165" s="318">
        <f>'Detailed Avalerem Tables'!BD216</f>
        <v>11.51808176100629</v>
      </c>
      <c r="R165" s="318">
        <f>'Detailed Avalerem Tables'!CF23</f>
        <v>9.7328431372549016</v>
      </c>
      <c r="S165" s="318">
        <f>'Detailed Avalerem Tables'!CF72</f>
        <v>9.3854166666666661</v>
      </c>
      <c r="T165" s="318">
        <f>'Detailed Avalerem Tables'!CF120</f>
        <v>10.18640350877193</v>
      </c>
      <c r="U165" s="318">
        <f>'Detailed Avalerem Tables'!CF168</f>
        <v>9.5289548022598858</v>
      </c>
      <c r="V165" s="318">
        <f>'Detailed Avalerem Tables'!CF216</f>
        <v>9.3472222222222214</v>
      </c>
      <c r="W165" s="318">
        <f>'Detailed Avalerem Tables'!DH23</f>
        <v>15.53409090909091</v>
      </c>
      <c r="X165" s="318">
        <f>'Detailed Avalerem Tables'!DH72</f>
        <v>15.390432098765432</v>
      </c>
      <c r="Y165" s="318">
        <f>'Detailed Avalerem Tables'!DH120</f>
        <v>16.703431372549019</v>
      </c>
      <c r="Z165" s="318">
        <f>'Detailed Avalerem Tables'!DH168</f>
        <v>15.425000000000001</v>
      </c>
      <c r="AA165" s="318">
        <f>'Detailed Avalerem Tables'!DH216</f>
        <v>15.377688172043012</v>
      </c>
      <c r="AB165" s="318">
        <f>'Detailed Avalerem Tables'!EJ23</f>
        <v>14.446839080459771</v>
      </c>
      <c r="AC165" s="318">
        <f>'Detailed Avalerem Tables'!EJ72</f>
        <v>13.91504329004329</v>
      </c>
      <c r="AD165" s="318">
        <f>'Detailed Avalerem Tables'!EJ120</f>
        <v>15.069444444444446</v>
      </c>
      <c r="AE165" s="318">
        <f>'Detailed Avalerem Tables'!EJ168</f>
        <v>14.523809523809526</v>
      </c>
      <c r="AF165" s="66">
        <f>'Detailed Avalerem Tables'!EJ216</f>
        <v>13.696161048689138</v>
      </c>
      <c r="AG165" s="214" t="s">
        <v>34</v>
      </c>
      <c r="AH165" s="251"/>
      <c r="AI165" s="252" t="str">
        <f>$AU$109</f>
        <v>Justify</v>
      </c>
      <c r="AJ165" s="253" t="s">
        <v>344</v>
      </c>
      <c r="AK165" s="148"/>
      <c r="AN165" s="274" t="s">
        <v>444</v>
      </c>
      <c r="AO165" s="275" t="s">
        <v>445</v>
      </c>
      <c r="AP165" s="275" t="s">
        <v>446</v>
      </c>
      <c r="AQ165" s="275" t="s">
        <v>447</v>
      </c>
      <c r="AR165" s="276" t="s">
        <v>448</v>
      </c>
      <c r="AU165" s="148"/>
      <c r="AV165" s="148"/>
      <c r="BQ165" s="232"/>
    </row>
    <row r="166" spans="1:69" ht="15" thickBot="1" x14ac:dyDescent="0.25">
      <c r="A166" s="256">
        <v>26</v>
      </c>
      <c r="B166" s="510" t="str">
        <f>$AU$110</f>
        <v>Stop</v>
      </c>
      <c r="C166" s="315">
        <v>2</v>
      </c>
      <c r="D166" s="315">
        <v>5</v>
      </c>
      <c r="E166" s="215">
        <v>1</v>
      </c>
      <c r="F166" s="315" t="str">
        <f t="shared" ref="F166:F188" si="2">_xlfn.CONCAT(C166,D166,E166)</f>
        <v>251</v>
      </c>
      <c r="G166" s="66">
        <f t="shared" si="1"/>
        <v>14.635038472325055</v>
      </c>
      <c r="H166" s="318">
        <f>'Detailed Avalerem Tables'!AB24</f>
        <v>12.600000000000001</v>
      </c>
      <c r="I166" s="318">
        <f>'Detailed Avalerem Tables'!AB73</f>
        <v>12.80392156862745</v>
      </c>
      <c r="J166" s="318">
        <f>'Detailed Avalerem Tables'!AB121</f>
        <v>12.827715355805243</v>
      </c>
      <c r="K166" s="318">
        <f>'Detailed Avalerem Tables'!AB169</f>
        <v>13.247619047619047</v>
      </c>
      <c r="L166" s="318">
        <f>'Detailed Avalerem Tables'!AB217</f>
        <v>12.921568627450979</v>
      </c>
      <c r="M166" s="318">
        <f>'Detailed Avalerem Tables'!BD24</f>
        <v>10.953051643192488</v>
      </c>
      <c r="N166" s="318">
        <f>'Detailed Avalerem Tables'!BD73</f>
        <v>10.814814814814813</v>
      </c>
      <c r="O166" s="318">
        <f>'Detailed Avalerem Tables'!BD121</f>
        <v>10.878787878787879</v>
      </c>
      <c r="P166" s="318">
        <f>'Detailed Avalerem Tables'!BD169</f>
        <v>10.989071038251364</v>
      </c>
      <c r="Q166" s="318">
        <f>'Detailed Avalerem Tables'!BD217</f>
        <v>10.446540880503145</v>
      </c>
      <c r="R166" s="318">
        <f>'Detailed Avalerem Tables'!CF24</f>
        <v>18.098039215686274</v>
      </c>
      <c r="S166" s="318">
        <f>'Detailed Avalerem Tables'!CF73</f>
        <v>16.708333333333332</v>
      </c>
      <c r="T166" s="318">
        <f>'Detailed Avalerem Tables'!CF121</f>
        <v>19.912280701754383</v>
      </c>
      <c r="U166" s="318">
        <f>'Detailed Avalerem Tables'!CF169</f>
        <v>17.282485875706215</v>
      </c>
      <c r="V166" s="318">
        <f>'Detailed Avalerem Tables'!CF217</f>
        <v>16.555555555555557</v>
      </c>
      <c r="W166" s="318">
        <f>'Detailed Avalerem Tables'!DH24</f>
        <v>13.484848484848484</v>
      </c>
      <c r="X166" s="318">
        <f>'Detailed Avalerem Tables'!DH73</f>
        <v>13.39506172839506</v>
      </c>
      <c r="Y166" s="318">
        <f>'Detailed Avalerem Tables'!DH121</f>
        <v>14.215686274509803</v>
      </c>
      <c r="Z166" s="318">
        <f>'Detailed Avalerem Tables'!DH169</f>
        <v>13.416666666666668</v>
      </c>
      <c r="AA166" s="318">
        <f>'Detailed Avalerem Tables'!DH217</f>
        <v>13.387096774193548</v>
      </c>
      <c r="AB166" s="318">
        <f>'Detailed Avalerem Tables'!EJ24</f>
        <v>18.350574712643677</v>
      </c>
      <c r="AC166" s="318">
        <f>'Detailed Avalerem Tables'!EJ73</f>
        <v>17.606060606060606</v>
      </c>
      <c r="AD166" s="318">
        <f>'Detailed Avalerem Tables'!EJ121</f>
        <v>19.222222222222221</v>
      </c>
      <c r="AE166" s="318">
        <f>'Detailed Avalerem Tables'!EJ169</f>
        <v>18.458333333333336</v>
      </c>
      <c r="AF166" s="66">
        <f>'Detailed Avalerem Tables'!EJ217</f>
        <v>17.299625468164791</v>
      </c>
      <c r="AG166" s="214" t="s">
        <v>34</v>
      </c>
      <c r="AH166" s="251"/>
      <c r="AI166" s="252" t="str">
        <f>$AU$110</f>
        <v>Stop</v>
      </c>
      <c r="AJ166" s="253" t="s">
        <v>344</v>
      </c>
      <c r="AK166" s="148"/>
      <c r="AM166" s="249"/>
      <c r="AN166" s="277" t="s">
        <v>6</v>
      </c>
      <c r="AO166" s="277" t="s">
        <v>7</v>
      </c>
      <c r="AP166" s="277" t="s">
        <v>8</v>
      </c>
      <c r="AQ166" s="277" t="s">
        <v>9</v>
      </c>
      <c r="AR166" s="277" t="s">
        <v>10</v>
      </c>
      <c r="AU166" s="148"/>
      <c r="AV166" s="148"/>
      <c r="BQ166" s="232"/>
    </row>
    <row r="167" spans="1:69" x14ac:dyDescent="0.2">
      <c r="A167" s="256">
        <v>27</v>
      </c>
      <c r="B167" s="510" t="str">
        <f>$AU$111</f>
        <v>Force</v>
      </c>
      <c r="C167" s="315">
        <v>3</v>
      </c>
      <c r="D167" s="315">
        <v>5</v>
      </c>
      <c r="E167" s="215">
        <v>1</v>
      </c>
      <c r="F167" s="315" t="str">
        <f t="shared" si="2"/>
        <v>351</v>
      </c>
      <c r="G167" s="66">
        <f t="shared" si="1"/>
        <v>14.739004328364159</v>
      </c>
      <c r="H167" s="318">
        <f>'Detailed Avalerem Tables'!AB25</f>
        <v>11.508333333333333</v>
      </c>
      <c r="I167" s="318">
        <f>'Detailed Avalerem Tables'!AB74</f>
        <v>11.610294117647058</v>
      </c>
      <c r="J167" s="318">
        <f>'Detailed Avalerem Tables'!AB122</f>
        <v>11.622191011235953</v>
      </c>
      <c r="K167" s="318">
        <f>'Detailed Avalerem Tables'!AB170</f>
        <v>11.832142857142857</v>
      </c>
      <c r="L167" s="318">
        <f>'Detailed Avalerem Tables'!AB218</f>
        <v>11.669117647058822</v>
      </c>
      <c r="M167" s="318">
        <f>'Detailed Avalerem Tables'!BD25</f>
        <v>19.85387323943662</v>
      </c>
      <c r="N167" s="318">
        <f>'Detailed Avalerem Tables'!BD74</f>
        <v>19.300925925925924</v>
      </c>
      <c r="O167" s="318">
        <f>'Detailed Avalerem Tables'!BD122</f>
        <v>19.55681818181818</v>
      </c>
      <c r="P167" s="318">
        <f>'Detailed Avalerem Tables'!BD170</f>
        <v>19.997950819672131</v>
      </c>
      <c r="Q167" s="318">
        <f>'Detailed Avalerem Tables'!BD218</f>
        <v>17.827830188679247</v>
      </c>
      <c r="R167" s="318">
        <f>'Detailed Avalerem Tables'!CF25</f>
        <v>15.477941176470589</v>
      </c>
      <c r="S167" s="318">
        <f>'Detailed Avalerem Tables'!CF74</f>
        <v>14.609375</v>
      </c>
      <c r="T167" s="318">
        <f>'Detailed Avalerem Tables'!CF122</f>
        <v>16.611842105263158</v>
      </c>
      <c r="U167" s="318">
        <f>'Detailed Avalerem Tables'!CF170</f>
        <v>14.968220338983052</v>
      </c>
      <c r="V167" s="318">
        <f>'Detailed Avalerem Tables'!CF218</f>
        <v>14.513888888888889</v>
      </c>
      <c r="W167" s="318">
        <f>'Detailed Avalerem Tables'!DH25</f>
        <v>16.587121212121211</v>
      </c>
      <c r="X167" s="318">
        <f>'Detailed Avalerem Tables'!DH74</f>
        <v>16.461419753086421</v>
      </c>
      <c r="Y167" s="318">
        <f>'Detailed Avalerem Tables'!DH122</f>
        <v>17.610294117647058</v>
      </c>
      <c r="Z167" s="318">
        <f>'Detailed Avalerem Tables'!DH170</f>
        <v>16.491666666666667</v>
      </c>
      <c r="AA167" s="318">
        <f>'Detailed Avalerem Tables'!DH218</f>
        <v>16.4502688172043</v>
      </c>
      <c r="AB167" s="318">
        <f>'Detailed Avalerem Tables'!EJ25</f>
        <v>10.806034482758621</v>
      </c>
      <c r="AC167" s="318">
        <f>'Detailed Avalerem Tables'!EJ74</f>
        <v>10.699675324675324</v>
      </c>
      <c r="AD167" s="318">
        <f>'Detailed Avalerem Tables'!EJ122</f>
        <v>10.930555555555555</v>
      </c>
      <c r="AE167" s="318">
        <f>'Detailed Avalerem Tables'!EJ170</f>
        <v>10.821428571428571</v>
      </c>
      <c r="AF167" s="66">
        <f>'Detailed Avalerem Tables'!EJ218</f>
        <v>10.655898876404494</v>
      </c>
      <c r="AG167" s="214" t="s">
        <v>34</v>
      </c>
      <c r="AH167" s="251"/>
      <c r="AI167" s="252" t="str">
        <f>$AU$111</f>
        <v>Force</v>
      </c>
      <c r="AJ167" s="253" t="s">
        <v>344</v>
      </c>
      <c r="AK167" s="148"/>
      <c r="AL167" s="278" t="s">
        <v>449</v>
      </c>
      <c r="AM167" s="279" t="s">
        <v>13</v>
      </c>
      <c r="AN167" s="254" t="s">
        <v>450</v>
      </c>
      <c r="AO167" s="254" t="s">
        <v>450</v>
      </c>
      <c r="AP167" s="254" t="s">
        <v>450</v>
      </c>
      <c r="AQ167" s="254" t="s">
        <v>450</v>
      </c>
      <c r="AR167" s="254" t="s">
        <v>450</v>
      </c>
      <c r="AU167" s="148"/>
      <c r="AV167" s="148"/>
      <c r="BQ167" s="232"/>
    </row>
    <row r="168" spans="1:69" x14ac:dyDescent="0.2">
      <c r="A168" s="256">
        <v>28</v>
      </c>
      <c r="B168" s="510" t="str">
        <f>$AU$112</f>
        <v>Examine</v>
      </c>
      <c r="C168" s="315">
        <v>4</v>
      </c>
      <c r="D168" s="315">
        <v>5</v>
      </c>
      <c r="E168" s="215">
        <v>1</v>
      </c>
      <c r="F168" s="315" t="str">
        <f t="shared" si="2"/>
        <v>451</v>
      </c>
      <c r="G168" s="66">
        <f t="shared" si="1"/>
        <v>15.412479969880289</v>
      </c>
      <c r="H168" s="318">
        <f>'Detailed Avalerem Tables'!AB26</f>
        <v>17.908333333333331</v>
      </c>
      <c r="I168" s="318">
        <f>'Detailed Avalerem Tables'!AB75</f>
        <v>18.316176470588236</v>
      </c>
      <c r="J168" s="318">
        <f>'Detailed Avalerem Tables'!AB123</f>
        <v>18.363764044943821</v>
      </c>
      <c r="K168" s="318">
        <f>'Detailed Avalerem Tables'!AB171</f>
        <v>19.203571428571429</v>
      </c>
      <c r="L168" s="318">
        <f>'Detailed Avalerem Tables'!AB219</f>
        <v>18.551470588235293</v>
      </c>
      <c r="M168" s="318">
        <f>'Detailed Avalerem Tables'!BD26</f>
        <v>15.924295774647888</v>
      </c>
      <c r="N168" s="318">
        <f>'Detailed Avalerem Tables'!BD75</f>
        <v>15.578703703703704</v>
      </c>
      <c r="O168" s="318">
        <f>'Detailed Avalerem Tables'!BD123</f>
        <v>15.738636363636363</v>
      </c>
      <c r="P168" s="318">
        <f>'Detailed Avalerem Tables'!BD171</f>
        <v>16.014344262295083</v>
      </c>
      <c r="Q168" s="318">
        <f>'Detailed Avalerem Tables'!BD219</f>
        <v>14.658018867924531</v>
      </c>
      <c r="R168" s="318">
        <f>'Detailed Avalerem Tables'!CF26</f>
        <v>17.919117647058826</v>
      </c>
      <c r="S168" s="318">
        <f>'Detailed Avalerem Tables'!CF75</f>
        <v>16.703125</v>
      </c>
      <c r="T168" s="318">
        <f>'Detailed Avalerem Tables'!CF123</f>
        <v>19.506578947368421</v>
      </c>
      <c r="U168" s="318">
        <f>'Detailed Avalerem Tables'!CF171</f>
        <v>17.20550847457627</v>
      </c>
      <c r="V168" s="318">
        <f>'Detailed Avalerem Tables'!CF219</f>
        <v>16.569444444444443</v>
      </c>
      <c r="W168" s="318">
        <f>'Detailed Avalerem Tables'!DH26</f>
        <v>10.405303030303031</v>
      </c>
      <c r="X168" s="318">
        <f>'Detailed Avalerem Tables'!DH75</f>
        <v>10.387345679012345</v>
      </c>
      <c r="Y168" s="318">
        <f>'Detailed Avalerem Tables'!DH123</f>
        <v>10.551470588235292</v>
      </c>
      <c r="Z168" s="318">
        <f>'Detailed Avalerem Tables'!DH171</f>
        <v>10.391666666666666</v>
      </c>
      <c r="AA168" s="318">
        <f>'Detailed Avalerem Tables'!DH219</f>
        <v>10.385752688172044</v>
      </c>
      <c r="AB168" s="318">
        <f>'Detailed Avalerem Tables'!EJ26</f>
        <v>15.099137931034482</v>
      </c>
      <c r="AC168" s="318">
        <f>'Detailed Avalerem Tables'!EJ75</f>
        <v>14.6737012987013</v>
      </c>
      <c r="AD168" s="318">
        <f>'Detailed Avalerem Tables'!EJ123</f>
        <v>15.597222222222223</v>
      </c>
      <c r="AE168" s="318">
        <f>'Detailed Avalerem Tables'!EJ171</f>
        <v>15.160714285714286</v>
      </c>
      <c r="AF168" s="66">
        <f>'Detailed Avalerem Tables'!EJ219</f>
        <v>14.498595505617978</v>
      </c>
      <c r="AG168" s="214" t="s">
        <v>34</v>
      </c>
      <c r="AH168" s="251"/>
      <c r="AI168" s="252" t="str">
        <f>$AU$112</f>
        <v>Examine</v>
      </c>
      <c r="AJ168" s="253" t="s">
        <v>344</v>
      </c>
      <c r="AK168" s="148"/>
      <c r="AL168" s="280" t="s">
        <v>451</v>
      </c>
      <c r="AM168" s="279" t="s">
        <v>3</v>
      </c>
      <c r="AN168" s="254" t="s">
        <v>450</v>
      </c>
      <c r="AO168" s="254" t="s">
        <v>450</v>
      </c>
      <c r="AP168" s="254" t="s">
        <v>450</v>
      </c>
      <c r="AQ168" s="254" t="s">
        <v>450</v>
      </c>
      <c r="AR168" s="254" t="s">
        <v>450</v>
      </c>
      <c r="AU168" s="148"/>
      <c r="AV168" s="148"/>
      <c r="BQ168" s="232"/>
    </row>
    <row r="169" spans="1:69" x14ac:dyDescent="0.2">
      <c r="A169" s="256">
        <v>29</v>
      </c>
      <c r="B169" s="510" t="str">
        <f>$AU$113</f>
        <v>Search</v>
      </c>
      <c r="C169" s="315">
        <v>5</v>
      </c>
      <c r="D169" s="315">
        <v>5</v>
      </c>
      <c r="E169" s="215">
        <v>1</v>
      </c>
      <c r="F169" s="315" t="str">
        <f t="shared" si="2"/>
        <v>551</v>
      </c>
      <c r="G169" s="66">
        <f t="shared" si="1"/>
        <v>12.84520892174371</v>
      </c>
      <c r="H169" s="318">
        <f>'Detailed Avalerem Tables'!AB27</f>
        <v>13.666666666666668</v>
      </c>
      <c r="I169" s="318">
        <f>'Detailed Avalerem Tables'!AB76</f>
        <v>13.921568627450979</v>
      </c>
      <c r="J169" s="318">
        <f>'Detailed Avalerem Tables'!AB124</f>
        <v>13.95131086142322</v>
      </c>
      <c r="K169" s="318">
        <f>'Detailed Avalerem Tables'!AB172</f>
        <v>14.476190476190474</v>
      </c>
      <c r="L169" s="318">
        <f>'Detailed Avalerem Tables'!AB220</f>
        <v>14.06862745098039</v>
      </c>
      <c r="M169" s="318">
        <f>'Detailed Avalerem Tables'!BD27</f>
        <v>17.502347417840376</v>
      </c>
      <c r="N169" s="318">
        <f>'Detailed Avalerem Tables'!BD76</f>
        <v>17.018518518518519</v>
      </c>
      <c r="O169" s="318">
        <f>'Detailed Avalerem Tables'!BD124</f>
        <v>17.242424242424242</v>
      </c>
      <c r="P169" s="318">
        <f>'Detailed Avalerem Tables'!BD172</f>
        <v>17.628415300546447</v>
      </c>
      <c r="Q169" s="318">
        <f>'Detailed Avalerem Tables'!BD220</f>
        <v>15.729559748427674</v>
      </c>
      <c r="R169" s="318">
        <f>'Detailed Avalerem Tables'!CF27</f>
        <v>9.5539215686274499</v>
      </c>
      <c r="S169" s="318">
        <f>'Detailed Avalerem Tables'!CF76</f>
        <v>9.3802083333333321</v>
      </c>
      <c r="T169" s="318">
        <f>'Detailed Avalerem Tables'!CF124</f>
        <v>9.780701754385964</v>
      </c>
      <c r="U169" s="318">
        <f>'Detailed Avalerem Tables'!CF172</f>
        <v>9.4519774011299429</v>
      </c>
      <c r="V169" s="318">
        <f>'Detailed Avalerem Tables'!CF220</f>
        <v>9.3611111111111107</v>
      </c>
      <c r="W169" s="318">
        <f>'Detailed Avalerem Tables'!DH27</f>
        <v>12.454545454545455</v>
      </c>
      <c r="X169" s="318">
        <f>'Detailed Avalerem Tables'!DH76</f>
        <v>12.382716049382715</v>
      </c>
      <c r="Y169" s="318">
        <f>'Detailed Avalerem Tables'!DH124</f>
        <v>13.03921568627451</v>
      </c>
      <c r="Z169" s="318">
        <f>'Detailed Avalerem Tables'!DH172</f>
        <v>12.4</v>
      </c>
      <c r="AA169" s="318">
        <f>'Detailed Avalerem Tables'!DH220</f>
        <v>12.376344086021504</v>
      </c>
      <c r="AB169" s="318">
        <f>'Detailed Avalerem Tables'!EJ27</f>
        <v>11.195402298850574</v>
      </c>
      <c r="AC169" s="318">
        <f>'Detailed Avalerem Tables'!EJ76</f>
        <v>10.982683982683982</v>
      </c>
      <c r="AD169" s="318">
        <f>'Detailed Avalerem Tables'!EJ124</f>
        <v>11.444444444444446</v>
      </c>
      <c r="AE169" s="318">
        <f>'Detailed Avalerem Tables'!EJ172</f>
        <v>11.226190476190478</v>
      </c>
      <c r="AF169" s="66">
        <f>'Detailed Avalerem Tables'!EJ220</f>
        <v>10.895131086142321</v>
      </c>
      <c r="AG169" s="214" t="s">
        <v>34</v>
      </c>
      <c r="AH169" s="251"/>
      <c r="AI169" s="252" t="str">
        <f>$AU$113</f>
        <v>Search</v>
      </c>
      <c r="AJ169" s="253" t="s">
        <v>344</v>
      </c>
      <c r="AK169" s="148"/>
      <c r="AL169" s="280" t="s">
        <v>452</v>
      </c>
      <c r="AM169" s="279" t="s">
        <v>14</v>
      </c>
      <c r="AN169" s="254" t="s">
        <v>450</v>
      </c>
      <c r="AO169" s="254" t="s">
        <v>450</v>
      </c>
      <c r="AP169" s="254" t="s">
        <v>450</v>
      </c>
      <c r="AQ169" s="254" t="s">
        <v>450</v>
      </c>
      <c r="AR169" s="254" t="s">
        <v>450</v>
      </c>
      <c r="AU169" s="148"/>
      <c r="AV169" s="148"/>
      <c r="BQ169" s="232"/>
    </row>
    <row r="170" spans="1:69" x14ac:dyDescent="0.2">
      <c r="A170" s="256">
        <v>30</v>
      </c>
      <c r="B170" s="510" t="str">
        <f>$AU$114</f>
        <v>Decide</v>
      </c>
      <c r="C170" s="315">
        <v>6</v>
      </c>
      <c r="D170" s="315">
        <v>5</v>
      </c>
      <c r="E170" s="215">
        <v>1</v>
      </c>
      <c r="F170" s="315" t="str">
        <f t="shared" si="2"/>
        <v>651</v>
      </c>
      <c r="G170" s="66">
        <f t="shared" si="1"/>
        <v>12.741243065704607</v>
      </c>
      <c r="H170" s="318">
        <f>'Detailed Avalerem Tables'!AB28</f>
        <v>14.758333333333333</v>
      </c>
      <c r="I170" s="318">
        <f>'Detailed Avalerem Tables'!AB77</f>
        <v>15.115196078431373</v>
      </c>
      <c r="J170" s="318">
        <f>'Detailed Avalerem Tables'!AB125</f>
        <v>15.156835205992508</v>
      </c>
      <c r="K170" s="318">
        <f>'Detailed Avalerem Tables'!AB173</f>
        <v>15.891666666666666</v>
      </c>
      <c r="L170" s="318">
        <f>'Detailed Avalerem Tables'!AB221</f>
        <v>15.321078431372548</v>
      </c>
      <c r="M170" s="318">
        <f>'Detailed Avalerem Tables'!BD28</f>
        <v>8.601525821596244</v>
      </c>
      <c r="N170" s="318">
        <f>'Detailed Avalerem Tables'!BD77</f>
        <v>8.5324074074074083</v>
      </c>
      <c r="O170" s="318">
        <f>'Detailed Avalerem Tables'!BD125</f>
        <v>8.5643939393939394</v>
      </c>
      <c r="P170" s="318">
        <f>'Detailed Avalerem Tables'!BD173</f>
        <v>8.6195355191256819</v>
      </c>
      <c r="Q170" s="318">
        <f>'Detailed Avalerem Tables'!BD221</f>
        <v>8.3482704402515733</v>
      </c>
      <c r="R170" s="318">
        <f>'Detailed Avalerem Tables'!CF28</f>
        <v>12.174019607843137</v>
      </c>
      <c r="S170" s="318">
        <f>'Detailed Avalerem Tables'!CF77</f>
        <v>11.479166666666666</v>
      </c>
      <c r="T170" s="318">
        <f>'Detailed Avalerem Tables'!CF125</f>
        <v>13.081140350877194</v>
      </c>
      <c r="U170" s="318">
        <f>'Detailed Avalerem Tables'!CF173</f>
        <v>11.766242937853107</v>
      </c>
      <c r="V170" s="318">
        <f>'Detailed Avalerem Tables'!CF221</f>
        <v>11.402777777777779</v>
      </c>
      <c r="W170" s="318">
        <f>'Detailed Avalerem Tables'!DH28</f>
        <v>9.3522727272727266</v>
      </c>
      <c r="X170" s="318">
        <f>'Detailed Avalerem Tables'!DH77</f>
        <v>9.3163580246913575</v>
      </c>
      <c r="Y170" s="318">
        <f>'Detailed Avalerem Tables'!DH125</f>
        <v>9.6446078431372548</v>
      </c>
      <c r="Z170" s="318">
        <f>'Detailed Avalerem Tables'!DH173</f>
        <v>9.3249999999999993</v>
      </c>
      <c r="AA170" s="318">
        <f>'Detailed Avalerem Tables'!DH221</f>
        <v>9.3131720430107521</v>
      </c>
      <c r="AB170" s="318">
        <f>'Detailed Avalerem Tables'!EJ28</f>
        <v>18.739942528735632</v>
      </c>
      <c r="AC170" s="318">
        <f>'Detailed Avalerem Tables'!EJ77</f>
        <v>17.889069264069263</v>
      </c>
      <c r="AD170" s="318">
        <f>'Detailed Avalerem Tables'!EJ125</f>
        <v>19.736111111111114</v>
      </c>
      <c r="AE170" s="318">
        <f>'Detailed Avalerem Tables'!EJ173</f>
        <v>18.863095238095241</v>
      </c>
      <c r="AF170" s="66">
        <f>'Detailed Avalerem Tables'!EJ221</f>
        <v>17.53885767790262</v>
      </c>
      <c r="AG170" s="214" t="s">
        <v>34</v>
      </c>
      <c r="AH170" s="251"/>
      <c r="AI170" s="252" t="str">
        <f>$AU$114</f>
        <v>Decide</v>
      </c>
      <c r="AJ170" s="253" t="s">
        <v>344</v>
      </c>
      <c r="AK170" s="148"/>
      <c r="AL170" s="280" t="s">
        <v>453</v>
      </c>
      <c r="AM170" s="279" t="s">
        <v>8</v>
      </c>
      <c r="AN170" s="254" t="s">
        <v>450</v>
      </c>
      <c r="AO170" s="254" t="s">
        <v>450</v>
      </c>
      <c r="AP170" s="254" t="s">
        <v>450</v>
      </c>
      <c r="AQ170" s="254" t="s">
        <v>450</v>
      </c>
      <c r="AR170" s="254" t="s">
        <v>450</v>
      </c>
      <c r="AU170" s="148"/>
      <c r="AV170" s="148"/>
      <c r="BQ170" s="232"/>
    </row>
    <row r="171" spans="1:69" ht="15" thickBot="1" x14ac:dyDescent="0.25">
      <c r="A171" s="256">
        <v>31</v>
      </c>
      <c r="B171" s="510" t="str">
        <f>$AU$115</f>
        <v>Encourage</v>
      </c>
      <c r="C171" s="315">
        <v>7</v>
      </c>
      <c r="D171" s="315">
        <v>5</v>
      </c>
      <c r="E171" s="215">
        <v>1</v>
      </c>
      <c r="F171" s="315" t="str">
        <f t="shared" si="2"/>
        <v>751</v>
      </c>
      <c r="G171" s="66">
        <f t="shared" si="1"/>
        <v>12.067767424188476</v>
      </c>
      <c r="H171" s="318">
        <f>'Detailed Avalerem Tables'!AB29</f>
        <v>8.3583333333333325</v>
      </c>
      <c r="I171" s="318">
        <f>'Detailed Avalerem Tables'!AB78</f>
        <v>8.4093137254901968</v>
      </c>
      <c r="J171" s="318">
        <f>'Detailed Avalerem Tables'!AB126</f>
        <v>8.4152621722846437</v>
      </c>
      <c r="K171" s="318">
        <f>'Detailed Avalerem Tables'!AB174</f>
        <v>8.5202380952380956</v>
      </c>
      <c r="L171" s="318">
        <f>'Detailed Avalerem Tables'!AB222</f>
        <v>8.4387254901960791</v>
      </c>
      <c r="M171" s="318">
        <f>'Detailed Avalerem Tables'!BD29</f>
        <v>12.531103286384976</v>
      </c>
      <c r="N171" s="318">
        <f>'Detailed Avalerem Tables'!BD78</f>
        <v>12.25462962962963</v>
      </c>
      <c r="O171" s="318">
        <f>'Detailed Avalerem Tables'!BD126</f>
        <v>12.382575757575758</v>
      </c>
      <c r="P171" s="318">
        <f>'Detailed Avalerem Tables'!BD174</f>
        <v>12.603142076502731</v>
      </c>
      <c r="Q171" s="318">
        <f>'Detailed Avalerem Tables'!BD222</f>
        <v>11.51808176100629</v>
      </c>
      <c r="R171" s="318">
        <f>'Detailed Avalerem Tables'!CF29</f>
        <v>9.7328431372549016</v>
      </c>
      <c r="S171" s="318">
        <f>'Detailed Avalerem Tables'!CF78</f>
        <v>9.3854166666666661</v>
      </c>
      <c r="T171" s="318">
        <f>'Detailed Avalerem Tables'!CF126</f>
        <v>10.18640350877193</v>
      </c>
      <c r="U171" s="318">
        <f>'Detailed Avalerem Tables'!CF174</f>
        <v>9.5289548022598858</v>
      </c>
      <c r="V171" s="318">
        <f>'Detailed Avalerem Tables'!CF222</f>
        <v>9.3472222222222214</v>
      </c>
      <c r="W171" s="318">
        <f>'Detailed Avalerem Tables'!DH29</f>
        <v>15.53409090909091</v>
      </c>
      <c r="X171" s="318">
        <f>'Detailed Avalerem Tables'!DH78</f>
        <v>15.390432098765432</v>
      </c>
      <c r="Y171" s="318">
        <f>'Detailed Avalerem Tables'!DH126</f>
        <v>16.703431372549019</v>
      </c>
      <c r="Z171" s="318">
        <f>'Detailed Avalerem Tables'!DH174</f>
        <v>15.425000000000001</v>
      </c>
      <c r="AA171" s="318">
        <f>'Detailed Avalerem Tables'!DH222</f>
        <v>15.377688172043012</v>
      </c>
      <c r="AB171" s="318">
        <f>'Detailed Avalerem Tables'!EJ29</f>
        <v>14.446839080459771</v>
      </c>
      <c r="AC171" s="318">
        <f>'Detailed Avalerem Tables'!EJ78</f>
        <v>13.91504329004329</v>
      </c>
      <c r="AD171" s="318">
        <f>'Detailed Avalerem Tables'!EJ126</f>
        <v>15.069444444444446</v>
      </c>
      <c r="AE171" s="318">
        <f>'Detailed Avalerem Tables'!EJ174</f>
        <v>14.523809523809526</v>
      </c>
      <c r="AF171" s="66">
        <f>'Detailed Avalerem Tables'!EJ222</f>
        <v>13.696161048689138</v>
      </c>
      <c r="AG171" s="214" t="s">
        <v>34</v>
      </c>
      <c r="AH171" s="251"/>
      <c r="AI171" s="252" t="str">
        <f>$AU$115</f>
        <v>Encourage</v>
      </c>
      <c r="AJ171" s="253" t="s">
        <v>344</v>
      </c>
      <c r="AK171" s="148">
        <f>25</f>
        <v>25</v>
      </c>
      <c r="AL171" s="281" t="s">
        <v>454</v>
      </c>
      <c r="AM171" s="279" t="s">
        <v>3</v>
      </c>
      <c r="AN171" s="254" t="s">
        <v>450</v>
      </c>
      <c r="AO171" s="254" t="s">
        <v>450</v>
      </c>
      <c r="AP171" s="254" t="s">
        <v>450</v>
      </c>
      <c r="AQ171" s="254" t="s">
        <v>450</v>
      </c>
      <c r="AR171" s="254" t="s">
        <v>450</v>
      </c>
      <c r="AU171" s="148"/>
      <c r="AV171" s="148"/>
      <c r="BQ171" s="232"/>
    </row>
    <row r="172" spans="1:69" x14ac:dyDescent="0.2">
      <c r="A172" s="256">
        <v>32</v>
      </c>
      <c r="B172" s="510" t="str">
        <f>$AU$116</f>
        <v>Abandon</v>
      </c>
      <c r="C172" s="315">
        <v>8</v>
      </c>
      <c r="D172" s="315">
        <v>5</v>
      </c>
      <c r="E172" s="215">
        <v>1</v>
      </c>
      <c r="F172" s="315" t="str">
        <f t="shared" si="2"/>
        <v>851</v>
      </c>
      <c r="G172" s="66">
        <f t="shared" si="1"/>
        <v>14.635038472325055</v>
      </c>
      <c r="H172" s="318">
        <f>'Detailed Avalerem Tables'!AB30</f>
        <v>12.600000000000001</v>
      </c>
      <c r="I172" s="318">
        <f>'Detailed Avalerem Tables'!AB79</f>
        <v>12.80392156862745</v>
      </c>
      <c r="J172" s="318">
        <f>'Detailed Avalerem Tables'!AB127</f>
        <v>12.827715355805243</v>
      </c>
      <c r="K172" s="318">
        <f>'Detailed Avalerem Tables'!AB175</f>
        <v>13.247619047619047</v>
      </c>
      <c r="L172" s="318">
        <f>'Detailed Avalerem Tables'!AB223</f>
        <v>12.921568627450979</v>
      </c>
      <c r="M172" s="318">
        <f>'Detailed Avalerem Tables'!BD30</f>
        <v>10.953051643192488</v>
      </c>
      <c r="N172" s="318">
        <f>'Detailed Avalerem Tables'!BD79</f>
        <v>10.814814814814813</v>
      </c>
      <c r="O172" s="318">
        <f>'Detailed Avalerem Tables'!BD127</f>
        <v>10.878787878787879</v>
      </c>
      <c r="P172" s="318">
        <f>'Detailed Avalerem Tables'!BD175</f>
        <v>10.989071038251364</v>
      </c>
      <c r="Q172" s="318">
        <f>'Detailed Avalerem Tables'!BD223</f>
        <v>10.446540880503145</v>
      </c>
      <c r="R172" s="318">
        <f>'Detailed Avalerem Tables'!CF30</f>
        <v>18.098039215686274</v>
      </c>
      <c r="S172" s="318">
        <f>'Detailed Avalerem Tables'!CF79</f>
        <v>16.708333333333332</v>
      </c>
      <c r="T172" s="318">
        <f>'Detailed Avalerem Tables'!CF127</f>
        <v>19.912280701754383</v>
      </c>
      <c r="U172" s="318">
        <f>'Detailed Avalerem Tables'!CF175</f>
        <v>17.282485875706215</v>
      </c>
      <c r="V172" s="318">
        <f>'Detailed Avalerem Tables'!CF223</f>
        <v>16.555555555555557</v>
      </c>
      <c r="W172" s="318">
        <f>'Detailed Avalerem Tables'!DH30</f>
        <v>13.484848484848484</v>
      </c>
      <c r="X172" s="318">
        <f>'Detailed Avalerem Tables'!DH79</f>
        <v>13.39506172839506</v>
      </c>
      <c r="Y172" s="318">
        <f>'Detailed Avalerem Tables'!DH127</f>
        <v>14.215686274509803</v>
      </c>
      <c r="Z172" s="318">
        <f>'Detailed Avalerem Tables'!DH175</f>
        <v>13.416666666666668</v>
      </c>
      <c r="AA172" s="318">
        <f>'Detailed Avalerem Tables'!DH223</f>
        <v>13.387096774193548</v>
      </c>
      <c r="AB172" s="318">
        <f>'Detailed Avalerem Tables'!EJ30</f>
        <v>18.350574712643677</v>
      </c>
      <c r="AC172" s="318">
        <f>'Detailed Avalerem Tables'!EJ79</f>
        <v>17.606060606060606</v>
      </c>
      <c r="AD172" s="318">
        <f>'Detailed Avalerem Tables'!EJ127</f>
        <v>19.222222222222221</v>
      </c>
      <c r="AE172" s="318">
        <f>'Detailed Avalerem Tables'!EJ175</f>
        <v>18.458333333333336</v>
      </c>
      <c r="AF172" s="66">
        <f>'Detailed Avalerem Tables'!EJ223</f>
        <v>17.299625468164791</v>
      </c>
      <c r="AG172" s="214" t="s">
        <v>34</v>
      </c>
      <c r="AH172" s="251"/>
      <c r="AI172" s="252" t="str">
        <f>$AU$116</f>
        <v>Abandon</v>
      </c>
      <c r="AJ172" s="253" t="s">
        <v>344</v>
      </c>
      <c r="AK172" s="148"/>
      <c r="AU172" s="148"/>
      <c r="AV172" s="148"/>
      <c r="BQ172" s="232"/>
    </row>
    <row r="173" spans="1:69" x14ac:dyDescent="0.2">
      <c r="A173" s="256">
        <v>33</v>
      </c>
      <c r="B173" s="510" t="str">
        <f>$AU$117</f>
        <v>Report</v>
      </c>
      <c r="C173" s="315">
        <v>9</v>
      </c>
      <c r="D173" s="315">
        <v>5</v>
      </c>
      <c r="E173" s="215">
        <v>1</v>
      </c>
      <c r="F173" s="315" t="str">
        <f t="shared" si="2"/>
        <v>951</v>
      </c>
      <c r="G173" s="66">
        <f t="shared" si="1"/>
        <v>14.739004328364159</v>
      </c>
      <c r="H173" s="318">
        <f>'Detailed Avalerem Tables'!AB31</f>
        <v>11.508333333333333</v>
      </c>
      <c r="I173" s="318">
        <f>'Detailed Avalerem Tables'!AB80</f>
        <v>11.610294117647058</v>
      </c>
      <c r="J173" s="318">
        <f>'Detailed Avalerem Tables'!AB128</f>
        <v>11.622191011235953</v>
      </c>
      <c r="K173" s="318">
        <f>'Detailed Avalerem Tables'!AB176</f>
        <v>11.832142857142857</v>
      </c>
      <c r="L173" s="318">
        <f>'Detailed Avalerem Tables'!AB224</f>
        <v>11.669117647058822</v>
      </c>
      <c r="M173" s="318">
        <f>'Detailed Avalerem Tables'!BD31</f>
        <v>19.85387323943662</v>
      </c>
      <c r="N173" s="318">
        <f>'Detailed Avalerem Tables'!BD80</f>
        <v>19.300925925925924</v>
      </c>
      <c r="O173" s="318">
        <f>'Detailed Avalerem Tables'!BD128</f>
        <v>19.55681818181818</v>
      </c>
      <c r="P173" s="318">
        <f>'Detailed Avalerem Tables'!BD176</f>
        <v>19.997950819672131</v>
      </c>
      <c r="Q173" s="318">
        <f>'Detailed Avalerem Tables'!BD224</f>
        <v>17.827830188679247</v>
      </c>
      <c r="R173" s="318">
        <f>'Detailed Avalerem Tables'!CF31</f>
        <v>15.477941176470589</v>
      </c>
      <c r="S173" s="318">
        <f>'Detailed Avalerem Tables'!CF80</f>
        <v>14.609375</v>
      </c>
      <c r="T173" s="318">
        <f>'Detailed Avalerem Tables'!CF128</f>
        <v>16.611842105263158</v>
      </c>
      <c r="U173" s="318">
        <f>'Detailed Avalerem Tables'!CF176</f>
        <v>14.968220338983052</v>
      </c>
      <c r="V173" s="318">
        <f>'Detailed Avalerem Tables'!CF224</f>
        <v>14.513888888888889</v>
      </c>
      <c r="W173" s="318">
        <f>'Detailed Avalerem Tables'!DH31</f>
        <v>16.587121212121211</v>
      </c>
      <c r="X173" s="318">
        <f>'Detailed Avalerem Tables'!DH80</f>
        <v>16.461419753086421</v>
      </c>
      <c r="Y173" s="318">
        <f>'Detailed Avalerem Tables'!DH128</f>
        <v>17.610294117647058</v>
      </c>
      <c r="Z173" s="318">
        <f>'Detailed Avalerem Tables'!DH176</f>
        <v>16.491666666666667</v>
      </c>
      <c r="AA173" s="318">
        <f>'Detailed Avalerem Tables'!DH224</f>
        <v>16.4502688172043</v>
      </c>
      <c r="AB173" s="318">
        <f>'Detailed Avalerem Tables'!EJ31</f>
        <v>10.806034482758621</v>
      </c>
      <c r="AC173" s="318">
        <f>'Detailed Avalerem Tables'!EJ80</f>
        <v>10.699675324675324</v>
      </c>
      <c r="AD173" s="318">
        <f>'Detailed Avalerem Tables'!EJ128</f>
        <v>10.930555555555555</v>
      </c>
      <c r="AE173" s="318">
        <f>'Detailed Avalerem Tables'!EJ176</f>
        <v>10.821428571428571</v>
      </c>
      <c r="AF173" s="66">
        <f>'Detailed Avalerem Tables'!EJ224</f>
        <v>10.655898876404494</v>
      </c>
      <c r="AG173" s="214" t="s">
        <v>34</v>
      </c>
      <c r="AH173" s="251"/>
      <c r="AI173" s="252" t="str">
        <f>$AU$117</f>
        <v>Report</v>
      </c>
      <c r="AJ173" s="253" t="s">
        <v>344</v>
      </c>
      <c r="AK173" s="148"/>
      <c r="AU173" s="148"/>
      <c r="AV173" s="148"/>
      <c r="BQ173" s="232"/>
    </row>
    <row r="174" spans="1:69" x14ac:dyDescent="0.2">
      <c r="A174" s="256">
        <v>34</v>
      </c>
      <c r="B174" s="510" t="str">
        <f>$AU$118</f>
        <v>Explore</v>
      </c>
      <c r="C174" s="315">
        <v>10</v>
      </c>
      <c r="D174" s="315">
        <v>5</v>
      </c>
      <c r="E174" s="215">
        <v>1</v>
      </c>
      <c r="F174" s="315" t="str">
        <f t="shared" si="2"/>
        <v>1051</v>
      </c>
      <c r="G174" s="66">
        <f t="shared" si="1"/>
        <v>15.412479969880289</v>
      </c>
      <c r="H174" s="318">
        <f>'Detailed Avalerem Tables'!AB32</f>
        <v>17.908333333333331</v>
      </c>
      <c r="I174" s="318">
        <f>'Detailed Avalerem Tables'!AB81</f>
        <v>18.316176470588236</v>
      </c>
      <c r="J174" s="318">
        <f>'Detailed Avalerem Tables'!AB129</f>
        <v>18.363764044943821</v>
      </c>
      <c r="K174" s="318">
        <f>'Detailed Avalerem Tables'!AB177</f>
        <v>19.203571428571429</v>
      </c>
      <c r="L174" s="318">
        <f>'Detailed Avalerem Tables'!AB225</f>
        <v>18.551470588235293</v>
      </c>
      <c r="M174" s="318">
        <f>'Detailed Avalerem Tables'!BD32</f>
        <v>15.924295774647888</v>
      </c>
      <c r="N174" s="318">
        <f>'Detailed Avalerem Tables'!BD81</f>
        <v>15.578703703703704</v>
      </c>
      <c r="O174" s="318">
        <f>'Detailed Avalerem Tables'!BD129</f>
        <v>15.738636363636363</v>
      </c>
      <c r="P174" s="318">
        <f>'Detailed Avalerem Tables'!BD177</f>
        <v>16.014344262295083</v>
      </c>
      <c r="Q174" s="318">
        <f>'Detailed Avalerem Tables'!BD225</f>
        <v>14.658018867924531</v>
      </c>
      <c r="R174" s="318">
        <f>'Detailed Avalerem Tables'!CF32</f>
        <v>17.919117647058826</v>
      </c>
      <c r="S174" s="318">
        <f>'Detailed Avalerem Tables'!CF81</f>
        <v>16.703125</v>
      </c>
      <c r="T174" s="318">
        <f>'Detailed Avalerem Tables'!CF129</f>
        <v>19.506578947368421</v>
      </c>
      <c r="U174" s="318">
        <f>'Detailed Avalerem Tables'!CF177</f>
        <v>17.20550847457627</v>
      </c>
      <c r="V174" s="318">
        <f>'Detailed Avalerem Tables'!CF225</f>
        <v>16.569444444444443</v>
      </c>
      <c r="W174" s="318">
        <f>'Detailed Avalerem Tables'!DH32</f>
        <v>10.405303030303031</v>
      </c>
      <c r="X174" s="318">
        <f>'Detailed Avalerem Tables'!DH81</f>
        <v>10.387345679012345</v>
      </c>
      <c r="Y174" s="318">
        <f>'Detailed Avalerem Tables'!DH129</f>
        <v>10.551470588235292</v>
      </c>
      <c r="Z174" s="318">
        <f>'Detailed Avalerem Tables'!DH177</f>
        <v>10.391666666666666</v>
      </c>
      <c r="AA174" s="318">
        <f>'Detailed Avalerem Tables'!DH225</f>
        <v>10.385752688172044</v>
      </c>
      <c r="AB174" s="318">
        <f>'Detailed Avalerem Tables'!EJ32</f>
        <v>15.099137931034482</v>
      </c>
      <c r="AC174" s="318">
        <f>'Detailed Avalerem Tables'!EJ81</f>
        <v>14.6737012987013</v>
      </c>
      <c r="AD174" s="318">
        <f>'Detailed Avalerem Tables'!EJ129</f>
        <v>15.597222222222223</v>
      </c>
      <c r="AE174" s="318">
        <f>'Detailed Avalerem Tables'!EJ177</f>
        <v>15.160714285714286</v>
      </c>
      <c r="AF174" s="66">
        <f>'Detailed Avalerem Tables'!EJ225</f>
        <v>14.498595505617978</v>
      </c>
      <c r="AG174" s="214" t="s">
        <v>34</v>
      </c>
      <c r="AH174" s="251"/>
      <c r="AI174" s="252" t="str">
        <f>$AU$118</f>
        <v>Explore</v>
      </c>
      <c r="AJ174" s="253" t="s">
        <v>344</v>
      </c>
      <c r="AU174" s="148"/>
      <c r="AV174" s="148"/>
      <c r="BQ174" s="232"/>
    </row>
    <row r="175" spans="1:69" x14ac:dyDescent="0.2">
      <c r="A175" s="256">
        <v>35</v>
      </c>
      <c r="B175" s="510" t="str">
        <f>$AU$119</f>
        <v>Involve</v>
      </c>
      <c r="C175" s="315">
        <v>11</v>
      </c>
      <c r="D175" s="315">
        <v>5</v>
      </c>
      <c r="E175" s="215">
        <v>1</v>
      </c>
      <c r="F175" s="315" t="str">
        <f t="shared" si="2"/>
        <v>1151</v>
      </c>
      <c r="G175" s="66">
        <f t="shared" si="1"/>
        <v>12.84520892174371</v>
      </c>
      <c r="H175" s="318">
        <f>'Detailed Avalerem Tables'!AB33</f>
        <v>13.666666666666668</v>
      </c>
      <c r="I175" s="318">
        <f>'Detailed Avalerem Tables'!AB82</f>
        <v>13.921568627450979</v>
      </c>
      <c r="J175" s="318">
        <f>'Detailed Avalerem Tables'!AB130</f>
        <v>13.95131086142322</v>
      </c>
      <c r="K175" s="318">
        <f>'Detailed Avalerem Tables'!AB178</f>
        <v>14.476190476190474</v>
      </c>
      <c r="L175" s="318">
        <f>'Detailed Avalerem Tables'!AB226</f>
        <v>14.06862745098039</v>
      </c>
      <c r="M175" s="318">
        <f>'Detailed Avalerem Tables'!BD33</f>
        <v>17.502347417840376</v>
      </c>
      <c r="N175" s="318">
        <f>'Detailed Avalerem Tables'!BD82</f>
        <v>17.018518518518519</v>
      </c>
      <c r="O175" s="318">
        <f>'Detailed Avalerem Tables'!BD130</f>
        <v>17.242424242424242</v>
      </c>
      <c r="P175" s="318">
        <f>'Detailed Avalerem Tables'!BD178</f>
        <v>17.628415300546447</v>
      </c>
      <c r="Q175" s="318">
        <f>'Detailed Avalerem Tables'!BD226</f>
        <v>15.729559748427674</v>
      </c>
      <c r="R175" s="318">
        <f>'Detailed Avalerem Tables'!CF33</f>
        <v>9.5539215686274499</v>
      </c>
      <c r="S175" s="318">
        <f>'Detailed Avalerem Tables'!CF82</f>
        <v>9.3802083333333321</v>
      </c>
      <c r="T175" s="318">
        <f>'Detailed Avalerem Tables'!CF130</f>
        <v>9.780701754385964</v>
      </c>
      <c r="U175" s="318">
        <f>'Detailed Avalerem Tables'!CF178</f>
        <v>9.4519774011299429</v>
      </c>
      <c r="V175" s="318">
        <f>'Detailed Avalerem Tables'!CF226</f>
        <v>9.3611111111111107</v>
      </c>
      <c r="W175" s="318">
        <f>'Detailed Avalerem Tables'!DH33</f>
        <v>12.454545454545455</v>
      </c>
      <c r="X175" s="318">
        <f>'Detailed Avalerem Tables'!DH82</f>
        <v>12.382716049382715</v>
      </c>
      <c r="Y175" s="318">
        <f>'Detailed Avalerem Tables'!DH130</f>
        <v>13.03921568627451</v>
      </c>
      <c r="Z175" s="318">
        <f>'Detailed Avalerem Tables'!DH178</f>
        <v>12.4</v>
      </c>
      <c r="AA175" s="318">
        <f>'Detailed Avalerem Tables'!DH226</f>
        <v>12.376344086021504</v>
      </c>
      <c r="AB175" s="318">
        <f>'Detailed Avalerem Tables'!EJ33</f>
        <v>11.195402298850574</v>
      </c>
      <c r="AC175" s="318">
        <f>'Detailed Avalerem Tables'!EJ82</f>
        <v>10.982683982683982</v>
      </c>
      <c r="AD175" s="318">
        <f>'Detailed Avalerem Tables'!EJ130</f>
        <v>11.444444444444446</v>
      </c>
      <c r="AE175" s="318">
        <f>'Detailed Avalerem Tables'!EJ178</f>
        <v>11.226190476190478</v>
      </c>
      <c r="AF175" s="66">
        <f>'Detailed Avalerem Tables'!EJ226</f>
        <v>10.895131086142321</v>
      </c>
      <c r="AG175" s="214" t="s">
        <v>34</v>
      </c>
      <c r="AH175" s="251"/>
      <c r="AI175" s="252" t="str">
        <f>$AU$119</f>
        <v>Involve</v>
      </c>
      <c r="AJ175" s="253" t="s">
        <v>344</v>
      </c>
      <c r="AU175" s="148"/>
      <c r="AV175" s="148"/>
      <c r="BQ175" s="232"/>
    </row>
    <row r="176" spans="1:69" x14ac:dyDescent="0.2">
      <c r="A176" s="256">
        <v>36</v>
      </c>
      <c r="B176" s="510" t="str">
        <f>$AU$120</f>
        <v>Implement</v>
      </c>
      <c r="C176" s="315">
        <v>12</v>
      </c>
      <c r="D176" s="315">
        <v>5</v>
      </c>
      <c r="E176" s="215">
        <v>1</v>
      </c>
      <c r="F176" s="315" t="str">
        <f t="shared" si="2"/>
        <v>1251</v>
      </c>
      <c r="G176" s="66">
        <f t="shared" si="1"/>
        <v>12.741243065704607</v>
      </c>
      <c r="H176" s="318">
        <f>'Detailed Avalerem Tables'!AB34</f>
        <v>14.758333333333333</v>
      </c>
      <c r="I176" s="318">
        <f>'Detailed Avalerem Tables'!AB83</f>
        <v>15.115196078431373</v>
      </c>
      <c r="J176" s="318">
        <f>'Detailed Avalerem Tables'!AB131</f>
        <v>15.156835205992508</v>
      </c>
      <c r="K176" s="318">
        <f>'Detailed Avalerem Tables'!AB179</f>
        <v>15.891666666666666</v>
      </c>
      <c r="L176" s="318">
        <f>'Detailed Avalerem Tables'!AB227</f>
        <v>15.321078431372548</v>
      </c>
      <c r="M176" s="318">
        <f>'Detailed Avalerem Tables'!BD34</f>
        <v>8.601525821596244</v>
      </c>
      <c r="N176" s="318">
        <f>'Detailed Avalerem Tables'!BD83</f>
        <v>8.5324074074074083</v>
      </c>
      <c r="O176" s="318">
        <f>'Detailed Avalerem Tables'!BD131</f>
        <v>8.5643939393939394</v>
      </c>
      <c r="P176" s="318">
        <f>'Detailed Avalerem Tables'!BD179</f>
        <v>8.6195355191256819</v>
      </c>
      <c r="Q176" s="318">
        <f>'Detailed Avalerem Tables'!BD227</f>
        <v>8.3482704402515733</v>
      </c>
      <c r="R176" s="318">
        <f>'Detailed Avalerem Tables'!CF34</f>
        <v>12.174019607843137</v>
      </c>
      <c r="S176" s="318">
        <f>'Detailed Avalerem Tables'!CF83</f>
        <v>11.479166666666666</v>
      </c>
      <c r="T176" s="318">
        <f>'Detailed Avalerem Tables'!CF131</f>
        <v>13.081140350877194</v>
      </c>
      <c r="U176" s="318">
        <f>'Detailed Avalerem Tables'!CF179</f>
        <v>11.766242937853107</v>
      </c>
      <c r="V176" s="318">
        <f>'Detailed Avalerem Tables'!CF227</f>
        <v>11.402777777777779</v>
      </c>
      <c r="W176" s="318">
        <f>'Detailed Avalerem Tables'!DH34</f>
        <v>9.3522727272727266</v>
      </c>
      <c r="X176" s="318">
        <f>'Detailed Avalerem Tables'!DH83</f>
        <v>9.3163580246913575</v>
      </c>
      <c r="Y176" s="318">
        <f>'Detailed Avalerem Tables'!DH131</f>
        <v>9.6446078431372548</v>
      </c>
      <c r="Z176" s="318">
        <f>'Detailed Avalerem Tables'!DH179</f>
        <v>9.3249999999999993</v>
      </c>
      <c r="AA176" s="318">
        <f>'Detailed Avalerem Tables'!DH227</f>
        <v>9.3131720430107521</v>
      </c>
      <c r="AB176" s="318">
        <f>'Detailed Avalerem Tables'!EJ34</f>
        <v>18.739942528735632</v>
      </c>
      <c r="AC176" s="318">
        <f>'Detailed Avalerem Tables'!EJ83</f>
        <v>17.889069264069263</v>
      </c>
      <c r="AD176" s="318">
        <f>'Detailed Avalerem Tables'!EJ131</f>
        <v>19.736111111111114</v>
      </c>
      <c r="AE176" s="318">
        <f>'Detailed Avalerem Tables'!EJ179</f>
        <v>18.863095238095241</v>
      </c>
      <c r="AF176" s="66">
        <f>'Detailed Avalerem Tables'!EJ227</f>
        <v>17.53885767790262</v>
      </c>
      <c r="AG176" s="214" t="s">
        <v>34</v>
      </c>
      <c r="AH176" s="251"/>
      <c r="AI176" s="252" t="str">
        <f>$AU$120</f>
        <v>Implement</v>
      </c>
      <c r="AJ176" s="253" t="s">
        <v>344</v>
      </c>
      <c r="AU176" s="148"/>
      <c r="AV176" s="148"/>
      <c r="BQ176" s="232"/>
    </row>
    <row r="177" spans="1:69" x14ac:dyDescent="0.2">
      <c r="A177" s="256">
        <v>37</v>
      </c>
      <c r="B177" s="510" t="str">
        <f>$AW$109</f>
        <v>Correct</v>
      </c>
      <c r="C177" s="315">
        <v>1</v>
      </c>
      <c r="D177" s="315">
        <v>5</v>
      </c>
      <c r="E177" s="215">
        <v>2</v>
      </c>
      <c r="F177" s="315" t="str">
        <f t="shared" si="2"/>
        <v>152</v>
      </c>
      <c r="G177" s="66">
        <f t="shared" si="1"/>
        <v>27.982311437835833</v>
      </c>
      <c r="H177" s="318">
        <f>'Detailed Avalerem Tables'!AB38</f>
        <v>25.05934429156169</v>
      </c>
      <c r="I177" s="318">
        <f>'Detailed Avalerem Tables'!AB87</f>
        <v>24.893846148583236</v>
      </c>
      <c r="J177" s="318">
        <f>'Detailed Avalerem Tables'!AB135</f>
        <v>25.327968795393719</v>
      </c>
      <c r="K177" s="318">
        <f>'Detailed Avalerem Tables'!AB183</f>
        <v>27.750661538245723</v>
      </c>
      <c r="L177" s="318">
        <f>'Detailed Avalerem Tables'!AB231</f>
        <v>25.700237779882055</v>
      </c>
      <c r="M177" s="318">
        <f>'Detailed Avalerem Tables'!BD38</f>
        <v>29.025691859435646</v>
      </c>
      <c r="N177" s="318">
        <f>'Detailed Avalerem Tables'!BD87</f>
        <v>28.728498735669561</v>
      </c>
      <c r="O177" s="318">
        <f>'Detailed Avalerem Tables'!BD135</f>
        <v>29.33507052839489</v>
      </c>
      <c r="P177" s="318">
        <f>'Detailed Avalerem Tables'!BD183</f>
        <v>30.2679837761094</v>
      </c>
      <c r="Q177" s="318">
        <f>'Detailed Avalerem Tables'!BD231</f>
        <v>25.628887453489362</v>
      </c>
      <c r="R177" s="318">
        <f>'Detailed Avalerem Tables'!CF38</f>
        <v>26.948378446288746</v>
      </c>
      <c r="S177" s="318">
        <f>'Detailed Avalerem Tables'!CF87</f>
        <v>23.580034481391941</v>
      </c>
      <c r="T177" s="318">
        <f>'Detailed Avalerem Tables'!CF135</f>
        <v>31.461349202111442</v>
      </c>
      <c r="U177" s="318">
        <f>'Detailed Avalerem Tables'!CF183</f>
        <v>27.359415701321794</v>
      </c>
      <c r="V177" s="318">
        <f>'Detailed Avalerem Tables'!CF231</f>
        <v>25.884333263518627</v>
      </c>
      <c r="W177" s="318">
        <f>'Detailed Avalerem Tables'!DH38</f>
        <v>30.90503353231631</v>
      </c>
      <c r="X177" s="318">
        <f>'Detailed Avalerem Tables'!DH87</f>
        <v>23.13248081721726</v>
      </c>
      <c r="Y177" s="318">
        <f>'Detailed Avalerem Tables'!DH135</f>
        <v>26.175347285125845</v>
      </c>
      <c r="Z177" s="318">
        <f>'Detailed Avalerem Tables'!DH183</f>
        <v>26.216801408788918</v>
      </c>
      <c r="AA177" s="318">
        <f>'Detailed Avalerem Tables'!DH231</f>
        <v>26.036355850318969</v>
      </c>
      <c r="AB177" s="318">
        <f>'Detailed Avalerem Tables'!EJ38</f>
        <v>32.818965751305697</v>
      </c>
      <c r="AC177" s="318">
        <f>'Detailed Avalerem Tables'!EJ87</f>
        <v>28.231431213406282</v>
      </c>
      <c r="AD177" s="318">
        <f>'Detailed Avalerem Tables'!EJ135</f>
        <v>34.901959473052827</v>
      </c>
      <c r="AE177" s="318">
        <f>'Detailed Avalerem Tables'!EJ183</f>
        <v>33.518749999999997</v>
      </c>
      <c r="AF177" s="66">
        <f>'Detailed Avalerem Tables'!EJ231</f>
        <v>30.668958612966136</v>
      </c>
      <c r="AG177" s="214" t="s">
        <v>34</v>
      </c>
      <c r="AH177" s="251"/>
      <c r="AI177" s="252" t="str">
        <f>$AW$109</f>
        <v>Correct</v>
      </c>
      <c r="AJ177" s="253" t="s">
        <v>344</v>
      </c>
      <c r="AU177" s="148"/>
      <c r="AV177" s="148"/>
      <c r="BQ177" s="232"/>
    </row>
    <row r="178" spans="1:69" x14ac:dyDescent="0.2">
      <c r="A178" s="256">
        <v>38</v>
      </c>
      <c r="B178" s="510" t="str">
        <f>$AW$110</f>
        <v>Prevent</v>
      </c>
      <c r="C178" s="315">
        <v>2</v>
      </c>
      <c r="D178" s="315">
        <v>5</v>
      </c>
      <c r="E178" s="215">
        <v>2</v>
      </c>
      <c r="F178" s="315" t="str">
        <f t="shared" si="2"/>
        <v>252</v>
      </c>
      <c r="G178" s="66">
        <f t="shared" si="1"/>
        <v>29.303635221686054</v>
      </c>
      <c r="H178" s="318">
        <f>'Detailed Avalerem Tables'!AB39</f>
        <v>26.36123108401452</v>
      </c>
      <c r="I178" s="318">
        <f>'Detailed Avalerem Tables'!AB88</f>
        <v>25.998323760523537</v>
      </c>
      <c r="J178" s="318">
        <f>'Detailed Avalerem Tables'!AB136</f>
        <v>26.387492604917526</v>
      </c>
      <c r="K178" s="318">
        <f>'Detailed Avalerem Tables'!AB184</f>
        <v>28.924574581723981</v>
      </c>
      <c r="L178" s="318">
        <f>'Detailed Avalerem Tables'!AB232</f>
        <v>27.090862779882055</v>
      </c>
      <c r="M178" s="318">
        <f>'Detailed Avalerem Tables'!BD39</f>
        <v>30.197120430864217</v>
      </c>
      <c r="N178" s="318">
        <f>'Detailed Avalerem Tables'!BD88</f>
        <v>30.039609846780671</v>
      </c>
      <c r="O178" s="318">
        <f>'Detailed Avalerem Tables'!BD136</f>
        <v>30.69507052839489</v>
      </c>
      <c r="P178" s="318">
        <f>'Detailed Avalerem Tables'!BD184</f>
        <v>31.592308100433726</v>
      </c>
      <c r="Q178" s="318">
        <f>'Detailed Avalerem Tables'!BD232</f>
        <v>27.045554120156027</v>
      </c>
      <c r="R178" s="318">
        <f>'Detailed Avalerem Tables'!CF39</f>
        <v>28.023005311960389</v>
      </c>
      <c r="S178" s="318">
        <f>'Detailed Avalerem Tables'!CF88</f>
        <v>24.630034481391938</v>
      </c>
      <c r="T178" s="318">
        <f>'Detailed Avalerem Tables'!CF136</f>
        <v>32.794682535444778</v>
      </c>
      <c r="U178" s="318">
        <f>'Detailed Avalerem Tables'!CF184</f>
        <v>28.759415701321792</v>
      </c>
      <c r="V178" s="318">
        <f>'Detailed Avalerem Tables'!CF232</f>
        <v>27.307410186595547</v>
      </c>
      <c r="W178" s="318">
        <f>'Detailed Avalerem Tables'!DH39</f>
        <v>33.038366865649643</v>
      </c>
      <c r="X178" s="318">
        <f>'Detailed Avalerem Tables'!DH88</f>
        <v>24.160258594995035</v>
      </c>
      <c r="Y178" s="318">
        <f>'Detailed Avalerem Tables'!DH136</f>
        <v>27.27058538036394</v>
      </c>
      <c r="Z178" s="318">
        <f>'Detailed Avalerem Tables'!DH184</f>
        <v>27.716801408788918</v>
      </c>
      <c r="AA178" s="318">
        <f>'Detailed Avalerem Tables'!DH232</f>
        <v>27.473855850318966</v>
      </c>
      <c r="AB178" s="318">
        <f>'Detailed Avalerem Tables'!EJ39</f>
        <v>34.287715751305697</v>
      </c>
      <c r="AC178" s="318">
        <f>'Detailed Avalerem Tables'!EJ88</f>
        <v>29.246137095759224</v>
      </c>
      <c r="AD178" s="318">
        <f>'Detailed Avalerem Tables'!EJ136</f>
        <v>36.376959473052821</v>
      </c>
      <c r="AE178" s="318">
        <f>'Detailed Avalerem Tables'!EJ184</f>
        <v>35.049999999999997</v>
      </c>
      <c r="AF178" s="66">
        <f>'Detailed Avalerem Tables'!EJ232</f>
        <v>32.12350406751159</v>
      </c>
      <c r="AG178" s="214" t="s">
        <v>34</v>
      </c>
      <c r="AH178" s="251"/>
      <c r="AI178" s="252" t="str">
        <f>$AW$110</f>
        <v>Prevent</v>
      </c>
      <c r="AJ178" s="253" t="s">
        <v>344</v>
      </c>
      <c r="AU178" s="148"/>
      <c r="AV178" s="148"/>
      <c r="BQ178" s="232"/>
    </row>
    <row r="179" spans="1:69" x14ac:dyDescent="0.2">
      <c r="A179" s="256">
        <v>39</v>
      </c>
      <c r="B179" s="510" t="str">
        <f>$AW$111</f>
        <v>Push</v>
      </c>
      <c r="C179" s="315">
        <v>3</v>
      </c>
      <c r="D179" s="315">
        <v>5</v>
      </c>
      <c r="E179" s="215">
        <v>2</v>
      </c>
      <c r="F179" s="315" t="str">
        <f t="shared" si="2"/>
        <v>352</v>
      </c>
      <c r="G179" s="66">
        <f t="shared" si="1"/>
        <v>30.624959005536269</v>
      </c>
      <c r="H179" s="318">
        <f>'Detailed Avalerem Tables'!AB40</f>
        <v>27.663117876467354</v>
      </c>
      <c r="I179" s="318">
        <f>'Detailed Avalerem Tables'!AB89</f>
        <v>27.102801372463837</v>
      </c>
      <c r="J179" s="318">
        <f>'Detailed Avalerem Tables'!AB137</f>
        <v>27.447016414441336</v>
      </c>
      <c r="K179" s="318">
        <f>'Detailed Avalerem Tables'!AB185</f>
        <v>30.098487625202242</v>
      </c>
      <c r="L179" s="318">
        <f>'Detailed Avalerem Tables'!AB233</f>
        <v>28.481487779882055</v>
      </c>
      <c r="M179" s="318">
        <f>'Detailed Avalerem Tables'!BD40</f>
        <v>31.368549002292788</v>
      </c>
      <c r="N179" s="318">
        <f>'Detailed Avalerem Tables'!BD89</f>
        <v>31.350720957891784</v>
      </c>
      <c r="O179" s="318">
        <f>'Detailed Avalerem Tables'!BD137</f>
        <v>32.055070528394893</v>
      </c>
      <c r="P179" s="318">
        <f>'Detailed Avalerem Tables'!BD185</f>
        <v>32.916632424758049</v>
      </c>
      <c r="Q179" s="318">
        <f>'Detailed Avalerem Tables'!BD233</f>
        <v>28.462220786822694</v>
      </c>
      <c r="R179" s="318">
        <f>'Detailed Avalerem Tables'!CF40</f>
        <v>29.097632177632036</v>
      </c>
      <c r="S179" s="318">
        <f>'Detailed Avalerem Tables'!CF89</f>
        <v>25.680034481391942</v>
      </c>
      <c r="T179" s="318">
        <f>'Detailed Avalerem Tables'!CF137</f>
        <v>34.128015868778107</v>
      </c>
      <c r="U179" s="318">
        <f>'Detailed Avalerem Tables'!CF185</f>
        <v>30.159415701321791</v>
      </c>
      <c r="V179" s="318">
        <f>'Detailed Avalerem Tables'!CF233</f>
        <v>28.730487109672474</v>
      </c>
      <c r="W179" s="318">
        <f>'Detailed Avalerem Tables'!DH40</f>
        <v>35.171700198982975</v>
      </c>
      <c r="X179" s="318">
        <f>'Detailed Avalerem Tables'!DH89</f>
        <v>25.188036372772817</v>
      </c>
      <c r="Y179" s="318">
        <f>'Detailed Avalerem Tables'!DH137</f>
        <v>28.365823475602042</v>
      </c>
      <c r="Z179" s="318">
        <f>'Detailed Avalerem Tables'!DH185</f>
        <v>29.216801408788925</v>
      </c>
      <c r="AA179" s="318">
        <f>'Detailed Avalerem Tables'!DH233</f>
        <v>28.911355850318966</v>
      </c>
      <c r="AB179" s="318">
        <f>'Detailed Avalerem Tables'!EJ40</f>
        <v>35.756465751305697</v>
      </c>
      <c r="AC179" s="318">
        <f>'Detailed Avalerem Tables'!EJ89</f>
        <v>30.260842978112166</v>
      </c>
      <c r="AD179" s="318">
        <f>'Detailed Avalerem Tables'!EJ137</f>
        <v>37.851959473052823</v>
      </c>
      <c r="AE179" s="318">
        <f>'Detailed Avalerem Tables'!EJ185</f>
        <v>36.581250000000004</v>
      </c>
      <c r="AF179" s="66">
        <f>'Detailed Avalerem Tables'!EJ233</f>
        <v>33.578049522057043</v>
      </c>
      <c r="AG179" s="214" t="s">
        <v>34</v>
      </c>
      <c r="AH179" s="251"/>
      <c r="AI179" s="252" t="str">
        <f>$AW$111</f>
        <v>Push</v>
      </c>
      <c r="AJ179" s="253" t="s">
        <v>344</v>
      </c>
      <c r="AU179" s="148"/>
      <c r="AV179" s="148"/>
      <c r="BQ179" s="232"/>
    </row>
    <row r="180" spans="1:69" x14ac:dyDescent="0.2">
      <c r="A180" s="256">
        <v>40</v>
      </c>
      <c r="B180" s="510" t="str">
        <f>$AW$112</f>
        <v>Research</v>
      </c>
      <c r="C180" s="315">
        <v>4</v>
      </c>
      <c r="D180" s="315">
        <v>5</v>
      </c>
      <c r="E180" s="215">
        <v>2</v>
      </c>
      <c r="F180" s="315" t="str">
        <f t="shared" si="2"/>
        <v>452</v>
      </c>
      <c r="G180" s="66">
        <f t="shared" si="1"/>
        <v>30.624959005536269</v>
      </c>
      <c r="H180" s="318">
        <f>'Detailed Avalerem Tables'!AB41</f>
        <v>27.663117876467354</v>
      </c>
      <c r="I180" s="318">
        <f>'Detailed Avalerem Tables'!AB90</f>
        <v>27.102801372463837</v>
      </c>
      <c r="J180" s="318">
        <f>'Detailed Avalerem Tables'!AB138</f>
        <v>27.447016414441336</v>
      </c>
      <c r="K180" s="318">
        <f>'Detailed Avalerem Tables'!AB186</f>
        <v>30.098487625202242</v>
      </c>
      <c r="L180" s="318">
        <f>'Detailed Avalerem Tables'!AB234</f>
        <v>28.481487779882055</v>
      </c>
      <c r="M180" s="318">
        <f>'Detailed Avalerem Tables'!BD41</f>
        <v>31.368549002292781</v>
      </c>
      <c r="N180" s="318">
        <f>'Detailed Avalerem Tables'!BD90</f>
        <v>31.350720957891784</v>
      </c>
      <c r="O180" s="318">
        <f>'Detailed Avalerem Tables'!BD138</f>
        <v>32.055070528394893</v>
      </c>
      <c r="P180" s="318">
        <f>'Detailed Avalerem Tables'!BD186</f>
        <v>32.916632424758049</v>
      </c>
      <c r="Q180" s="318">
        <f>'Detailed Avalerem Tables'!BD234</f>
        <v>28.462220786822694</v>
      </c>
      <c r="R180" s="318">
        <f>'Detailed Avalerem Tables'!CF41</f>
        <v>29.097632177632029</v>
      </c>
      <c r="S180" s="318">
        <f>'Detailed Avalerem Tables'!CF90</f>
        <v>25.680034481391942</v>
      </c>
      <c r="T180" s="318">
        <f>'Detailed Avalerem Tables'!CF138</f>
        <v>34.128015868778107</v>
      </c>
      <c r="U180" s="318">
        <f>'Detailed Avalerem Tables'!CF186</f>
        <v>30.159415701321791</v>
      </c>
      <c r="V180" s="318">
        <f>'Detailed Avalerem Tables'!CF234</f>
        <v>28.730487109672474</v>
      </c>
      <c r="W180" s="318">
        <f>'Detailed Avalerem Tables'!DH41</f>
        <v>35.171700198982975</v>
      </c>
      <c r="X180" s="318">
        <f>'Detailed Avalerem Tables'!DH90</f>
        <v>25.188036372772814</v>
      </c>
      <c r="Y180" s="318">
        <f>'Detailed Avalerem Tables'!DH138</f>
        <v>28.365823475602035</v>
      </c>
      <c r="Z180" s="318">
        <f>'Detailed Avalerem Tables'!DH186</f>
        <v>29.216801408788918</v>
      </c>
      <c r="AA180" s="318">
        <f>'Detailed Avalerem Tables'!DH234</f>
        <v>28.911355850318969</v>
      </c>
      <c r="AB180" s="318">
        <f>'Detailed Avalerem Tables'!EJ41</f>
        <v>35.756465751305697</v>
      </c>
      <c r="AC180" s="318">
        <f>'Detailed Avalerem Tables'!EJ90</f>
        <v>30.260842978112166</v>
      </c>
      <c r="AD180" s="318">
        <f>'Detailed Avalerem Tables'!EJ138</f>
        <v>37.851959473052823</v>
      </c>
      <c r="AE180" s="318">
        <f>'Detailed Avalerem Tables'!EJ186</f>
        <v>36.581250000000004</v>
      </c>
      <c r="AF180" s="66">
        <f>'Detailed Avalerem Tables'!EJ234</f>
        <v>33.578049522057043</v>
      </c>
      <c r="AG180" s="214" t="s">
        <v>34</v>
      </c>
      <c r="AH180" s="251"/>
      <c r="AI180" s="252" t="str">
        <f>$AW$112</f>
        <v>Research</v>
      </c>
      <c r="AJ180" s="253" t="s">
        <v>344</v>
      </c>
      <c r="AU180" s="148"/>
      <c r="AV180" s="148"/>
      <c r="BQ180" s="232"/>
    </row>
    <row r="181" spans="1:69" x14ac:dyDescent="0.2">
      <c r="A181" s="256">
        <v>41</v>
      </c>
      <c r="B181" s="510" t="str">
        <f>$AW$113</f>
        <v>Discover</v>
      </c>
      <c r="C181" s="315">
        <v>5</v>
      </c>
      <c r="D181" s="315">
        <v>5</v>
      </c>
      <c r="E181" s="215">
        <v>2</v>
      </c>
      <c r="F181" s="315" t="str">
        <f t="shared" si="2"/>
        <v>552</v>
      </c>
      <c r="G181" s="66">
        <f t="shared" si="1"/>
        <v>29.303635221686054</v>
      </c>
      <c r="H181" s="318">
        <f>'Detailed Avalerem Tables'!AB42</f>
        <v>26.36123108401452</v>
      </c>
      <c r="I181" s="318">
        <f>'Detailed Avalerem Tables'!AB91</f>
        <v>25.998323760523533</v>
      </c>
      <c r="J181" s="318">
        <f>'Detailed Avalerem Tables'!AB139</f>
        <v>26.387492604917526</v>
      </c>
      <c r="K181" s="318">
        <f>'Detailed Avalerem Tables'!AB187</f>
        <v>28.924574581723984</v>
      </c>
      <c r="L181" s="318">
        <f>'Detailed Avalerem Tables'!AB235</f>
        <v>27.090862779882052</v>
      </c>
      <c r="M181" s="318">
        <f>'Detailed Avalerem Tables'!BD42</f>
        <v>30.19712043086421</v>
      </c>
      <c r="N181" s="318">
        <f>'Detailed Avalerem Tables'!BD91</f>
        <v>30.039609846780671</v>
      </c>
      <c r="O181" s="318">
        <f>'Detailed Avalerem Tables'!BD139</f>
        <v>30.695070528394886</v>
      </c>
      <c r="P181" s="318">
        <f>'Detailed Avalerem Tables'!BD187</f>
        <v>31.592308100433726</v>
      </c>
      <c r="Q181" s="318">
        <f>'Detailed Avalerem Tables'!BD235</f>
        <v>27.045554120156027</v>
      </c>
      <c r="R181" s="318">
        <f>'Detailed Avalerem Tables'!CF42</f>
        <v>28.023005311960389</v>
      </c>
      <c r="S181" s="318">
        <f>'Detailed Avalerem Tables'!CF91</f>
        <v>24.630034481391938</v>
      </c>
      <c r="T181" s="318">
        <f>'Detailed Avalerem Tables'!CF139</f>
        <v>32.794682535444778</v>
      </c>
      <c r="U181" s="318">
        <f>'Detailed Avalerem Tables'!CF187</f>
        <v>28.759415701321792</v>
      </c>
      <c r="V181" s="318">
        <f>'Detailed Avalerem Tables'!CF235</f>
        <v>27.307410186595547</v>
      </c>
      <c r="W181" s="318">
        <f>'Detailed Avalerem Tables'!DH42</f>
        <v>33.038366865649643</v>
      </c>
      <c r="X181" s="318">
        <f>'Detailed Avalerem Tables'!DH91</f>
        <v>24.160258594995035</v>
      </c>
      <c r="Y181" s="318">
        <f>'Detailed Avalerem Tables'!DH139</f>
        <v>27.27058538036394</v>
      </c>
      <c r="Z181" s="318">
        <f>'Detailed Avalerem Tables'!DH187</f>
        <v>27.716801408788918</v>
      </c>
      <c r="AA181" s="318">
        <f>'Detailed Avalerem Tables'!DH235</f>
        <v>27.473855850318969</v>
      </c>
      <c r="AB181" s="318">
        <f>'Detailed Avalerem Tables'!EJ42</f>
        <v>34.287715751305697</v>
      </c>
      <c r="AC181" s="318">
        <f>'Detailed Avalerem Tables'!EJ91</f>
        <v>29.246137095759224</v>
      </c>
      <c r="AD181" s="318">
        <f>'Detailed Avalerem Tables'!EJ139</f>
        <v>36.376959473052821</v>
      </c>
      <c r="AE181" s="318">
        <f>'Detailed Avalerem Tables'!EJ187</f>
        <v>35.050000000000004</v>
      </c>
      <c r="AF181" s="66">
        <f>'Detailed Avalerem Tables'!EJ235</f>
        <v>32.12350406751159</v>
      </c>
      <c r="AG181" s="214" t="s">
        <v>34</v>
      </c>
      <c r="AH181" s="251"/>
      <c r="AI181" s="252" t="str">
        <f>$AW$113</f>
        <v>Discover</v>
      </c>
      <c r="AJ181" s="253" t="s">
        <v>344</v>
      </c>
      <c r="AU181" s="148"/>
      <c r="AV181" s="148"/>
      <c r="BQ181" s="232"/>
    </row>
    <row r="182" spans="1:69" x14ac:dyDescent="0.2">
      <c r="A182" s="256">
        <v>42</v>
      </c>
      <c r="B182" s="510" t="str">
        <f>$AW$114</f>
        <v>Determine</v>
      </c>
      <c r="C182" s="315">
        <v>6</v>
      </c>
      <c r="D182" s="315">
        <v>5</v>
      </c>
      <c r="E182" s="215">
        <v>2</v>
      </c>
      <c r="F182" s="315" t="str">
        <f t="shared" si="2"/>
        <v>652</v>
      </c>
      <c r="G182" s="66">
        <f t="shared" si="1"/>
        <v>27.982311437835833</v>
      </c>
      <c r="H182" s="318">
        <f>'Detailed Avalerem Tables'!AB43</f>
        <v>25.05934429156169</v>
      </c>
      <c r="I182" s="318">
        <f>'Detailed Avalerem Tables'!AB92</f>
        <v>24.893846148583236</v>
      </c>
      <c r="J182" s="318">
        <f>'Detailed Avalerem Tables'!AB140</f>
        <v>25.327968795393716</v>
      </c>
      <c r="K182" s="318">
        <f>'Detailed Avalerem Tables'!AB188</f>
        <v>27.750661538245716</v>
      </c>
      <c r="L182" s="318">
        <f>'Detailed Avalerem Tables'!AB236</f>
        <v>25.700237779882052</v>
      </c>
      <c r="M182" s="318">
        <f>'Detailed Avalerem Tables'!BD43</f>
        <v>29.025691859435646</v>
      </c>
      <c r="N182" s="318">
        <f>'Detailed Avalerem Tables'!BD92</f>
        <v>28.728498735669561</v>
      </c>
      <c r="O182" s="318">
        <f>'Detailed Avalerem Tables'!BD140</f>
        <v>29.33507052839489</v>
      </c>
      <c r="P182" s="318">
        <f>'Detailed Avalerem Tables'!BD188</f>
        <v>30.2679837761094</v>
      </c>
      <c r="Q182" s="318">
        <f>'Detailed Avalerem Tables'!BD236</f>
        <v>25.628887453489362</v>
      </c>
      <c r="R182" s="318">
        <f>'Detailed Avalerem Tables'!CF43</f>
        <v>26.948378446288746</v>
      </c>
      <c r="S182" s="318">
        <f>'Detailed Avalerem Tables'!CF92</f>
        <v>23.580034481391941</v>
      </c>
      <c r="T182" s="318">
        <f>'Detailed Avalerem Tables'!CF140</f>
        <v>31.461349202111442</v>
      </c>
      <c r="U182" s="318">
        <f>'Detailed Avalerem Tables'!CF188</f>
        <v>27.359415701321794</v>
      </c>
      <c r="V182" s="318">
        <f>'Detailed Avalerem Tables'!CF236</f>
        <v>25.884333263518627</v>
      </c>
      <c r="W182" s="318">
        <f>'Detailed Avalerem Tables'!DH43</f>
        <v>30.90503353231631</v>
      </c>
      <c r="X182" s="318">
        <f>'Detailed Avalerem Tables'!DH92</f>
        <v>23.13248081721726</v>
      </c>
      <c r="Y182" s="318">
        <f>'Detailed Avalerem Tables'!DH140</f>
        <v>26.175347285125845</v>
      </c>
      <c r="Z182" s="318">
        <f>'Detailed Avalerem Tables'!DH188</f>
        <v>26.216801408788918</v>
      </c>
      <c r="AA182" s="318">
        <f>'Detailed Avalerem Tables'!DH236</f>
        <v>26.036355850318969</v>
      </c>
      <c r="AB182" s="318">
        <f>'Detailed Avalerem Tables'!EJ43</f>
        <v>32.818965751305697</v>
      </c>
      <c r="AC182" s="318">
        <f>'Detailed Avalerem Tables'!EJ92</f>
        <v>28.231431213406282</v>
      </c>
      <c r="AD182" s="318">
        <f>'Detailed Avalerem Tables'!EJ140</f>
        <v>34.901959473052827</v>
      </c>
      <c r="AE182" s="318">
        <f>'Detailed Avalerem Tables'!EJ188</f>
        <v>33.518750000000004</v>
      </c>
      <c r="AF182" s="66">
        <f>'Detailed Avalerem Tables'!EJ236</f>
        <v>30.668958612966136</v>
      </c>
      <c r="AG182" s="214" t="s">
        <v>34</v>
      </c>
      <c r="AH182" s="251"/>
      <c r="AI182" s="252" t="str">
        <f>$AW$114</f>
        <v>Determine</v>
      </c>
      <c r="AJ182" s="253" t="s">
        <v>344</v>
      </c>
      <c r="AU182" s="148"/>
      <c r="AV182" s="148"/>
      <c r="BQ182" s="232"/>
    </row>
    <row r="183" spans="1:69" x14ac:dyDescent="0.2">
      <c r="A183" s="256">
        <v>43</v>
      </c>
      <c r="B183" s="510" t="str">
        <f>$AW$115</f>
        <v>Promote</v>
      </c>
      <c r="C183" s="315">
        <v>7</v>
      </c>
      <c r="D183" s="315">
        <v>5</v>
      </c>
      <c r="E183" s="215">
        <v>2</v>
      </c>
      <c r="F183" s="315" t="str">
        <f t="shared" si="2"/>
        <v>752</v>
      </c>
      <c r="G183" s="66">
        <f t="shared" si="1"/>
        <v>27.982311437835833</v>
      </c>
      <c r="H183" s="318">
        <f>'Detailed Avalerem Tables'!AB44</f>
        <v>25.05934429156169</v>
      </c>
      <c r="I183" s="318">
        <f>'Detailed Avalerem Tables'!AB93</f>
        <v>24.893846148583236</v>
      </c>
      <c r="J183" s="318">
        <f>'Detailed Avalerem Tables'!AB141</f>
        <v>25.327968795393719</v>
      </c>
      <c r="K183" s="318">
        <f>'Detailed Avalerem Tables'!AB189</f>
        <v>27.750661538245723</v>
      </c>
      <c r="L183" s="318">
        <f>'Detailed Avalerem Tables'!AB237</f>
        <v>25.700237779882055</v>
      </c>
      <c r="M183" s="318">
        <f>'Detailed Avalerem Tables'!BD44</f>
        <v>29.025691859435646</v>
      </c>
      <c r="N183" s="318">
        <f>'Detailed Avalerem Tables'!BD93</f>
        <v>28.728498735669561</v>
      </c>
      <c r="O183" s="318">
        <f>'Detailed Avalerem Tables'!BD141</f>
        <v>29.33507052839489</v>
      </c>
      <c r="P183" s="318">
        <f>'Detailed Avalerem Tables'!BD189</f>
        <v>30.2679837761094</v>
      </c>
      <c r="Q183" s="318">
        <f>'Detailed Avalerem Tables'!BD237</f>
        <v>25.628887453489362</v>
      </c>
      <c r="R183" s="318">
        <f>'Detailed Avalerem Tables'!CF44</f>
        <v>26.948378446288746</v>
      </c>
      <c r="S183" s="318">
        <f>'Detailed Avalerem Tables'!CF93</f>
        <v>23.580034481391941</v>
      </c>
      <c r="T183" s="318">
        <f>'Detailed Avalerem Tables'!CF141</f>
        <v>31.461349202111442</v>
      </c>
      <c r="U183" s="318">
        <f>'Detailed Avalerem Tables'!CF189</f>
        <v>27.359415701321794</v>
      </c>
      <c r="V183" s="318">
        <f>'Detailed Avalerem Tables'!CF237</f>
        <v>25.884333263518627</v>
      </c>
      <c r="W183" s="318">
        <f>'Detailed Avalerem Tables'!DH44</f>
        <v>30.90503353231631</v>
      </c>
      <c r="X183" s="318">
        <f>'Detailed Avalerem Tables'!DH93</f>
        <v>23.13248081721726</v>
      </c>
      <c r="Y183" s="318">
        <f>'Detailed Avalerem Tables'!DH141</f>
        <v>26.175347285125845</v>
      </c>
      <c r="Z183" s="318">
        <f>'Detailed Avalerem Tables'!DH189</f>
        <v>26.216801408788918</v>
      </c>
      <c r="AA183" s="318">
        <f>'Detailed Avalerem Tables'!DH237</f>
        <v>26.036355850318969</v>
      </c>
      <c r="AB183" s="318">
        <f>'Detailed Avalerem Tables'!EJ44</f>
        <v>32.818965751305697</v>
      </c>
      <c r="AC183" s="318">
        <f>'Detailed Avalerem Tables'!EJ93</f>
        <v>28.231431213406282</v>
      </c>
      <c r="AD183" s="318">
        <f>'Detailed Avalerem Tables'!EJ141</f>
        <v>34.901959473052827</v>
      </c>
      <c r="AE183" s="318">
        <f>'Detailed Avalerem Tables'!EJ189</f>
        <v>33.518749999999997</v>
      </c>
      <c r="AF183" s="66">
        <f>'Detailed Avalerem Tables'!EJ237</f>
        <v>30.668958612966136</v>
      </c>
      <c r="AG183" s="214" t="s">
        <v>34</v>
      </c>
      <c r="AH183" s="251"/>
      <c r="AI183" s="252" t="str">
        <f>$AW$115</f>
        <v>Promote</v>
      </c>
      <c r="AJ183" s="253" t="s">
        <v>344</v>
      </c>
      <c r="AU183" s="148"/>
      <c r="AV183" s="148"/>
      <c r="BQ183" s="232"/>
    </row>
    <row r="184" spans="1:69" x14ac:dyDescent="0.2">
      <c r="A184" s="256">
        <v>44</v>
      </c>
      <c r="B184" s="510" t="str">
        <f>$AW$116</f>
        <v>Clean</v>
      </c>
      <c r="C184" s="315">
        <v>8</v>
      </c>
      <c r="D184" s="315">
        <v>5</v>
      </c>
      <c r="E184" s="215">
        <v>2</v>
      </c>
      <c r="F184" s="315" t="str">
        <f t="shared" si="2"/>
        <v>852</v>
      </c>
      <c r="G184" s="66">
        <f t="shared" si="1"/>
        <v>29.303635221686054</v>
      </c>
      <c r="H184" s="318">
        <f>'Detailed Avalerem Tables'!AB45</f>
        <v>26.36123108401452</v>
      </c>
      <c r="I184" s="318">
        <f>'Detailed Avalerem Tables'!AB94</f>
        <v>25.998323760523537</v>
      </c>
      <c r="J184" s="318">
        <f>'Detailed Avalerem Tables'!AB142</f>
        <v>26.387492604917526</v>
      </c>
      <c r="K184" s="318">
        <f>'Detailed Avalerem Tables'!AB190</f>
        <v>28.924574581723981</v>
      </c>
      <c r="L184" s="318">
        <f>'Detailed Avalerem Tables'!AB238</f>
        <v>27.090862779882055</v>
      </c>
      <c r="M184" s="318">
        <f>'Detailed Avalerem Tables'!BD45</f>
        <v>30.197120430864217</v>
      </c>
      <c r="N184" s="318">
        <f>'Detailed Avalerem Tables'!BD94</f>
        <v>30.039609846780671</v>
      </c>
      <c r="O184" s="318">
        <f>'Detailed Avalerem Tables'!BD142</f>
        <v>30.69507052839489</v>
      </c>
      <c r="P184" s="318">
        <f>'Detailed Avalerem Tables'!BD190</f>
        <v>31.592308100433726</v>
      </c>
      <c r="Q184" s="318">
        <f>'Detailed Avalerem Tables'!BD238</f>
        <v>27.045554120156027</v>
      </c>
      <c r="R184" s="318">
        <f>'Detailed Avalerem Tables'!CF45</f>
        <v>28.023005311960389</v>
      </c>
      <c r="S184" s="318">
        <f>'Detailed Avalerem Tables'!CF94</f>
        <v>24.630034481391938</v>
      </c>
      <c r="T184" s="318">
        <f>'Detailed Avalerem Tables'!CF142</f>
        <v>32.794682535444778</v>
      </c>
      <c r="U184" s="318">
        <f>'Detailed Avalerem Tables'!CF190</f>
        <v>28.759415701321792</v>
      </c>
      <c r="V184" s="318">
        <f>'Detailed Avalerem Tables'!CF238</f>
        <v>27.307410186595547</v>
      </c>
      <c r="W184" s="318">
        <f>'Detailed Avalerem Tables'!DH45</f>
        <v>33.038366865649643</v>
      </c>
      <c r="X184" s="318">
        <f>'Detailed Avalerem Tables'!DH94</f>
        <v>24.160258594995035</v>
      </c>
      <c r="Y184" s="318">
        <f>'Detailed Avalerem Tables'!DH142</f>
        <v>27.27058538036394</v>
      </c>
      <c r="Z184" s="318">
        <f>'Detailed Avalerem Tables'!DH190</f>
        <v>27.716801408788918</v>
      </c>
      <c r="AA184" s="318">
        <f>'Detailed Avalerem Tables'!DH238</f>
        <v>27.473855850318966</v>
      </c>
      <c r="AB184" s="318">
        <f>'Detailed Avalerem Tables'!EJ45</f>
        <v>34.287715751305697</v>
      </c>
      <c r="AC184" s="318">
        <f>'Detailed Avalerem Tables'!EJ94</f>
        <v>29.246137095759224</v>
      </c>
      <c r="AD184" s="318">
        <f>'Detailed Avalerem Tables'!EJ142</f>
        <v>36.376959473052821</v>
      </c>
      <c r="AE184" s="318">
        <f>'Detailed Avalerem Tables'!EJ190</f>
        <v>35.049999999999997</v>
      </c>
      <c r="AF184" s="66">
        <f>'Detailed Avalerem Tables'!EJ238</f>
        <v>32.12350406751159</v>
      </c>
      <c r="AG184" s="214" t="s">
        <v>34</v>
      </c>
      <c r="AH184" s="251"/>
      <c r="AI184" s="252" t="str">
        <f>$AW$116</f>
        <v>Clean</v>
      </c>
      <c r="AJ184" s="253" t="s">
        <v>344</v>
      </c>
      <c r="AU184" s="148"/>
      <c r="AV184" s="148"/>
      <c r="BQ184" s="232"/>
    </row>
    <row r="185" spans="1:69" x14ac:dyDescent="0.2">
      <c r="A185" s="256">
        <v>45</v>
      </c>
      <c r="B185" s="510" t="str">
        <f>$AW$117</f>
        <v>Suggest</v>
      </c>
      <c r="C185" s="315">
        <v>9</v>
      </c>
      <c r="D185" s="315">
        <v>5</v>
      </c>
      <c r="E185" s="215">
        <v>2</v>
      </c>
      <c r="F185" s="315" t="str">
        <f t="shared" si="2"/>
        <v>952</v>
      </c>
      <c r="G185" s="66">
        <f t="shared" si="1"/>
        <v>30.624959005536269</v>
      </c>
      <c r="H185" s="318">
        <f>'Detailed Avalerem Tables'!AB46</f>
        <v>27.663117876467354</v>
      </c>
      <c r="I185" s="318">
        <f>'Detailed Avalerem Tables'!AB95</f>
        <v>27.102801372463837</v>
      </c>
      <c r="J185" s="318">
        <f>'Detailed Avalerem Tables'!AB143</f>
        <v>27.447016414441336</v>
      </c>
      <c r="K185" s="318">
        <f>'Detailed Avalerem Tables'!AB191</f>
        <v>30.098487625202242</v>
      </c>
      <c r="L185" s="318">
        <f>'Detailed Avalerem Tables'!AB239</f>
        <v>28.481487779882055</v>
      </c>
      <c r="M185" s="318">
        <f>'Detailed Avalerem Tables'!BD46</f>
        <v>31.368549002292788</v>
      </c>
      <c r="N185" s="318">
        <f>'Detailed Avalerem Tables'!BD95</f>
        <v>31.350720957891784</v>
      </c>
      <c r="O185" s="318">
        <f>'Detailed Avalerem Tables'!BD143</f>
        <v>32.055070528394893</v>
      </c>
      <c r="P185" s="318">
        <f>'Detailed Avalerem Tables'!BD191</f>
        <v>32.916632424758049</v>
      </c>
      <c r="Q185" s="318">
        <f>'Detailed Avalerem Tables'!BD239</f>
        <v>28.462220786822694</v>
      </c>
      <c r="R185" s="318">
        <f>'Detailed Avalerem Tables'!CF46</f>
        <v>29.097632177632036</v>
      </c>
      <c r="S185" s="318">
        <f>'Detailed Avalerem Tables'!CF95</f>
        <v>25.680034481391942</v>
      </c>
      <c r="T185" s="318">
        <f>'Detailed Avalerem Tables'!CF143</f>
        <v>34.128015868778107</v>
      </c>
      <c r="U185" s="318">
        <f>'Detailed Avalerem Tables'!CF191</f>
        <v>30.159415701321791</v>
      </c>
      <c r="V185" s="318">
        <f>'Detailed Avalerem Tables'!CF239</f>
        <v>28.730487109672474</v>
      </c>
      <c r="W185" s="318">
        <f>'Detailed Avalerem Tables'!DH46</f>
        <v>35.171700198982975</v>
      </c>
      <c r="X185" s="318">
        <f>'Detailed Avalerem Tables'!DH95</f>
        <v>25.188036372772817</v>
      </c>
      <c r="Y185" s="318">
        <f>'Detailed Avalerem Tables'!DH143</f>
        <v>28.365823475602042</v>
      </c>
      <c r="Z185" s="318">
        <f>'Detailed Avalerem Tables'!DH191</f>
        <v>29.216801408788925</v>
      </c>
      <c r="AA185" s="318">
        <f>'Detailed Avalerem Tables'!DH239</f>
        <v>28.911355850318966</v>
      </c>
      <c r="AB185" s="318">
        <f>'Detailed Avalerem Tables'!EJ46</f>
        <v>35.756465751305697</v>
      </c>
      <c r="AC185" s="318">
        <f>'Detailed Avalerem Tables'!EJ95</f>
        <v>30.260842978112166</v>
      </c>
      <c r="AD185" s="318">
        <f>'Detailed Avalerem Tables'!EJ143</f>
        <v>37.851959473052823</v>
      </c>
      <c r="AE185" s="318">
        <f>'Detailed Avalerem Tables'!EJ191</f>
        <v>36.581250000000004</v>
      </c>
      <c r="AF185" s="66">
        <f>'Detailed Avalerem Tables'!EJ239</f>
        <v>33.578049522057043</v>
      </c>
      <c r="AG185" s="214" t="s">
        <v>34</v>
      </c>
      <c r="AH185" s="251"/>
      <c r="AI185" s="252" t="str">
        <f>$AW$117</f>
        <v>Suggest</v>
      </c>
      <c r="AJ185" s="253" t="s">
        <v>344</v>
      </c>
      <c r="AU185" s="148"/>
      <c r="AV185" s="148"/>
      <c r="BQ185" s="232"/>
    </row>
    <row r="186" spans="1:69" x14ac:dyDescent="0.2">
      <c r="A186" s="256">
        <v>46</v>
      </c>
      <c r="B186" s="510" t="str">
        <f>$AW$118</f>
        <v>Uncover</v>
      </c>
      <c r="C186" s="315">
        <v>10</v>
      </c>
      <c r="D186" s="315">
        <v>5</v>
      </c>
      <c r="E186" s="215">
        <v>2</v>
      </c>
      <c r="F186" s="315" t="str">
        <f t="shared" si="2"/>
        <v>1052</v>
      </c>
      <c r="G186" s="66">
        <f t="shared" si="1"/>
        <v>30.624959005536269</v>
      </c>
      <c r="H186" s="318">
        <f>'Detailed Avalerem Tables'!AB47</f>
        <v>27.663117876467354</v>
      </c>
      <c r="I186" s="318">
        <f>'Detailed Avalerem Tables'!AB96</f>
        <v>27.102801372463837</v>
      </c>
      <c r="J186" s="318">
        <f>'Detailed Avalerem Tables'!AB144</f>
        <v>27.447016414441336</v>
      </c>
      <c r="K186" s="318">
        <f>'Detailed Avalerem Tables'!AB192</f>
        <v>30.098487625202242</v>
      </c>
      <c r="L186" s="318">
        <f>'Detailed Avalerem Tables'!AB240</f>
        <v>28.481487779882055</v>
      </c>
      <c r="M186" s="318">
        <f>'Detailed Avalerem Tables'!BD47</f>
        <v>31.368549002292781</v>
      </c>
      <c r="N186" s="318">
        <f>'Detailed Avalerem Tables'!BD96</f>
        <v>31.350720957891784</v>
      </c>
      <c r="O186" s="318">
        <f>'Detailed Avalerem Tables'!BD144</f>
        <v>32.055070528394893</v>
      </c>
      <c r="P186" s="318">
        <f>'Detailed Avalerem Tables'!BD192</f>
        <v>32.916632424758049</v>
      </c>
      <c r="Q186" s="318">
        <f>'Detailed Avalerem Tables'!BD240</f>
        <v>28.462220786822694</v>
      </c>
      <c r="R186" s="318">
        <f>'Detailed Avalerem Tables'!CF47</f>
        <v>29.097632177632029</v>
      </c>
      <c r="S186" s="318">
        <f>'Detailed Avalerem Tables'!CF96</f>
        <v>25.680034481391942</v>
      </c>
      <c r="T186" s="318">
        <f>'Detailed Avalerem Tables'!CF144</f>
        <v>34.128015868778107</v>
      </c>
      <c r="U186" s="318">
        <f>'Detailed Avalerem Tables'!CF192</f>
        <v>30.159415701321791</v>
      </c>
      <c r="V186" s="318">
        <f>'Detailed Avalerem Tables'!CF240</f>
        <v>28.730487109672474</v>
      </c>
      <c r="W186" s="318">
        <f>'Detailed Avalerem Tables'!DH47</f>
        <v>35.171700198982975</v>
      </c>
      <c r="X186" s="318">
        <f>'Detailed Avalerem Tables'!DH96</f>
        <v>25.188036372772814</v>
      </c>
      <c r="Y186" s="318">
        <f>'Detailed Avalerem Tables'!DH144</f>
        <v>28.365823475602035</v>
      </c>
      <c r="Z186" s="318">
        <f>'Detailed Avalerem Tables'!DH192</f>
        <v>29.216801408788918</v>
      </c>
      <c r="AA186" s="318">
        <f>'Detailed Avalerem Tables'!DH240</f>
        <v>28.911355850318969</v>
      </c>
      <c r="AB186" s="318">
        <f>'Detailed Avalerem Tables'!EJ47</f>
        <v>35.756465751305697</v>
      </c>
      <c r="AC186" s="318">
        <f>'Detailed Avalerem Tables'!EJ96</f>
        <v>30.260842978112166</v>
      </c>
      <c r="AD186" s="318">
        <f>'Detailed Avalerem Tables'!EJ144</f>
        <v>37.851959473052823</v>
      </c>
      <c r="AE186" s="318">
        <f>'Detailed Avalerem Tables'!EJ192</f>
        <v>36.581250000000004</v>
      </c>
      <c r="AF186" s="66">
        <f>'Detailed Avalerem Tables'!EJ240</f>
        <v>33.578049522057043</v>
      </c>
      <c r="AG186" s="214" t="s">
        <v>34</v>
      </c>
      <c r="AH186" s="251"/>
      <c r="AI186" s="252" t="str">
        <f>$AW$118</f>
        <v>Uncover</v>
      </c>
      <c r="AJ186" s="253" t="s">
        <v>344</v>
      </c>
      <c r="AU186" s="148"/>
      <c r="AV186" s="148"/>
      <c r="BQ186" s="232"/>
    </row>
    <row r="187" spans="1:69" x14ac:dyDescent="0.2">
      <c r="A187" s="256">
        <v>47</v>
      </c>
      <c r="B187" s="510" t="str">
        <f>$AW$119</f>
        <v>Teach</v>
      </c>
      <c r="C187" s="315">
        <v>11</v>
      </c>
      <c r="D187" s="315">
        <v>5</v>
      </c>
      <c r="E187" s="215">
        <v>2</v>
      </c>
      <c r="F187" s="315" t="str">
        <f t="shared" si="2"/>
        <v>1152</v>
      </c>
      <c r="G187" s="66">
        <f t="shared" si="1"/>
        <v>29.303635221686054</v>
      </c>
      <c r="H187" s="318">
        <f>'Detailed Avalerem Tables'!AB48</f>
        <v>26.36123108401452</v>
      </c>
      <c r="I187" s="318">
        <f>'Detailed Avalerem Tables'!AB97</f>
        <v>25.998323760523533</v>
      </c>
      <c r="J187" s="318">
        <f>'Detailed Avalerem Tables'!AB145</f>
        <v>26.387492604917526</v>
      </c>
      <c r="K187" s="318">
        <f>'Detailed Avalerem Tables'!AB193</f>
        <v>28.924574581723984</v>
      </c>
      <c r="L187" s="318">
        <f>'Detailed Avalerem Tables'!AB241</f>
        <v>27.090862779882052</v>
      </c>
      <c r="M187" s="318">
        <f>'Detailed Avalerem Tables'!BD48</f>
        <v>30.19712043086421</v>
      </c>
      <c r="N187" s="318">
        <f>'Detailed Avalerem Tables'!BD97</f>
        <v>30.039609846780671</v>
      </c>
      <c r="O187" s="318">
        <f>'Detailed Avalerem Tables'!BD145</f>
        <v>30.695070528394886</v>
      </c>
      <c r="P187" s="318">
        <f>'Detailed Avalerem Tables'!BD193</f>
        <v>31.592308100433726</v>
      </c>
      <c r="Q187" s="318">
        <f>'Detailed Avalerem Tables'!BD241</f>
        <v>27.045554120156027</v>
      </c>
      <c r="R187" s="318">
        <f>'Detailed Avalerem Tables'!CF48</f>
        <v>28.023005311960389</v>
      </c>
      <c r="S187" s="318">
        <f>'Detailed Avalerem Tables'!CF97</f>
        <v>24.630034481391938</v>
      </c>
      <c r="T187" s="318">
        <f>'Detailed Avalerem Tables'!CF145</f>
        <v>32.794682535444778</v>
      </c>
      <c r="U187" s="318">
        <f>'Detailed Avalerem Tables'!CF193</f>
        <v>28.759415701321792</v>
      </c>
      <c r="V187" s="318">
        <f>'Detailed Avalerem Tables'!CF241</f>
        <v>27.307410186595547</v>
      </c>
      <c r="W187" s="318">
        <f>'Detailed Avalerem Tables'!DH48</f>
        <v>33.038366865649643</v>
      </c>
      <c r="X187" s="318">
        <f>'Detailed Avalerem Tables'!DH97</f>
        <v>24.160258594995035</v>
      </c>
      <c r="Y187" s="318">
        <f>'Detailed Avalerem Tables'!DH145</f>
        <v>27.27058538036394</v>
      </c>
      <c r="Z187" s="318">
        <f>'Detailed Avalerem Tables'!DH193</f>
        <v>27.716801408788918</v>
      </c>
      <c r="AA187" s="318">
        <f>'Detailed Avalerem Tables'!DH241</f>
        <v>27.473855850318969</v>
      </c>
      <c r="AB187" s="318">
        <f>'Detailed Avalerem Tables'!EJ48</f>
        <v>34.287715751305697</v>
      </c>
      <c r="AC187" s="318">
        <f>'Detailed Avalerem Tables'!EJ97</f>
        <v>29.246137095759224</v>
      </c>
      <c r="AD187" s="318">
        <f>'Detailed Avalerem Tables'!EJ145</f>
        <v>36.376959473052821</v>
      </c>
      <c r="AE187" s="318">
        <f>'Detailed Avalerem Tables'!EJ193</f>
        <v>35.050000000000004</v>
      </c>
      <c r="AF187" s="66">
        <f>'Detailed Avalerem Tables'!EJ241</f>
        <v>32.12350406751159</v>
      </c>
      <c r="AG187" s="214" t="s">
        <v>34</v>
      </c>
      <c r="AH187" s="251"/>
      <c r="AI187" s="252" t="str">
        <f>$AW$119</f>
        <v>Teach</v>
      </c>
      <c r="AJ187" s="253" t="s">
        <v>344</v>
      </c>
      <c r="AU187" s="148"/>
      <c r="AV187" s="148"/>
      <c r="BQ187" s="232"/>
    </row>
    <row r="188" spans="1:69" x14ac:dyDescent="0.2">
      <c r="A188" s="256">
        <v>48</v>
      </c>
      <c r="B188" s="510" t="str">
        <f>$AW$120</f>
        <v>Execute</v>
      </c>
      <c r="C188" s="315">
        <v>12</v>
      </c>
      <c r="D188" s="315">
        <v>5</v>
      </c>
      <c r="E188" s="215">
        <v>2</v>
      </c>
      <c r="F188" s="315" t="str">
        <f t="shared" si="2"/>
        <v>1252</v>
      </c>
      <c r="G188" s="66">
        <f t="shared" si="1"/>
        <v>27.982311437835833</v>
      </c>
      <c r="H188" s="318">
        <f>'Detailed Avalerem Tables'!AB49</f>
        <v>25.05934429156169</v>
      </c>
      <c r="I188" s="318">
        <f>'Detailed Avalerem Tables'!AB98</f>
        <v>24.893846148583236</v>
      </c>
      <c r="J188" s="318">
        <f>'Detailed Avalerem Tables'!AB146</f>
        <v>25.327968795393716</v>
      </c>
      <c r="K188" s="318">
        <f>'Detailed Avalerem Tables'!AB194</f>
        <v>27.750661538245716</v>
      </c>
      <c r="L188" s="318">
        <f>'Detailed Avalerem Tables'!AB242</f>
        <v>25.700237779882052</v>
      </c>
      <c r="M188" s="318">
        <f>'Detailed Avalerem Tables'!BD49</f>
        <v>29.025691859435646</v>
      </c>
      <c r="N188" s="318">
        <f>'Detailed Avalerem Tables'!BD98</f>
        <v>28.728498735669561</v>
      </c>
      <c r="O188" s="318">
        <f>'Detailed Avalerem Tables'!BD146</f>
        <v>29.33507052839489</v>
      </c>
      <c r="P188" s="318">
        <f>'Detailed Avalerem Tables'!BD194</f>
        <v>30.2679837761094</v>
      </c>
      <c r="Q188" s="318">
        <f>'Detailed Avalerem Tables'!BD242</f>
        <v>25.628887453489362</v>
      </c>
      <c r="R188" s="318">
        <f>'Detailed Avalerem Tables'!CF49</f>
        <v>26.948378446288746</v>
      </c>
      <c r="S188" s="318">
        <f>'Detailed Avalerem Tables'!CF98</f>
        <v>23.580034481391941</v>
      </c>
      <c r="T188" s="318">
        <f>'Detailed Avalerem Tables'!CF146</f>
        <v>31.461349202111442</v>
      </c>
      <c r="U188" s="318">
        <f>'Detailed Avalerem Tables'!CF194</f>
        <v>27.359415701321794</v>
      </c>
      <c r="V188" s="318">
        <f>'Detailed Avalerem Tables'!CF242</f>
        <v>25.884333263518627</v>
      </c>
      <c r="W188" s="318">
        <f>'Detailed Avalerem Tables'!DH49</f>
        <v>30.90503353231631</v>
      </c>
      <c r="X188" s="318">
        <f>'Detailed Avalerem Tables'!DH98</f>
        <v>23.13248081721726</v>
      </c>
      <c r="Y188" s="318">
        <f>'Detailed Avalerem Tables'!DH146</f>
        <v>26.175347285125845</v>
      </c>
      <c r="Z188" s="318">
        <f>'Detailed Avalerem Tables'!DH194</f>
        <v>26.216801408788918</v>
      </c>
      <c r="AA188" s="318">
        <f>'Detailed Avalerem Tables'!DH242</f>
        <v>26.036355850318969</v>
      </c>
      <c r="AB188" s="318">
        <f>'Detailed Avalerem Tables'!EJ49</f>
        <v>32.818965751305697</v>
      </c>
      <c r="AC188" s="318">
        <f>'Detailed Avalerem Tables'!EJ98</f>
        <v>28.231431213406282</v>
      </c>
      <c r="AD188" s="318">
        <f>'Detailed Avalerem Tables'!EJ146</f>
        <v>34.901959473052827</v>
      </c>
      <c r="AE188" s="318">
        <f>'Detailed Avalerem Tables'!EJ194</f>
        <v>33.518750000000004</v>
      </c>
      <c r="AF188" s="66">
        <f>'Detailed Avalerem Tables'!EJ242</f>
        <v>30.668958612966136</v>
      </c>
      <c r="AG188" s="214" t="s">
        <v>34</v>
      </c>
      <c r="AH188" s="251"/>
      <c r="AI188" s="252" t="str">
        <f>$AW$120</f>
        <v>Execute</v>
      </c>
      <c r="AJ188" s="253" t="s">
        <v>344</v>
      </c>
      <c r="AU188" s="148"/>
      <c r="AV188" s="148"/>
      <c r="BQ188" s="232"/>
    </row>
    <row r="189" spans="1:69" x14ac:dyDescent="0.2">
      <c r="A189" s="256">
        <v>49</v>
      </c>
      <c r="B189" s="511" t="str">
        <f>$AK$109</f>
        <v>Approve</v>
      </c>
      <c r="C189" s="314">
        <v>1</v>
      </c>
      <c r="D189" s="314">
        <v>4</v>
      </c>
      <c r="E189" s="304">
        <v>1</v>
      </c>
      <c r="F189" s="314" t="str">
        <f>_xlfn.CONCAT(C189,D189,E189)</f>
        <v>141</v>
      </c>
      <c r="G189" s="323">
        <f t="shared" si="1"/>
        <v>12.628678446683899</v>
      </c>
      <c r="H189" s="320">
        <f>'Detailed Avalerem Tables'!AA23</f>
        <v>8.3129432624113466</v>
      </c>
      <c r="I189" s="320">
        <f>'Detailed Avalerem Tables'!AA72</f>
        <v>8.3878205128205128</v>
      </c>
      <c r="J189" s="320">
        <f>'Detailed Avalerem Tables'!AA120</f>
        <v>8.6074561403508767</v>
      </c>
      <c r="K189" s="320">
        <f>'Detailed Avalerem Tables'!AA168</f>
        <v>8.5029342723004682</v>
      </c>
      <c r="L189" s="320">
        <f>'Detailed Avalerem Tables'!AA216</f>
        <v>8.4059523809523835</v>
      </c>
      <c r="M189" s="320">
        <f>'Detailed Avalerem Tables'!BC23</f>
        <v>12.387557077625573</v>
      </c>
      <c r="N189" s="320">
        <f>'Detailed Avalerem Tables'!BC72</f>
        <v>12.164393939393939</v>
      </c>
      <c r="O189" s="320">
        <f>'Detailed Avalerem Tables'!BC120</f>
        <v>11.470771144278604</v>
      </c>
      <c r="P189" s="320">
        <f>'Detailed Avalerem Tables'!BC168</f>
        <v>12.51747311827957</v>
      </c>
      <c r="Q189" s="320">
        <f>'Detailed Avalerem Tables'!BC216</f>
        <v>11.439814814814813</v>
      </c>
      <c r="R189" s="320">
        <f>'Detailed Avalerem Tables'!CE23</f>
        <v>9.663095238095238</v>
      </c>
      <c r="S189" s="320">
        <f>'Detailed Avalerem Tables'!CE72</f>
        <v>9.3532051282051292</v>
      </c>
      <c r="T189" s="320">
        <f>'Detailed Avalerem Tables'!CE120</f>
        <v>9.4916666666666671</v>
      </c>
      <c r="U189" s="320">
        <f>'Detailed Avalerem Tables'!CE168</f>
        <v>9.4916666666666671</v>
      </c>
      <c r="V189" s="320">
        <f>'Detailed Avalerem Tables'!CE216</f>
        <v>9.3190639269406397</v>
      </c>
      <c r="W189" s="320">
        <f>'Detailed Avalerem Tables'!DG23</f>
        <v>19.942829457364343</v>
      </c>
      <c r="X189" s="320">
        <f>'Detailed Avalerem Tables'!DG72</f>
        <v>18.80043859649123</v>
      </c>
      <c r="Y189" s="320">
        <f>'Detailed Avalerem Tables'!DG120</f>
        <v>18.928030303030305</v>
      </c>
      <c r="Z189" s="320">
        <f>'Detailed Avalerem Tables'!DG168</f>
        <v>20.847222222222221</v>
      </c>
      <c r="AA189" s="320">
        <f>'Detailed Avalerem Tables'!DG216</f>
        <v>18.190217391304348</v>
      </c>
      <c r="AB189" s="320">
        <f>'Detailed Avalerem Tables'!EI23</f>
        <v>14.208333333333332</v>
      </c>
      <c r="AC189" s="320">
        <f>'Detailed Avalerem Tables'!EI72</f>
        <v>13.830128205128204</v>
      </c>
      <c r="AD189" s="320">
        <f>'Detailed Avalerem Tables'!EI120</f>
        <v>13.432017543859651</v>
      </c>
      <c r="AE189" s="320">
        <f>'Detailed Avalerem Tables'!EI168</f>
        <v>14.396929824561402</v>
      </c>
      <c r="AF189" s="323">
        <f>'Detailed Avalerem Tables'!EI216</f>
        <v>13.625</v>
      </c>
      <c r="AG189" s="237" t="s">
        <v>33</v>
      </c>
      <c r="AH189" s="269"/>
      <c r="AI189" s="270" t="str">
        <f>$AK$109</f>
        <v>Approve</v>
      </c>
      <c r="AJ189" s="271" t="s">
        <v>379</v>
      </c>
      <c r="AU189" s="148"/>
      <c r="AV189" s="148"/>
      <c r="BQ189" s="232"/>
    </row>
    <row r="190" spans="1:69" x14ac:dyDescent="0.2">
      <c r="A190" s="256">
        <v>50</v>
      </c>
      <c r="B190" s="511" t="str">
        <f>$AK$110</f>
        <v>Analyze</v>
      </c>
      <c r="C190" s="314">
        <v>2</v>
      </c>
      <c r="D190" s="314">
        <v>4</v>
      </c>
      <c r="E190" s="304">
        <v>1</v>
      </c>
      <c r="F190" s="314" t="str">
        <f t="shared" ref="F190:F212" si="3">_xlfn.CONCAT(C190,D190,E190)</f>
        <v>241</v>
      </c>
      <c r="G190" s="323">
        <f t="shared" si="1"/>
        <v>14.818997221199174</v>
      </c>
      <c r="H190" s="320">
        <f>'Detailed Avalerem Tables'!AA24</f>
        <v>12.418439716312056</v>
      </c>
      <c r="I190" s="320">
        <f>'Detailed Avalerem Tables'!AA73</f>
        <v>12.717948717948719</v>
      </c>
      <c r="J190" s="320">
        <f>'Detailed Avalerem Tables'!AA121</f>
        <v>13.596491228070175</v>
      </c>
      <c r="K190" s="320">
        <f>'Detailed Avalerem Tables'!AA169</f>
        <v>13.178403755868544</v>
      </c>
      <c r="L190" s="320">
        <f>'Detailed Avalerem Tables'!AA217</f>
        <v>12.790476190476191</v>
      </c>
      <c r="M190" s="320">
        <f>'Detailed Avalerem Tables'!BC24</f>
        <v>10.881278538812786</v>
      </c>
      <c r="N190" s="320">
        <f>'Detailed Avalerem Tables'!BC73</f>
        <v>10.769696969696968</v>
      </c>
      <c r="O190" s="320">
        <f>'Detailed Avalerem Tables'!BC121</f>
        <v>10.422885572139302</v>
      </c>
      <c r="P190" s="320">
        <f>'Detailed Avalerem Tables'!BC169</f>
        <v>10.946236559139786</v>
      </c>
      <c r="Q190" s="320">
        <f>'Detailed Avalerem Tables'!BC217</f>
        <v>10.407407407407407</v>
      </c>
      <c r="R190" s="320">
        <f>'Detailed Avalerem Tables'!CE24</f>
        <v>17.819047619047616</v>
      </c>
      <c r="S190" s="320">
        <f>'Detailed Avalerem Tables'!CE73</f>
        <v>16.579487179487177</v>
      </c>
      <c r="T190" s="320">
        <f>'Detailed Avalerem Tables'!CE121</f>
        <v>17.133333333333333</v>
      </c>
      <c r="U190" s="320">
        <f>'Detailed Avalerem Tables'!CE169</f>
        <v>17.133333333333333</v>
      </c>
      <c r="V190" s="320">
        <f>'Detailed Avalerem Tables'!CE217</f>
        <v>16.442922374429223</v>
      </c>
      <c r="W190" s="320">
        <f>'Detailed Avalerem Tables'!DG24</f>
        <v>16.240310077519378</v>
      </c>
      <c r="X190" s="320">
        <f>'Detailed Avalerem Tables'!DG73</f>
        <v>15.526315789473685</v>
      </c>
      <c r="Y190" s="320">
        <f>'Detailed Avalerem Tables'!DG121</f>
        <v>15.606060606060606</v>
      </c>
      <c r="Z190" s="320">
        <f>'Detailed Avalerem Tables'!DG169</f>
        <v>16.805555555555557</v>
      </c>
      <c r="AA190" s="320">
        <f>'Detailed Avalerem Tables'!DG217</f>
        <v>15.144927536231883</v>
      </c>
      <c r="AB190" s="320">
        <f>'Detailed Avalerem Tables'!EI24</f>
        <v>18.016666666666666</v>
      </c>
      <c r="AC190" s="320">
        <f>'Detailed Avalerem Tables'!EI73</f>
        <v>17.487179487179489</v>
      </c>
      <c r="AD190" s="320">
        <f>'Detailed Avalerem Tables'!EI121</f>
        <v>16.929824561403507</v>
      </c>
      <c r="AE190" s="320">
        <f>'Detailed Avalerem Tables'!EI169</f>
        <v>18.280701754385966</v>
      </c>
      <c r="AF190" s="323">
        <f>'Detailed Avalerem Tables'!EI217</f>
        <v>17.2</v>
      </c>
      <c r="AG190" s="237" t="s">
        <v>33</v>
      </c>
      <c r="AH190" s="269"/>
      <c r="AI190" s="270" t="str">
        <f>$AK$110</f>
        <v>Analyze</v>
      </c>
      <c r="AJ190" s="271" t="s">
        <v>379</v>
      </c>
      <c r="AU190" s="148"/>
      <c r="AV190" s="148"/>
      <c r="BQ190" s="232"/>
    </row>
    <row r="191" spans="1:69" x14ac:dyDescent="0.2">
      <c r="A191" s="256">
        <v>51</v>
      </c>
      <c r="B191" s="511" t="str">
        <f>$AK$111</f>
        <v>Participate</v>
      </c>
      <c r="C191" s="314">
        <v>3</v>
      </c>
      <c r="D191" s="314">
        <v>4</v>
      </c>
      <c r="E191" s="304">
        <v>1</v>
      </c>
      <c r="F191" s="314" t="str">
        <f t="shared" si="3"/>
        <v>341</v>
      </c>
      <c r="G191" s="323">
        <f t="shared" si="1"/>
        <v>15.176509195935175</v>
      </c>
      <c r="H191" s="320">
        <f>'Detailed Avalerem Tables'!AA25</f>
        <v>11.417553191489361</v>
      </c>
      <c r="I191" s="320">
        <f>'Detailed Avalerem Tables'!AA74</f>
        <v>11.567307692307693</v>
      </c>
      <c r="J191" s="320">
        <f>'Detailed Avalerem Tables'!AA122</f>
        <v>12.006578947368418</v>
      </c>
      <c r="K191" s="320">
        <f>'Detailed Avalerem Tables'!AA170</f>
        <v>11.797535211267606</v>
      </c>
      <c r="L191" s="320">
        <f>'Detailed Avalerem Tables'!AA218</f>
        <v>11.603571428571431</v>
      </c>
      <c r="M191" s="320">
        <f>'Detailed Avalerem Tables'!BC25</f>
        <v>19.56678082191781</v>
      </c>
      <c r="N191" s="320">
        <f>'Detailed Avalerem Tables'!BC74</f>
        <v>19.120454545454542</v>
      </c>
      <c r="O191" s="320">
        <f>'Detailed Avalerem Tables'!BC122</f>
        <v>17.73320895522388</v>
      </c>
      <c r="P191" s="320">
        <f>'Detailed Avalerem Tables'!BC170</f>
        <v>19.826612903225808</v>
      </c>
      <c r="Q191" s="320">
        <f>'Detailed Avalerem Tables'!BC218</f>
        <v>17.671296296296294</v>
      </c>
      <c r="R191" s="320">
        <f>'Detailed Avalerem Tables'!CE25</f>
        <v>15.303571428571431</v>
      </c>
      <c r="S191" s="320">
        <f>'Detailed Avalerem Tables'!CE74</f>
        <v>14.528846153846153</v>
      </c>
      <c r="T191" s="320">
        <f>'Detailed Avalerem Tables'!CE122</f>
        <v>14.875000000000002</v>
      </c>
      <c r="U191" s="320">
        <f>'Detailed Avalerem Tables'!CE170</f>
        <v>14.875</v>
      </c>
      <c r="V191" s="320">
        <f>'Detailed Avalerem Tables'!CE218</f>
        <v>14.443493150684931</v>
      </c>
      <c r="W191" s="320">
        <f>'Detailed Avalerem Tables'!DG25</f>
        <v>20.444767441860463</v>
      </c>
      <c r="X191" s="320">
        <f>'Detailed Avalerem Tables'!DG74</f>
        <v>19.445175438596493</v>
      </c>
      <c r="Y191" s="320">
        <f>'Detailed Avalerem Tables'!DG122</f>
        <v>19.55681818181818</v>
      </c>
      <c r="Z191" s="320">
        <f>'Detailed Avalerem Tables'!DG170</f>
        <v>21.236111111111111</v>
      </c>
      <c r="AA191" s="320">
        <f>'Detailed Avalerem Tables'!DG218</f>
        <v>18.911231884057969</v>
      </c>
      <c r="AB191" s="320">
        <f>'Detailed Avalerem Tables'!EI25</f>
        <v>10.758333333333329</v>
      </c>
      <c r="AC191" s="320">
        <f>'Detailed Avalerem Tables'!EI74</f>
        <v>10.682692307692308</v>
      </c>
      <c r="AD191" s="320">
        <f>'Detailed Avalerem Tables'!EI122</f>
        <v>10.603070175438598</v>
      </c>
      <c r="AE191" s="320">
        <f>'Detailed Avalerem Tables'!EI170</f>
        <v>10.796052631578947</v>
      </c>
      <c r="AF191" s="323">
        <f>'Detailed Avalerem Tables'!EI218</f>
        <v>10.641666666666666</v>
      </c>
      <c r="AG191" s="237" t="s">
        <v>33</v>
      </c>
      <c r="AH191" s="269"/>
      <c r="AI191" s="270" t="str">
        <f>$AK$111</f>
        <v>Participate</v>
      </c>
      <c r="AJ191" s="271" t="s">
        <v>379</v>
      </c>
      <c r="AU191" s="148"/>
      <c r="AV191" s="148"/>
      <c r="BQ191" s="232"/>
    </row>
    <row r="192" spans="1:69" x14ac:dyDescent="0.2">
      <c r="A192" s="256">
        <v>52</v>
      </c>
      <c r="B192" s="511" t="str">
        <f>$AK$112</f>
        <v>Adopt</v>
      </c>
      <c r="C192" s="314">
        <v>4</v>
      </c>
      <c r="D192" s="314">
        <v>4</v>
      </c>
      <c r="E192" s="304">
        <v>1</v>
      </c>
      <c r="F192" s="314" t="str">
        <f t="shared" si="3"/>
        <v>441</v>
      </c>
      <c r="G192" s="323">
        <f t="shared" si="1"/>
        <v>15.27268471600639</v>
      </c>
      <c r="H192" s="320">
        <f>'Detailed Avalerem Tables'!AA26</f>
        <v>17.545212765957448</v>
      </c>
      <c r="I192" s="320">
        <f>'Detailed Avalerem Tables'!AA75</f>
        <v>18.144230769230774</v>
      </c>
      <c r="J192" s="320">
        <f>'Detailed Avalerem Tables'!AA123</f>
        <v>19.901315789473681</v>
      </c>
      <c r="K192" s="320">
        <f>'Detailed Avalerem Tables'!AA171</f>
        <v>19.065140845070424</v>
      </c>
      <c r="L192" s="320">
        <f>'Detailed Avalerem Tables'!AA219</f>
        <v>18.289285714285718</v>
      </c>
      <c r="M192" s="320">
        <f>'Detailed Avalerem Tables'!BC26</f>
        <v>15.744863013698632</v>
      </c>
      <c r="N192" s="320">
        <f>'Detailed Avalerem Tables'!BC75</f>
        <v>15.46590909090909</v>
      </c>
      <c r="O192" s="320">
        <f>'Detailed Avalerem Tables'!BC123</f>
        <v>14.598880597014922</v>
      </c>
      <c r="P192" s="320">
        <f>'Detailed Avalerem Tables'!BC171</f>
        <v>15.907258064516128</v>
      </c>
      <c r="Q192" s="320">
        <f>'Detailed Avalerem Tables'!BC219</f>
        <v>14.560185185185183</v>
      </c>
      <c r="R192" s="320">
        <f>'Detailed Avalerem Tables'!CE26</f>
        <v>17.675000000000001</v>
      </c>
      <c r="S192" s="320">
        <f>'Detailed Avalerem Tables'!CE75</f>
        <v>16.590384615384615</v>
      </c>
      <c r="T192" s="320">
        <f>'Detailed Avalerem Tables'!CE123</f>
        <v>17.075000000000003</v>
      </c>
      <c r="U192" s="320">
        <f>'Detailed Avalerem Tables'!CE171</f>
        <v>17.074999999999999</v>
      </c>
      <c r="V192" s="320">
        <f>'Detailed Avalerem Tables'!CE219</f>
        <v>16.470890410958905</v>
      </c>
      <c r="W192" s="320">
        <f>'Detailed Avalerem Tables'!DG26</f>
        <v>10.956395348837209</v>
      </c>
      <c r="X192" s="320">
        <f>'Detailed Avalerem Tables'!DG75</f>
        <v>10.81359649122807</v>
      </c>
      <c r="Y192" s="320">
        <f>'Detailed Avalerem Tables'!DG123</f>
        <v>10.829545454545455</v>
      </c>
      <c r="Z192" s="320">
        <f>'Detailed Avalerem Tables'!DG171</f>
        <v>11.069444444444445</v>
      </c>
      <c r="AA192" s="320">
        <f>'Detailed Avalerem Tables'!DG219</f>
        <v>10.737318840579711</v>
      </c>
      <c r="AB192" s="320">
        <f>'Detailed Avalerem Tables'!EI26</f>
        <v>14.90833333333333</v>
      </c>
      <c r="AC192" s="320">
        <f>'Detailed Avalerem Tables'!EI75</f>
        <v>14.60576923076923</v>
      </c>
      <c r="AD192" s="320">
        <f>'Detailed Avalerem Tables'!EI123</f>
        <v>14.287280701754387</v>
      </c>
      <c r="AE192" s="320">
        <f>'Detailed Avalerem Tables'!EI171</f>
        <v>15.059210526315789</v>
      </c>
      <c r="AF192" s="323">
        <f>'Detailed Avalerem Tables'!EI219</f>
        <v>14.441666666666665</v>
      </c>
      <c r="AG192" s="237" t="s">
        <v>33</v>
      </c>
      <c r="AH192" s="269"/>
      <c r="AI192" s="270" t="str">
        <f>$AK$112</f>
        <v>Adopt</v>
      </c>
      <c r="AJ192" s="271" t="s">
        <v>379</v>
      </c>
      <c r="AU192" s="148"/>
      <c r="AV192" s="148"/>
      <c r="BQ192" s="232"/>
    </row>
    <row r="193" spans="1:69" x14ac:dyDescent="0.2">
      <c r="A193" s="256">
        <v>53</v>
      </c>
      <c r="B193" s="511" t="str">
        <f>$AK$113</f>
        <v>Set up</v>
      </c>
      <c r="C193" s="314">
        <v>5</v>
      </c>
      <c r="D193" s="314">
        <v>4</v>
      </c>
      <c r="E193" s="304">
        <v>1</v>
      </c>
      <c r="F193" s="314" t="str">
        <f t="shared" si="3"/>
        <v>541</v>
      </c>
      <c r="G193" s="323">
        <f t="shared" si="1"/>
        <v>13.082365941491116</v>
      </c>
      <c r="H193" s="320">
        <f>'Detailed Avalerem Tables'!AA27</f>
        <v>13.439716312056737</v>
      </c>
      <c r="I193" s="320">
        <f>'Detailed Avalerem Tables'!AA76</f>
        <v>13.814102564102566</v>
      </c>
      <c r="J193" s="320">
        <f>'Detailed Avalerem Tables'!AA124</f>
        <v>14.912280701754383</v>
      </c>
      <c r="K193" s="320">
        <f>'Detailed Avalerem Tables'!AA172</f>
        <v>14.389671361502346</v>
      </c>
      <c r="L193" s="320">
        <f>'Detailed Avalerem Tables'!AA220</f>
        <v>13.904761904761905</v>
      </c>
      <c r="M193" s="320">
        <f>'Detailed Avalerem Tables'!BC27</f>
        <v>17.251141552511417</v>
      </c>
      <c r="N193" s="320">
        <f>'Detailed Avalerem Tables'!BC76</f>
        <v>16.860606060606059</v>
      </c>
      <c r="O193" s="320">
        <f>'Detailed Avalerem Tables'!BC124</f>
        <v>15.646766169154226</v>
      </c>
      <c r="P193" s="320">
        <f>'Detailed Avalerem Tables'!BC172</f>
        <v>17.478494623655912</v>
      </c>
      <c r="Q193" s="320">
        <f>'Detailed Avalerem Tables'!BC220</f>
        <v>15.592592592592592</v>
      </c>
      <c r="R193" s="320">
        <f>'Detailed Avalerem Tables'!CE27</f>
        <v>9.5190476190476172</v>
      </c>
      <c r="S193" s="320">
        <f>'Detailed Avalerem Tables'!CE76</f>
        <v>9.3641025641025628</v>
      </c>
      <c r="T193" s="320">
        <f>'Detailed Avalerem Tables'!CE124</f>
        <v>9.4333333333333336</v>
      </c>
      <c r="U193" s="320">
        <f>'Detailed Avalerem Tables'!CE172</f>
        <v>9.4333333333333336</v>
      </c>
      <c r="V193" s="320">
        <f>'Detailed Avalerem Tables'!CE220</f>
        <v>9.3470319634703181</v>
      </c>
      <c r="W193" s="320">
        <f>'Detailed Avalerem Tables'!DG27</f>
        <v>14.65891472868217</v>
      </c>
      <c r="X193" s="320">
        <f>'Detailed Avalerem Tables'!DG76</f>
        <v>14.087719298245615</v>
      </c>
      <c r="Y193" s="320">
        <f>'Detailed Avalerem Tables'!DG124</f>
        <v>14.151515151515152</v>
      </c>
      <c r="Z193" s="320">
        <f>'Detailed Avalerem Tables'!DG172</f>
        <v>15.111111111111111</v>
      </c>
      <c r="AA193" s="320">
        <f>'Detailed Avalerem Tables'!DG220</f>
        <v>13.782608695652172</v>
      </c>
      <c r="AB193" s="320">
        <f>'Detailed Avalerem Tables'!EI27</f>
        <v>11.099999999999998</v>
      </c>
      <c r="AC193" s="320">
        <f>'Detailed Avalerem Tables'!EI76</f>
        <v>10.948717948717947</v>
      </c>
      <c r="AD193" s="320">
        <f>'Detailed Avalerem Tables'!EI124</f>
        <v>10.789473684210526</v>
      </c>
      <c r="AE193" s="320">
        <f>'Detailed Avalerem Tables'!EI172</f>
        <v>11.175438596491226</v>
      </c>
      <c r="AF193" s="323">
        <f>'Detailed Avalerem Tables'!EI220</f>
        <v>10.866666666666665</v>
      </c>
      <c r="AG193" s="237" t="s">
        <v>33</v>
      </c>
      <c r="AH193" s="269"/>
      <c r="AI193" s="270" t="str">
        <f>$AK$113</f>
        <v>Set up</v>
      </c>
      <c r="AJ193" s="271" t="s">
        <v>379</v>
      </c>
      <c r="AU193" s="148"/>
      <c r="AV193" s="148"/>
      <c r="BQ193" s="232"/>
    </row>
    <row r="194" spans="1:69" x14ac:dyDescent="0.2">
      <c r="A194" s="256">
        <v>54</v>
      </c>
      <c r="B194" s="511" t="str">
        <f>$AK$114</f>
        <v>Complete</v>
      </c>
      <c r="C194" s="314">
        <v>6</v>
      </c>
      <c r="D194" s="314">
        <v>4</v>
      </c>
      <c r="E194" s="304">
        <v>1</v>
      </c>
      <c r="F194" s="314" t="str">
        <f t="shared" si="3"/>
        <v>641</v>
      </c>
      <c r="G194" s="323">
        <f t="shared" si="1"/>
        <v>12.724853966755113</v>
      </c>
      <c r="H194" s="320">
        <f>'Detailed Avalerem Tables'!AA28</f>
        <v>14.440602836879432</v>
      </c>
      <c r="I194" s="320">
        <f>'Detailed Avalerem Tables'!AA77</f>
        <v>14.964743589743591</v>
      </c>
      <c r="J194" s="320">
        <f>'Detailed Avalerem Tables'!AA125</f>
        <v>16.50219298245614</v>
      </c>
      <c r="K194" s="320">
        <f>'Detailed Avalerem Tables'!AA173</f>
        <v>15.770539906103286</v>
      </c>
      <c r="L194" s="320">
        <f>'Detailed Avalerem Tables'!AA221</f>
        <v>15.091666666666669</v>
      </c>
      <c r="M194" s="320">
        <f>'Detailed Avalerem Tables'!BC28</f>
        <v>8.565639269406395</v>
      </c>
      <c r="N194" s="320">
        <f>'Detailed Avalerem Tables'!BC77</f>
        <v>8.5098484848484848</v>
      </c>
      <c r="O194" s="320">
        <f>'Detailed Avalerem Tables'!BC125</f>
        <v>8.3364427860696502</v>
      </c>
      <c r="P194" s="320">
        <f>'Detailed Avalerem Tables'!BC173</f>
        <v>8.5981182795698921</v>
      </c>
      <c r="Q194" s="320">
        <f>'Detailed Avalerem Tables'!BC221</f>
        <v>8.3287037037037024</v>
      </c>
      <c r="R194" s="320">
        <f>'Detailed Avalerem Tables'!CE28</f>
        <v>12.03452380952381</v>
      </c>
      <c r="S194" s="320">
        <f>'Detailed Avalerem Tables'!CE77</f>
        <v>11.41474358974359</v>
      </c>
      <c r="T194" s="320">
        <f>'Detailed Avalerem Tables'!CE125</f>
        <v>11.691666666666666</v>
      </c>
      <c r="U194" s="320">
        <f>'Detailed Avalerem Tables'!CE173</f>
        <v>11.691666666666666</v>
      </c>
      <c r="V194" s="320">
        <f>'Detailed Avalerem Tables'!CE221</f>
        <v>11.346461187214611</v>
      </c>
      <c r="W194" s="320">
        <f>'Detailed Avalerem Tables'!DG28</f>
        <v>10.454457364341085</v>
      </c>
      <c r="X194" s="320">
        <f>'Detailed Avalerem Tables'!DG77</f>
        <v>10.168859649122808</v>
      </c>
      <c r="Y194" s="320">
        <f>'Detailed Avalerem Tables'!DG125</f>
        <v>10.200757575757576</v>
      </c>
      <c r="Z194" s="320">
        <f>'Detailed Avalerem Tables'!DG173</f>
        <v>10.680555555555555</v>
      </c>
      <c r="AA194" s="320">
        <f>'Detailed Avalerem Tables'!DG221</f>
        <v>10.016304347826088</v>
      </c>
      <c r="AB194" s="320">
        <f>'Detailed Avalerem Tables'!EI28</f>
        <v>18.358333333333334</v>
      </c>
      <c r="AC194" s="320">
        <f>'Detailed Avalerem Tables'!EI77</f>
        <v>17.753205128205128</v>
      </c>
      <c r="AD194" s="320">
        <f>'Detailed Avalerem Tables'!EI125</f>
        <v>17.116228070175438</v>
      </c>
      <c r="AE194" s="320">
        <f>'Detailed Avalerem Tables'!EI173</f>
        <v>18.660087719298247</v>
      </c>
      <c r="AF194" s="323">
        <f>'Detailed Avalerem Tables'!EI221</f>
        <v>17.424999999999997</v>
      </c>
      <c r="AG194" s="237" t="s">
        <v>33</v>
      </c>
      <c r="AH194" s="269"/>
      <c r="AI194" s="270" t="str">
        <f>$AK$114</f>
        <v>Complete</v>
      </c>
      <c r="AJ194" s="271" t="s">
        <v>379</v>
      </c>
      <c r="AU194" s="148"/>
      <c r="AV194" s="148"/>
      <c r="BQ194" s="232"/>
    </row>
    <row r="195" spans="1:69" x14ac:dyDescent="0.2">
      <c r="A195" s="256">
        <v>55</v>
      </c>
      <c r="B195" s="511" t="str">
        <f>$AK$115</f>
        <v>Organize</v>
      </c>
      <c r="C195" s="314">
        <v>7</v>
      </c>
      <c r="D195" s="314">
        <v>4</v>
      </c>
      <c r="E195" s="304">
        <v>1</v>
      </c>
      <c r="F195" s="314" t="str">
        <f t="shared" si="3"/>
        <v>741</v>
      </c>
      <c r="G195" s="323">
        <f t="shared" si="1"/>
        <v>12.628678446683899</v>
      </c>
      <c r="H195" s="320">
        <f>'Detailed Avalerem Tables'!AA29</f>
        <v>8.3129432624113466</v>
      </c>
      <c r="I195" s="320">
        <f>'Detailed Avalerem Tables'!AA78</f>
        <v>8.3878205128205128</v>
      </c>
      <c r="J195" s="320">
        <f>'Detailed Avalerem Tables'!AA126</f>
        <v>8.6074561403508767</v>
      </c>
      <c r="K195" s="320">
        <f>'Detailed Avalerem Tables'!AA174</f>
        <v>8.5029342723004682</v>
      </c>
      <c r="L195" s="320">
        <f>'Detailed Avalerem Tables'!AA222</f>
        <v>8.4059523809523835</v>
      </c>
      <c r="M195" s="320">
        <f>'Detailed Avalerem Tables'!BC29</f>
        <v>12.387557077625573</v>
      </c>
      <c r="N195" s="320">
        <f>'Detailed Avalerem Tables'!BC78</f>
        <v>12.164393939393939</v>
      </c>
      <c r="O195" s="320">
        <f>'Detailed Avalerem Tables'!BC126</f>
        <v>11.470771144278604</v>
      </c>
      <c r="P195" s="320">
        <f>'Detailed Avalerem Tables'!BC174</f>
        <v>12.51747311827957</v>
      </c>
      <c r="Q195" s="320">
        <f>'Detailed Avalerem Tables'!BC222</f>
        <v>11.439814814814813</v>
      </c>
      <c r="R195" s="320">
        <f>'Detailed Avalerem Tables'!CE29</f>
        <v>9.663095238095238</v>
      </c>
      <c r="S195" s="320">
        <f>'Detailed Avalerem Tables'!CE78</f>
        <v>9.3532051282051292</v>
      </c>
      <c r="T195" s="320">
        <f>'Detailed Avalerem Tables'!CE126</f>
        <v>9.4916666666666671</v>
      </c>
      <c r="U195" s="320">
        <f>'Detailed Avalerem Tables'!CE174</f>
        <v>9.4916666666666671</v>
      </c>
      <c r="V195" s="320">
        <f>'Detailed Avalerem Tables'!CE222</f>
        <v>9.3190639269406397</v>
      </c>
      <c r="W195" s="320">
        <f>'Detailed Avalerem Tables'!DG29</f>
        <v>19.942829457364343</v>
      </c>
      <c r="X195" s="320">
        <f>'Detailed Avalerem Tables'!DG78</f>
        <v>18.80043859649123</v>
      </c>
      <c r="Y195" s="320">
        <f>'Detailed Avalerem Tables'!DG126</f>
        <v>18.928030303030305</v>
      </c>
      <c r="Z195" s="320">
        <f>'Detailed Avalerem Tables'!DG174</f>
        <v>20.847222222222221</v>
      </c>
      <c r="AA195" s="320">
        <f>'Detailed Avalerem Tables'!DG222</f>
        <v>18.190217391304348</v>
      </c>
      <c r="AB195" s="320">
        <f>'Detailed Avalerem Tables'!EI29</f>
        <v>14.208333333333332</v>
      </c>
      <c r="AC195" s="320">
        <f>'Detailed Avalerem Tables'!EI78</f>
        <v>13.830128205128204</v>
      </c>
      <c r="AD195" s="320">
        <f>'Detailed Avalerem Tables'!EI126</f>
        <v>13.432017543859651</v>
      </c>
      <c r="AE195" s="320">
        <f>'Detailed Avalerem Tables'!EI174</f>
        <v>14.396929824561402</v>
      </c>
      <c r="AF195" s="323">
        <f>'Detailed Avalerem Tables'!EI222</f>
        <v>13.625</v>
      </c>
      <c r="AG195" s="237" t="s">
        <v>33</v>
      </c>
      <c r="AH195" s="269"/>
      <c r="AI195" s="270" t="str">
        <f>$AK$115</f>
        <v>Organize</v>
      </c>
      <c r="AJ195" s="271" t="s">
        <v>379</v>
      </c>
      <c r="AU195" s="148"/>
      <c r="AV195" s="148"/>
      <c r="BQ195" s="232"/>
    </row>
    <row r="196" spans="1:69" x14ac:dyDescent="0.2">
      <c r="A196" s="256">
        <v>56</v>
      </c>
      <c r="B196" s="511" t="str">
        <f>$AK$116</f>
        <v>Perform</v>
      </c>
      <c r="C196" s="314">
        <v>8</v>
      </c>
      <c r="D196" s="314">
        <v>4</v>
      </c>
      <c r="E196" s="304">
        <v>1</v>
      </c>
      <c r="F196" s="314" t="str">
        <f t="shared" si="3"/>
        <v>841</v>
      </c>
      <c r="G196" s="323">
        <f t="shared" si="1"/>
        <v>14.818997221199174</v>
      </c>
      <c r="H196" s="320">
        <f>'Detailed Avalerem Tables'!AA30</f>
        <v>12.418439716312056</v>
      </c>
      <c r="I196" s="320">
        <f>'Detailed Avalerem Tables'!AA79</f>
        <v>12.717948717948719</v>
      </c>
      <c r="J196" s="320">
        <f>'Detailed Avalerem Tables'!AA127</f>
        <v>13.596491228070175</v>
      </c>
      <c r="K196" s="320">
        <f>'Detailed Avalerem Tables'!AA175</f>
        <v>13.178403755868544</v>
      </c>
      <c r="L196" s="320">
        <f>'Detailed Avalerem Tables'!AA223</f>
        <v>12.790476190476191</v>
      </c>
      <c r="M196" s="320">
        <f>'Detailed Avalerem Tables'!BC30</f>
        <v>10.881278538812786</v>
      </c>
      <c r="N196" s="320">
        <f>'Detailed Avalerem Tables'!BC79</f>
        <v>10.769696969696968</v>
      </c>
      <c r="O196" s="320">
        <f>'Detailed Avalerem Tables'!BC127</f>
        <v>10.422885572139302</v>
      </c>
      <c r="P196" s="320">
        <f>'Detailed Avalerem Tables'!BC175</f>
        <v>10.946236559139786</v>
      </c>
      <c r="Q196" s="320">
        <f>'Detailed Avalerem Tables'!BC223</f>
        <v>10.407407407407407</v>
      </c>
      <c r="R196" s="320">
        <f>'Detailed Avalerem Tables'!CE30</f>
        <v>17.819047619047616</v>
      </c>
      <c r="S196" s="320">
        <f>'Detailed Avalerem Tables'!CE79</f>
        <v>16.579487179487177</v>
      </c>
      <c r="T196" s="320">
        <f>'Detailed Avalerem Tables'!CE127</f>
        <v>17.133333333333333</v>
      </c>
      <c r="U196" s="320">
        <f>'Detailed Avalerem Tables'!CE175</f>
        <v>17.133333333333333</v>
      </c>
      <c r="V196" s="320">
        <f>'Detailed Avalerem Tables'!CE223</f>
        <v>16.442922374429223</v>
      </c>
      <c r="W196" s="320">
        <f>'Detailed Avalerem Tables'!DG30</f>
        <v>16.240310077519378</v>
      </c>
      <c r="X196" s="320">
        <f>'Detailed Avalerem Tables'!DG79</f>
        <v>15.526315789473685</v>
      </c>
      <c r="Y196" s="320">
        <f>'Detailed Avalerem Tables'!DG127</f>
        <v>15.606060606060606</v>
      </c>
      <c r="Z196" s="320">
        <f>'Detailed Avalerem Tables'!DG175</f>
        <v>16.805555555555557</v>
      </c>
      <c r="AA196" s="320">
        <f>'Detailed Avalerem Tables'!DG223</f>
        <v>15.144927536231883</v>
      </c>
      <c r="AB196" s="320">
        <f>'Detailed Avalerem Tables'!EI30</f>
        <v>18.016666666666666</v>
      </c>
      <c r="AC196" s="320">
        <f>'Detailed Avalerem Tables'!EI79</f>
        <v>17.487179487179489</v>
      </c>
      <c r="AD196" s="320">
        <f>'Detailed Avalerem Tables'!EI127</f>
        <v>16.929824561403507</v>
      </c>
      <c r="AE196" s="320">
        <f>'Detailed Avalerem Tables'!EI175</f>
        <v>18.280701754385966</v>
      </c>
      <c r="AF196" s="323">
        <f>'Detailed Avalerem Tables'!EI223</f>
        <v>17.2</v>
      </c>
      <c r="AG196" s="237" t="s">
        <v>33</v>
      </c>
      <c r="AH196" s="269"/>
      <c r="AI196" s="270" t="str">
        <f>$AK$116</f>
        <v>Perform</v>
      </c>
      <c r="AJ196" s="271" t="s">
        <v>379</v>
      </c>
      <c r="AU196" s="148"/>
      <c r="AV196" s="148"/>
      <c r="BQ196" s="232"/>
    </row>
    <row r="197" spans="1:69" x14ac:dyDescent="0.2">
      <c r="A197" s="256">
        <v>57</v>
      </c>
      <c r="B197" s="511" t="str">
        <f>$AK$117</f>
        <v>Collaborate</v>
      </c>
      <c r="C197" s="314">
        <v>9</v>
      </c>
      <c r="D197" s="314">
        <v>4</v>
      </c>
      <c r="E197" s="304">
        <v>1</v>
      </c>
      <c r="F197" s="314" t="str">
        <f t="shared" si="3"/>
        <v>941</v>
      </c>
      <c r="G197" s="323">
        <f t="shared" si="1"/>
        <v>15.176509195935175</v>
      </c>
      <c r="H197" s="320">
        <f>'Detailed Avalerem Tables'!AA31</f>
        <v>11.417553191489361</v>
      </c>
      <c r="I197" s="320">
        <f>'Detailed Avalerem Tables'!AA80</f>
        <v>11.567307692307693</v>
      </c>
      <c r="J197" s="320">
        <f>'Detailed Avalerem Tables'!AA128</f>
        <v>12.006578947368418</v>
      </c>
      <c r="K197" s="320">
        <f>'Detailed Avalerem Tables'!AA176</f>
        <v>11.797535211267606</v>
      </c>
      <c r="L197" s="320">
        <f>'Detailed Avalerem Tables'!AA224</f>
        <v>11.603571428571431</v>
      </c>
      <c r="M197" s="320">
        <f>'Detailed Avalerem Tables'!BC31</f>
        <v>19.56678082191781</v>
      </c>
      <c r="N197" s="320">
        <f>'Detailed Avalerem Tables'!BC80</f>
        <v>19.120454545454542</v>
      </c>
      <c r="O197" s="320">
        <f>'Detailed Avalerem Tables'!BC128</f>
        <v>17.73320895522388</v>
      </c>
      <c r="P197" s="320">
        <f>'Detailed Avalerem Tables'!BC176</f>
        <v>19.826612903225808</v>
      </c>
      <c r="Q197" s="320">
        <f>'Detailed Avalerem Tables'!BC224</f>
        <v>17.671296296296294</v>
      </c>
      <c r="R197" s="320">
        <f>'Detailed Avalerem Tables'!CE31</f>
        <v>15.303571428571431</v>
      </c>
      <c r="S197" s="320">
        <f>'Detailed Avalerem Tables'!CE80</f>
        <v>14.528846153846153</v>
      </c>
      <c r="T197" s="320">
        <f>'Detailed Avalerem Tables'!CE128</f>
        <v>14.875000000000002</v>
      </c>
      <c r="U197" s="320">
        <f>'Detailed Avalerem Tables'!CE176</f>
        <v>14.875</v>
      </c>
      <c r="V197" s="320">
        <f>'Detailed Avalerem Tables'!CE224</f>
        <v>14.443493150684931</v>
      </c>
      <c r="W197" s="320">
        <f>'Detailed Avalerem Tables'!DG31</f>
        <v>20.444767441860463</v>
      </c>
      <c r="X197" s="320">
        <f>'Detailed Avalerem Tables'!DG80</f>
        <v>19.445175438596493</v>
      </c>
      <c r="Y197" s="320">
        <f>'Detailed Avalerem Tables'!DG128</f>
        <v>19.55681818181818</v>
      </c>
      <c r="Z197" s="320">
        <f>'Detailed Avalerem Tables'!DG176</f>
        <v>21.236111111111111</v>
      </c>
      <c r="AA197" s="320">
        <f>'Detailed Avalerem Tables'!DG224</f>
        <v>18.911231884057969</v>
      </c>
      <c r="AB197" s="320">
        <f>'Detailed Avalerem Tables'!EI31</f>
        <v>10.758333333333329</v>
      </c>
      <c r="AC197" s="320">
        <f>'Detailed Avalerem Tables'!EI80</f>
        <v>10.682692307692308</v>
      </c>
      <c r="AD197" s="320">
        <f>'Detailed Avalerem Tables'!EI128</f>
        <v>10.603070175438598</v>
      </c>
      <c r="AE197" s="320">
        <f>'Detailed Avalerem Tables'!EI176</f>
        <v>10.796052631578947</v>
      </c>
      <c r="AF197" s="323">
        <f>'Detailed Avalerem Tables'!EI224</f>
        <v>10.641666666666666</v>
      </c>
      <c r="AG197" s="237" t="s">
        <v>33</v>
      </c>
      <c r="AH197" s="269"/>
      <c r="AI197" s="270" t="str">
        <f>$AK$117</f>
        <v>Collaborate</v>
      </c>
      <c r="AJ197" s="271" t="s">
        <v>379</v>
      </c>
      <c r="AU197" s="148"/>
      <c r="AV197" s="148"/>
      <c r="BQ197" s="232"/>
    </row>
    <row r="198" spans="1:69" x14ac:dyDescent="0.2">
      <c r="A198" s="256">
        <v>58</v>
      </c>
      <c r="B198" s="511" t="str">
        <f>$AK$118</f>
        <v>Invest</v>
      </c>
      <c r="C198" s="314">
        <v>10</v>
      </c>
      <c r="D198" s="314">
        <v>4</v>
      </c>
      <c r="E198" s="304">
        <v>1</v>
      </c>
      <c r="F198" s="314" t="str">
        <f t="shared" si="3"/>
        <v>1041</v>
      </c>
      <c r="G198" s="323">
        <f t="shared" si="1"/>
        <v>15.27268471600639</v>
      </c>
      <c r="H198" s="320">
        <f>'Detailed Avalerem Tables'!AA32</f>
        <v>17.545212765957448</v>
      </c>
      <c r="I198" s="320">
        <f>'Detailed Avalerem Tables'!AA81</f>
        <v>18.144230769230774</v>
      </c>
      <c r="J198" s="320">
        <f>'Detailed Avalerem Tables'!AA129</f>
        <v>19.901315789473681</v>
      </c>
      <c r="K198" s="320">
        <f>'Detailed Avalerem Tables'!AA177</f>
        <v>19.065140845070424</v>
      </c>
      <c r="L198" s="320">
        <f>'Detailed Avalerem Tables'!AA225</f>
        <v>18.289285714285718</v>
      </c>
      <c r="M198" s="320">
        <f>'Detailed Avalerem Tables'!BC32</f>
        <v>15.744863013698632</v>
      </c>
      <c r="N198" s="320">
        <f>'Detailed Avalerem Tables'!BC81</f>
        <v>15.46590909090909</v>
      </c>
      <c r="O198" s="320">
        <f>'Detailed Avalerem Tables'!BC129</f>
        <v>14.598880597014922</v>
      </c>
      <c r="P198" s="320">
        <f>'Detailed Avalerem Tables'!BC177</f>
        <v>15.907258064516128</v>
      </c>
      <c r="Q198" s="320">
        <f>'Detailed Avalerem Tables'!BC225</f>
        <v>14.560185185185183</v>
      </c>
      <c r="R198" s="320">
        <f>'Detailed Avalerem Tables'!CE32</f>
        <v>17.675000000000001</v>
      </c>
      <c r="S198" s="320">
        <f>'Detailed Avalerem Tables'!CE81</f>
        <v>16.590384615384615</v>
      </c>
      <c r="T198" s="320">
        <f>'Detailed Avalerem Tables'!CE129</f>
        <v>17.075000000000003</v>
      </c>
      <c r="U198" s="320">
        <f>'Detailed Avalerem Tables'!CE177</f>
        <v>17.074999999999999</v>
      </c>
      <c r="V198" s="320">
        <f>'Detailed Avalerem Tables'!CE225</f>
        <v>16.470890410958905</v>
      </c>
      <c r="W198" s="320">
        <f>'Detailed Avalerem Tables'!DG32</f>
        <v>10.956395348837209</v>
      </c>
      <c r="X198" s="320">
        <f>'Detailed Avalerem Tables'!DG81</f>
        <v>10.81359649122807</v>
      </c>
      <c r="Y198" s="320">
        <f>'Detailed Avalerem Tables'!DG129</f>
        <v>10.829545454545455</v>
      </c>
      <c r="Z198" s="320">
        <f>'Detailed Avalerem Tables'!DG177</f>
        <v>11.069444444444445</v>
      </c>
      <c r="AA198" s="320">
        <f>'Detailed Avalerem Tables'!DG225</f>
        <v>10.737318840579711</v>
      </c>
      <c r="AB198" s="320">
        <f>'Detailed Avalerem Tables'!EI32</f>
        <v>14.90833333333333</v>
      </c>
      <c r="AC198" s="320">
        <f>'Detailed Avalerem Tables'!EI81</f>
        <v>14.60576923076923</v>
      </c>
      <c r="AD198" s="320">
        <f>'Detailed Avalerem Tables'!EI129</f>
        <v>14.287280701754387</v>
      </c>
      <c r="AE198" s="320">
        <f>'Detailed Avalerem Tables'!EI177</f>
        <v>15.059210526315789</v>
      </c>
      <c r="AF198" s="323">
        <f>'Detailed Avalerem Tables'!EI225</f>
        <v>14.441666666666665</v>
      </c>
      <c r="AG198" s="237" t="s">
        <v>33</v>
      </c>
      <c r="AH198" s="269"/>
      <c r="AI198" s="270" t="str">
        <f>$AK$118</f>
        <v>Invest</v>
      </c>
      <c r="AJ198" s="271" t="s">
        <v>379</v>
      </c>
      <c r="AU198" s="148"/>
      <c r="AV198" s="148"/>
      <c r="BQ198" s="232"/>
    </row>
    <row r="199" spans="1:69" x14ac:dyDescent="0.2">
      <c r="A199" s="256">
        <v>59</v>
      </c>
      <c r="B199" s="511" t="str">
        <f>$AK$119</f>
        <v>Create</v>
      </c>
      <c r="C199" s="314">
        <v>11</v>
      </c>
      <c r="D199" s="314">
        <v>4</v>
      </c>
      <c r="E199" s="304">
        <v>1</v>
      </c>
      <c r="F199" s="314" t="str">
        <f t="shared" si="3"/>
        <v>1141</v>
      </c>
      <c r="G199" s="323">
        <f t="shared" si="1"/>
        <v>13.082365941491116</v>
      </c>
      <c r="H199" s="320">
        <f>'Detailed Avalerem Tables'!AA33</f>
        <v>13.439716312056737</v>
      </c>
      <c r="I199" s="320">
        <f>'Detailed Avalerem Tables'!AA82</f>
        <v>13.814102564102566</v>
      </c>
      <c r="J199" s="320">
        <f>'Detailed Avalerem Tables'!AA130</f>
        <v>14.912280701754383</v>
      </c>
      <c r="K199" s="320">
        <f>'Detailed Avalerem Tables'!AA178</f>
        <v>14.389671361502346</v>
      </c>
      <c r="L199" s="320">
        <f>'Detailed Avalerem Tables'!AA226</f>
        <v>13.904761904761905</v>
      </c>
      <c r="M199" s="320">
        <f>'Detailed Avalerem Tables'!BC33</f>
        <v>17.251141552511417</v>
      </c>
      <c r="N199" s="320">
        <f>'Detailed Avalerem Tables'!BC82</f>
        <v>16.860606060606059</v>
      </c>
      <c r="O199" s="320">
        <f>'Detailed Avalerem Tables'!BC130</f>
        <v>15.646766169154226</v>
      </c>
      <c r="P199" s="320">
        <f>'Detailed Avalerem Tables'!BC178</f>
        <v>17.478494623655912</v>
      </c>
      <c r="Q199" s="320">
        <f>'Detailed Avalerem Tables'!BC226</f>
        <v>15.592592592592592</v>
      </c>
      <c r="R199" s="320">
        <f>'Detailed Avalerem Tables'!CE33</f>
        <v>9.5190476190476172</v>
      </c>
      <c r="S199" s="320">
        <f>'Detailed Avalerem Tables'!CE82</f>
        <v>9.3641025641025628</v>
      </c>
      <c r="T199" s="320">
        <f>'Detailed Avalerem Tables'!CE130</f>
        <v>9.4333333333333336</v>
      </c>
      <c r="U199" s="320">
        <f>'Detailed Avalerem Tables'!CE178</f>
        <v>9.4333333333333336</v>
      </c>
      <c r="V199" s="320">
        <f>'Detailed Avalerem Tables'!CE226</f>
        <v>9.3470319634703181</v>
      </c>
      <c r="W199" s="320">
        <f>'Detailed Avalerem Tables'!DG33</f>
        <v>14.65891472868217</v>
      </c>
      <c r="X199" s="320">
        <f>'Detailed Avalerem Tables'!DG82</f>
        <v>14.087719298245615</v>
      </c>
      <c r="Y199" s="320">
        <f>'Detailed Avalerem Tables'!DG130</f>
        <v>14.151515151515152</v>
      </c>
      <c r="Z199" s="320">
        <f>'Detailed Avalerem Tables'!DG178</f>
        <v>15.111111111111111</v>
      </c>
      <c r="AA199" s="320">
        <f>'Detailed Avalerem Tables'!DG226</f>
        <v>13.782608695652172</v>
      </c>
      <c r="AB199" s="320">
        <f>'Detailed Avalerem Tables'!EI33</f>
        <v>11.099999999999998</v>
      </c>
      <c r="AC199" s="320">
        <f>'Detailed Avalerem Tables'!EI82</f>
        <v>10.948717948717947</v>
      </c>
      <c r="AD199" s="320">
        <f>'Detailed Avalerem Tables'!EI130</f>
        <v>10.789473684210526</v>
      </c>
      <c r="AE199" s="320">
        <f>'Detailed Avalerem Tables'!EI178</f>
        <v>11.175438596491226</v>
      </c>
      <c r="AF199" s="323">
        <f>'Detailed Avalerem Tables'!EI226</f>
        <v>10.866666666666665</v>
      </c>
      <c r="AG199" s="237" t="s">
        <v>33</v>
      </c>
      <c r="AH199" s="269"/>
      <c r="AI199" s="270" t="str">
        <f>$AK$119</f>
        <v>Create</v>
      </c>
      <c r="AJ199" s="271" t="s">
        <v>379</v>
      </c>
      <c r="AU199" s="148"/>
      <c r="AV199" s="148"/>
      <c r="BQ199" s="232"/>
    </row>
    <row r="200" spans="1:69" x14ac:dyDescent="0.2">
      <c r="A200" s="256">
        <v>60</v>
      </c>
      <c r="B200" s="511" t="str">
        <f>$AK$120</f>
        <v>Declare</v>
      </c>
      <c r="C200" s="314">
        <v>12</v>
      </c>
      <c r="D200" s="314">
        <v>4</v>
      </c>
      <c r="E200" s="304">
        <v>1</v>
      </c>
      <c r="F200" s="314" t="str">
        <f t="shared" si="3"/>
        <v>1241</v>
      </c>
      <c r="G200" s="323">
        <f t="shared" si="1"/>
        <v>12.724853966755113</v>
      </c>
      <c r="H200" s="320">
        <f>'Detailed Avalerem Tables'!AA34</f>
        <v>14.440602836879432</v>
      </c>
      <c r="I200" s="320">
        <f>'Detailed Avalerem Tables'!AA83</f>
        <v>14.964743589743591</v>
      </c>
      <c r="J200" s="320">
        <f>'Detailed Avalerem Tables'!AA131</f>
        <v>16.50219298245614</v>
      </c>
      <c r="K200" s="320">
        <f>'Detailed Avalerem Tables'!AA179</f>
        <v>15.770539906103286</v>
      </c>
      <c r="L200" s="320">
        <f>'Detailed Avalerem Tables'!AA227</f>
        <v>15.091666666666669</v>
      </c>
      <c r="M200" s="320">
        <f>'Detailed Avalerem Tables'!BC34</f>
        <v>8.565639269406395</v>
      </c>
      <c r="N200" s="320">
        <f>'Detailed Avalerem Tables'!BC83</f>
        <v>8.5098484848484848</v>
      </c>
      <c r="O200" s="320">
        <f>'Detailed Avalerem Tables'!BC131</f>
        <v>8.3364427860696502</v>
      </c>
      <c r="P200" s="320">
        <f>'Detailed Avalerem Tables'!BC179</f>
        <v>8.5981182795698921</v>
      </c>
      <c r="Q200" s="320">
        <f>'Detailed Avalerem Tables'!BC227</f>
        <v>8.3287037037037024</v>
      </c>
      <c r="R200" s="320">
        <f>'Detailed Avalerem Tables'!CE34</f>
        <v>12.03452380952381</v>
      </c>
      <c r="S200" s="320">
        <f>'Detailed Avalerem Tables'!CE83</f>
        <v>11.41474358974359</v>
      </c>
      <c r="T200" s="320">
        <f>'Detailed Avalerem Tables'!CE131</f>
        <v>11.691666666666666</v>
      </c>
      <c r="U200" s="320">
        <f>'Detailed Avalerem Tables'!CE179</f>
        <v>11.691666666666666</v>
      </c>
      <c r="V200" s="320">
        <f>'Detailed Avalerem Tables'!CE227</f>
        <v>11.346461187214611</v>
      </c>
      <c r="W200" s="320">
        <f>'Detailed Avalerem Tables'!DG34</f>
        <v>10.454457364341085</v>
      </c>
      <c r="X200" s="320">
        <f>'Detailed Avalerem Tables'!DG83</f>
        <v>10.168859649122808</v>
      </c>
      <c r="Y200" s="320">
        <f>'Detailed Avalerem Tables'!DG131</f>
        <v>10.200757575757576</v>
      </c>
      <c r="Z200" s="320">
        <f>'Detailed Avalerem Tables'!DG179</f>
        <v>10.680555555555555</v>
      </c>
      <c r="AA200" s="320">
        <f>'Detailed Avalerem Tables'!DG227</f>
        <v>10.016304347826088</v>
      </c>
      <c r="AB200" s="320">
        <f>'Detailed Avalerem Tables'!EI34</f>
        <v>18.358333333333334</v>
      </c>
      <c r="AC200" s="320">
        <f>'Detailed Avalerem Tables'!EI83</f>
        <v>17.753205128205128</v>
      </c>
      <c r="AD200" s="320">
        <f>'Detailed Avalerem Tables'!EI131</f>
        <v>17.116228070175438</v>
      </c>
      <c r="AE200" s="320">
        <f>'Detailed Avalerem Tables'!EI179</f>
        <v>18.660087719298247</v>
      </c>
      <c r="AF200" s="323">
        <f>'Detailed Avalerem Tables'!EI227</f>
        <v>17.424999999999997</v>
      </c>
      <c r="AG200" s="237" t="s">
        <v>33</v>
      </c>
      <c r="AH200" s="269"/>
      <c r="AI200" s="270" t="str">
        <f>$AK$120</f>
        <v>Declare</v>
      </c>
      <c r="AJ200" s="271" t="s">
        <v>379</v>
      </c>
      <c r="AU200" s="148"/>
      <c r="AV200" s="148"/>
      <c r="BQ200" s="232"/>
    </row>
    <row r="201" spans="1:69" x14ac:dyDescent="0.2">
      <c r="A201" s="256">
        <v>61</v>
      </c>
      <c r="B201" s="511" t="str">
        <f>$AM$109</f>
        <v>Manage</v>
      </c>
      <c r="C201" s="314">
        <v>1</v>
      </c>
      <c r="D201" s="314">
        <v>4</v>
      </c>
      <c r="E201" s="304">
        <v>2</v>
      </c>
      <c r="F201" s="314" t="str">
        <f t="shared" si="3"/>
        <v>142</v>
      </c>
      <c r="G201" s="323">
        <f t="shared" si="1"/>
        <v>28.291147000712453</v>
      </c>
      <c r="H201" s="320">
        <f>'Detailed Avalerem Tables'!AA38</f>
        <v>23.185610520877471</v>
      </c>
      <c r="I201" s="320">
        <f>'Detailed Avalerem Tables'!AA87</f>
        <v>27.192454732981894</v>
      </c>
      <c r="J201" s="320">
        <f>'Detailed Avalerem Tables'!AA135</f>
        <v>30.273584955537984</v>
      </c>
      <c r="K201" s="320">
        <f>'Detailed Avalerem Tables'!AA183</f>
        <v>32.292636510351002</v>
      </c>
      <c r="L201" s="320">
        <f>'Detailed Avalerem Tables'!AA231</f>
        <v>24.162473049663205</v>
      </c>
      <c r="M201" s="320">
        <f>'Detailed Avalerem Tables'!BC38</f>
        <v>29.983938518499166</v>
      </c>
      <c r="N201" s="320">
        <f>'Detailed Avalerem Tables'!BC87</f>
        <v>26.987706134300609</v>
      </c>
      <c r="O201" s="320">
        <f>'Detailed Avalerem Tables'!BC135</f>
        <v>23.47822388468418</v>
      </c>
      <c r="P201" s="320">
        <f>'Detailed Avalerem Tables'!BC183</f>
        <v>28.281262929580073</v>
      </c>
      <c r="Q201" s="320">
        <f>'Detailed Avalerem Tables'!BC231</f>
        <v>23.921253735214862</v>
      </c>
      <c r="R201" s="320">
        <f>'Detailed Avalerem Tables'!CE38</f>
        <v>27.870962089827618</v>
      </c>
      <c r="S201" s="320">
        <f>'Detailed Avalerem Tables'!CE87</f>
        <v>25.313674976550011</v>
      </c>
      <c r="T201" s="320">
        <f>'Detailed Avalerem Tables'!CE135</f>
        <v>24.329487182222582</v>
      </c>
      <c r="U201" s="320">
        <f>'Detailed Avalerem Tables'!CE183</f>
        <v>25.913817596495839</v>
      </c>
      <c r="V201" s="320">
        <f>'Detailed Avalerem Tables'!CE231</f>
        <v>24.338007658574046</v>
      </c>
      <c r="W201" s="320">
        <f>'Detailed Avalerem Tables'!DG38</f>
        <v>32.238840562031605</v>
      </c>
      <c r="X201" s="320">
        <f>'Detailed Avalerem Tables'!DG87</f>
        <v>32.066970347911607</v>
      </c>
      <c r="Y201" s="320">
        <f>'Detailed Avalerem Tables'!DG135</f>
        <v>33.383459673731345</v>
      </c>
      <c r="Z201" s="320">
        <f>'Detailed Avalerem Tables'!DG183</f>
        <v>34.785578105557292</v>
      </c>
      <c r="AA201" s="320">
        <f>'Detailed Avalerem Tables'!DG231</f>
        <v>30.154979624342957</v>
      </c>
      <c r="AB201" s="320">
        <f>'Detailed Avalerem Tables'!EI38</f>
        <v>28.938632472638986</v>
      </c>
      <c r="AC201" s="320">
        <f>'Detailed Avalerem Tables'!EI87</f>
        <v>30.328200194833201</v>
      </c>
      <c r="AD201" s="320">
        <f>'Detailed Avalerem Tables'!EI135</f>
        <v>28.007029408550473</v>
      </c>
      <c r="AE201" s="320">
        <f>'Detailed Avalerem Tables'!EI183</f>
        <v>30.974999999999998</v>
      </c>
      <c r="AF201" s="323">
        <f>'Detailed Avalerem Tables'!EI231</f>
        <v>28.874890152853148</v>
      </c>
      <c r="AG201" s="237" t="s">
        <v>33</v>
      </c>
      <c r="AH201" s="269"/>
      <c r="AI201" s="270" t="str">
        <f>$AM$109</f>
        <v>Manage</v>
      </c>
      <c r="AJ201" s="271" t="s">
        <v>379</v>
      </c>
      <c r="AU201" s="148"/>
      <c r="AV201" s="148"/>
      <c r="BQ201" s="232"/>
    </row>
    <row r="202" spans="1:69" x14ac:dyDescent="0.2">
      <c r="A202" s="256">
        <v>62</v>
      </c>
      <c r="B202" s="511" t="str">
        <f>$AM$110</f>
        <v>Evaluate</v>
      </c>
      <c r="C202" s="314">
        <v>2</v>
      </c>
      <c r="D202" s="314">
        <v>4</v>
      </c>
      <c r="E202" s="304">
        <v>2</v>
      </c>
      <c r="F202" s="314" t="str">
        <f t="shared" si="3"/>
        <v>242</v>
      </c>
      <c r="G202" s="323">
        <f t="shared" si="1"/>
        <v>29.551266277812363</v>
      </c>
      <c r="H202" s="320">
        <f>'Detailed Avalerem Tables'!AA39</f>
        <v>24.31675806186108</v>
      </c>
      <c r="I202" s="320">
        <f>'Detailed Avalerem Tables'!AA88</f>
        <v>28.672454732981894</v>
      </c>
      <c r="J202" s="320">
        <f>'Detailed Avalerem Tables'!AA136</f>
        <v>31.601943164493207</v>
      </c>
      <c r="K202" s="320">
        <f>'Detailed Avalerem Tables'!AA184</f>
        <v>34.154705475868248</v>
      </c>
      <c r="L202" s="320">
        <f>'Detailed Avalerem Tables'!AA232</f>
        <v>25.398584160774316</v>
      </c>
      <c r="M202" s="320">
        <f>'Detailed Avalerem Tables'!BC39</f>
        <v>31.37376902697374</v>
      </c>
      <c r="N202" s="320">
        <f>'Detailed Avalerem Tables'!BC88</f>
        <v>28.10091368147042</v>
      </c>
      <c r="O202" s="320">
        <f>'Detailed Avalerem Tables'!BC136</f>
        <v>24.508526914987211</v>
      </c>
      <c r="P202" s="320">
        <f>'Detailed Avalerem Tables'!BC184</f>
        <v>29.370151818468962</v>
      </c>
      <c r="Q202" s="320">
        <f>'Detailed Avalerem Tables'!BC232</f>
        <v>25.135539449500577</v>
      </c>
      <c r="R202" s="320">
        <f>'Detailed Avalerem Tables'!CE39</f>
        <v>29.156676375541903</v>
      </c>
      <c r="S202" s="320">
        <f>'Detailed Avalerem Tables'!CE88</f>
        <v>26.647008309883343</v>
      </c>
      <c r="T202" s="320">
        <f>'Detailed Avalerem Tables'!CE136</f>
        <v>25.4026579139299</v>
      </c>
      <c r="U202" s="320">
        <f>'Detailed Avalerem Tables'!CE184</f>
        <v>27.149111714142901</v>
      </c>
      <c r="V202" s="320">
        <f>'Detailed Avalerem Tables'!CE232</f>
        <v>25.571340991907377</v>
      </c>
      <c r="W202" s="320">
        <f>'Detailed Avalerem Tables'!DG39</f>
        <v>33.342288837893676</v>
      </c>
      <c r="X202" s="320">
        <f>'Detailed Avalerem Tables'!DG88</f>
        <v>33.412424893366151</v>
      </c>
      <c r="Y202" s="320">
        <f>'Detailed Avalerem Tables'!DG136</f>
        <v>34.883459673731345</v>
      </c>
      <c r="Z202" s="320">
        <f>'Detailed Avalerem Tables'!DG184</f>
        <v>36.012850832830019</v>
      </c>
      <c r="AA202" s="320">
        <f>'Detailed Avalerem Tables'!DG232</f>
        <v>31.387122481485811</v>
      </c>
      <c r="AB202" s="320">
        <f>'Detailed Avalerem Tables'!EI39</f>
        <v>29.960371603073764</v>
      </c>
      <c r="AC202" s="320">
        <f>'Detailed Avalerem Tables'!EI88</f>
        <v>31.681141371303788</v>
      </c>
      <c r="AD202" s="320">
        <f>'Detailed Avalerem Tables'!EI136</f>
        <v>29.236196075217141</v>
      </c>
      <c r="AE202" s="320">
        <f>'Detailed Avalerem Tables'!EI184</f>
        <v>32.200000000000003</v>
      </c>
      <c r="AF202" s="323">
        <f>'Detailed Avalerem Tables'!EI232</f>
        <v>30.105659383622381</v>
      </c>
      <c r="AG202" s="237" t="s">
        <v>33</v>
      </c>
      <c r="AH202" s="269"/>
      <c r="AI202" s="270" t="str">
        <f>$AM$110</f>
        <v>Evaluate</v>
      </c>
      <c r="AJ202" s="271" t="s">
        <v>379</v>
      </c>
      <c r="AU202" s="148"/>
      <c r="AV202" s="148"/>
      <c r="BQ202" s="232"/>
    </row>
    <row r="203" spans="1:69" x14ac:dyDescent="0.2">
      <c r="A203" s="256">
        <v>63</v>
      </c>
      <c r="B203" s="511" t="str">
        <f>$AM$111</f>
        <v>Network</v>
      </c>
      <c r="C203" s="314">
        <v>3</v>
      </c>
      <c r="D203" s="314">
        <v>4</v>
      </c>
      <c r="E203" s="304">
        <v>2</v>
      </c>
      <c r="F203" s="314" t="str">
        <f t="shared" si="3"/>
        <v>342</v>
      </c>
      <c r="G203" s="323">
        <f t="shared" si="1"/>
        <v>30.811385554912281</v>
      </c>
      <c r="H203" s="320">
        <f>'Detailed Avalerem Tables'!AA40</f>
        <v>25.447905602844685</v>
      </c>
      <c r="I203" s="320">
        <f>'Detailed Avalerem Tables'!AA89</f>
        <v>30.152454732981894</v>
      </c>
      <c r="J203" s="320">
        <f>'Detailed Avalerem Tables'!AA137</f>
        <v>32.93030137344843</v>
      </c>
      <c r="K203" s="320">
        <f>'Detailed Avalerem Tables'!AA185</f>
        <v>36.016774441385493</v>
      </c>
      <c r="L203" s="320">
        <f>'Detailed Avalerem Tables'!AA233</f>
        <v>26.634695271885427</v>
      </c>
      <c r="M203" s="320">
        <f>'Detailed Avalerem Tables'!BC40</f>
        <v>32.763599535448321</v>
      </c>
      <c r="N203" s="320">
        <f>'Detailed Avalerem Tables'!BC89</f>
        <v>29.214121228640231</v>
      </c>
      <c r="O203" s="320">
        <f>'Detailed Avalerem Tables'!BC137</f>
        <v>25.538829945290242</v>
      </c>
      <c r="P203" s="320">
        <f>'Detailed Avalerem Tables'!BC185</f>
        <v>30.45904070735785</v>
      </c>
      <c r="Q203" s="320">
        <f>'Detailed Avalerem Tables'!BC233</f>
        <v>26.349825163786292</v>
      </c>
      <c r="R203" s="320">
        <f>'Detailed Avalerem Tables'!CE40</f>
        <v>30.442390661256191</v>
      </c>
      <c r="S203" s="320">
        <f>'Detailed Avalerem Tables'!CE89</f>
        <v>27.980341643216676</v>
      </c>
      <c r="T203" s="320">
        <f>'Detailed Avalerem Tables'!CE137</f>
        <v>26.475828645637215</v>
      </c>
      <c r="U203" s="320">
        <f>'Detailed Avalerem Tables'!CE185</f>
        <v>28.384405831789959</v>
      </c>
      <c r="V203" s="320">
        <f>'Detailed Avalerem Tables'!CE233</f>
        <v>26.804674325240711</v>
      </c>
      <c r="W203" s="320">
        <f>'Detailed Avalerem Tables'!DG40</f>
        <v>34.445737113755747</v>
      </c>
      <c r="X203" s="320">
        <f>'Detailed Avalerem Tables'!DG89</f>
        <v>34.757879438820702</v>
      </c>
      <c r="Y203" s="320">
        <f>'Detailed Avalerem Tables'!DG137</f>
        <v>36.383459673731352</v>
      </c>
      <c r="Z203" s="320">
        <f>'Detailed Avalerem Tables'!DG185</f>
        <v>37.240123560102745</v>
      </c>
      <c r="AA203" s="320">
        <f>'Detailed Avalerem Tables'!DG233</f>
        <v>32.619265338628665</v>
      </c>
      <c r="AB203" s="320">
        <f>'Detailed Avalerem Tables'!EI40</f>
        <v>30.982110733508549</v>
      </c>
      <c r="AC203" s="320">
        <f>'Detailed Avalerem Tables'!EI89</f>
        <v>33.034082547774375</v>
      </c>
      <c r="AD203" s="320">
        <f>'Detailed Avalerem Tables'!EI137</f>
        <v>30.465362741883805</v>
      </c>
      <c r="AE203" s="320">
        <f>'Detailed Avalerem Tables'!EI185</f>
        <v>33.425000000000004</v>
      </c>
      <c r="AF203" s="323">
        <f>'Detailed Avalerem Tables'!EI233</f>
        <v>31.336428614391608</v>
      </c>
      <c r="AG203" s="237" t="s">
        <v>33</v>
      </c>
      <c r="AH203" s="269"/>
      <c r="AI203" s="270" t="str">
        <f>$AM$111</f>
        <v>Network</v>
      </c>
      <c r="AJ203" s="271" t="s">
        <v>379</v>
      </c>
      <c r="AU203" s="148"/>
      <c r="AV203" s="148"/>
      <c r="BQ203" s="232"/>
    </row>
    <row r="204" spans="1:69" x14ac:dyDescent="0.2">
      <c r="A204" s="256">
        <v>64</v>
      </c>
      <c r="B204" s="511" t="str">
        <f>$AM$112</f>
        <v>Embrace</v>
      </c>
      <c r="C204" s="314">
        <v>4</v>
      </c>
      <c r="D204" s="314">
        <v>4</v>
      </c>
      <c r="E204" s="304">
        <v>2</v>
      </c>
      <c r="F204" s="314" t="str">
        <f t="shared" si="3"/>
        <v>442</v>
      </c>
      <c r="G204" s="323">
        <f t="shared" si="1"/>
        <v>30.811385554912281</v>
      </c>
      <c r="H204" s="320">
        <f>'Detailed Avalerem Tables'!AA41</f>
        <v>25.447905602844685</v>
      </c>
      <c r="I204" s="320">
        <f>'Detailed Avalerem Tables'!AA90</f>
        <v>30.152454732981894</v>
      </c>
      <c r="J204" s="320">
        <f>'Detailed Avalerem Tables'!AA138</f>
        <v>32.93030137344843</v>
      </c>
      <c r="K204" s="320">
        <f>'Detailed Avalerem Tables'!AA186</f>
        <v>36.016774441385493</v>
      </c>
      <c r="L204" s="320">
        <f>'Detailed Avalerem Tables'!AA234</f>
        <v>26.634695271885427</v>
      </c>
      <c r="M204" s="320">
        <f>'Detailed Avalerem Tables'!BC41</f>
        <v>32.763599535448321</v>
      </c>
      <c r="N204" s="320">
        <f>'Detailed Avalerem Tables'!BC90</f>
        <v>29.214121228640234</v>
      </c>
      <c r="O204" s="320">
        <f>'Detailed Avalerem Tables'!BC138</f>
        <v>25.538829945290242</v>
      </c>
      <c r="P204" s="320">
        <f>'Detailed Avalerem Tables'!BC186</f>
        <v>30.45904070735785</v>
      </c>
      <c r="Q204" s="320">
        <f>'Detailed Avalerem Tables'!BC234</f>
        <v>26.349825163786292</v>
      </c>
      <c r="R204" s="320">
        <f>'Detailed Avalerem Tables'!CE41</f>
        <v>30.442390661256184</v>
      </c>
      <c r="S204" s="320">
        <f>'Detailed Avalerem Tables'!CE90</f>
        <v>27.980341643216683</v>
      </c>
      <c r="T204" s="320">
        <f>'Detailed Avalerem Tables'!CE138</f>
        <v>26.475828645637215</v>
      </c>
      <c r="U204" s="320">
        <f>'Detailed Avalerem Tables'!CE186</f>
        <v>28.384405831789959</v>
      </c>
      <c r="V204" s="320">
        <f>'Detailed Avalerem Tables'!CE234</f>
        <v>26.804674325240715</v>
      </c>
      <c r="W204" s="320">
        <f>'Detailed Avalerem Tables'!DG41</f>
        <v>34.445737113755747</v>
      </c>
      <c r="X204" s="320">
        <f>'Detailed Avalerem Tables'!DG90</f>
        <v>34.757879438820702</v>
      </c>
      <c r="Y204" s="320">
        <f>'Detailed Avalerem Tables'!DG138</f>
        <v>36.383459673731345</v>
      </c>
      <c r="Z204" s="320">
        <f>'Detailed Avalerem Tables'!DG186</f>
        <v>37.240123560102745</v>
      </c>
      <c r="AA204" s="320">
        <f>'Detailed Avalerem Tables'!DG234</f>
        <v>32.619265338628672</v>
      </c>
      <c r="AB204" s="320">
        <f>'Detailed Avalerem Tables'!EI41</f>
        <v>30.982110733508549</v>
      </c>
      <c r="AC204" s="320">
        <f>'Detailed Avalerem Tables'!EI90</f>
        <v>33.034082547774375</v>
      </c>
      <c r="AD204" s="320">
        <f>'Detailed Avalerem Tables'!EI138</f>
        <v>30.465362741883805</v>
      </c>
      <c r="AE204" s="320">
        <f>'Detailed Avalerem Tables'!EI186</f>
        <v>33.425000000000004</v>
      </c>
      <c r="AF204" s="323">
        <f>'Detailed Avalerem Tables'!EI234</f>
        <v>31.336428614391608</v>
      </c>
      <c r="AG204" s="237" t="s">
        <v>33</v>
      </c>
      <c r="AH204" s="269"/>
      <c r="AI204" s="270" t="str">
        <f>$AM$112</f>
        <v>Embrace</v>
      </c>
      <c r="AJ204" s="271" t="s">
        <v>379</v>
      </c>
      <c r="AU204" s="148"/>
      <c r="AV204" s="148"/>
      <c r="BQ204" s="232"/>
    </row>
    <row r="205" spans="1:69" x14ac:dyDescent="0.2">
      <c r="A205" s="256">
        <v>65</v>
      </c>
      <c r="B205" s="511" t="str">
        <f>$AM$113</f>
        <v>Standardize</v>
      </c>
      <c r="C205" s="314">
        <v>5</v>
      </c>
      <c r="D205" s="314">
        <v>4</v>
      </c>
      <c r="E205" s="304">
        <v>2</v>
      </c>
      <c r="F205" s="314" t="str">
        <f t="shared" si="3"/>
        <v>542</v>
      </c>
      <c r="G205" s="323">
        <f t="shared" si="1"/>
        <v>29.551266277812363</v>
      </c>
      <c r="H205" s="320">
        <f>'Detailed Avalerem Tables'!AA42</f>
        <v>24.316758061861076</v>
      </c>
      <c r="I205" s="320">
        <f>'Detailed Avalerem Tables'!AA91</f>
        <v>28.672454732981894</v>
      </c>
      <c r="J205" s="320">
        <f>'Detailed Avalerem Tables'!AA139</f>
        <v>31.6019431644932</v>
      </c>
      <c r="K205" s="320">
        <f>'Detailed Avalerem Tables'!AA187</f>
        <v>34.154705475868255</v>
      </c>
      <c r="L205" s="320">
        <f>'Detailed Avalerem Tables'!AA235</f>
        <v>25.398584160774313</v>
      </c>
      <c r="M205" s="320">
        <f>'Detailed Avalerem Tables'!BC42</f>
        <v>31.37376902697374</v>
      </c>
      <c r="N205" s="320">
        <f>'Detailed Avalerem Tables'!BC91</f>
        <v>28.100913681470423</v>
      </c>
      <c r="O205" s="320">
        <f>'Detailed Avalerem Tables'!BC139</f>
        <v>24.508526914987204</v>
      </c>
      <c r="P205" s="320">
        <f>'Detailed Avalerem Tables'!BC187</f>
        <v>29.370151818468962</v>
      </c>
      <c r="Q205" s="320">
        <f>'Detailed Avalerem Tables'!BC235</f>
        <v>25.13553944950058</v>
      </c>
      <c r="R205" s="320">
        <f>'Detailed Avalerem Tables'!CE42</f>
        <v>29.156676375541903</v>
      </c>
      <c r="S205" s="320">
        <f>'Detailed Avalerem Tables'!CE91</f>
        <v>26.647008309883343</v>
      </c>
      <c r="T205" s="320">
        <f>'Detailed Avalerem Tables'!CE139</f>
        <v>25.4026579139299</v>
      </c>
      <c r="U205" s="320">
        <f>'Detailed Avalerem Tables'!CE187</f>
        <v>27.149111714142901</v>
      </c>
      <c r="V205" s="320">
        <f>'Detailed Avalerem Tables'!CE235</f>
        <v>25.571340991907377</v>
      </c>
      <c r="W205" s="320">
        <f>'Detailed Avalerem Tables'!DG42</f>
        <v>33.342288837893676</v>
      </c>
      <c r="X205" s="320">
        <f>'Detailed Avalerem Tables'!DG91</f>
        <v>33.412424893366158</v>
      </c>
      <c r="Y205" s="320">
        <f>'Detailed Avalerem Tables'!DG139</f>
        <v>34.883459673731345</v>
      </c>
      <c r="Z205" s="320">
        <f>'Detailed Avalerem Tables'!DG187</f>
        <v>36.012850832830019</v>
      </c>
      <c r="AA205" s="320">
        <f>'Detailed Avalerem Tables'!DG235</f>
        <v>31.387122481485811</v>
      </c>
      <c r="AB205" s="320">
        <f>'Detailed Avalerem Tables'!EI42</f>
        <v>29.960371603073767</v>
      </c>
      <c r="AC205" s="320">
        <f>'Detailed Avalerem Tables'!EI91</f>
        <v>31.681141371303788</v>
      </c>
      <c r="AD205" s="320">
        <f>'Detailed Avalerem Tables'!EI139</f>
        <v>29.236196075217137</v>
      </c>
      <c r="AE205" s="320">
        <f>'Detailed Avalerem Tables'!EI187</f>
        <v>32.200000000000003</v>
      </c>
      <c r="AF205" s="323">
        <f>'Detailed Avalerem Tables'!EI235</f>
        <v>30.105659383622378</v>
      </c>
      <c r="AG205" s="237" t="s">
        <v>33</v>
      </c>
      <c r="AH205" s="269"/>
      <c r="AI205" s="270" t="str">
        <f>$AM$113</f>
        <v>Standardize</v>
      </c>
      <c r="AJ205" s="271" t="s">
        <v>379</v>
      </c>
      <c r="AU205" s="148"/>
      <c r="AV205" s="148"/>
      <c r="BQ205" s="232"/>
    </row>
    <row r="206" spans="1:69" x14ac:dyDescent="0.2">
      <c r="A206" s="256">
        <v>66</v>
      </c>
      <c r="B206" s="511" t="str">
        <f>$AM$114</f>
        <v>Conclude</v>
      </c>
      <c r="C206" s="314">
        <v>6</v>
      </c>
      <c r="D206" s="314">
        <v>4</v>
      </c>
      <c r="E206" s="304">
        <v>2</v>
      </c>
      <c r="F206" s="314" t="str">
        <f t="shared" si="3"/>
        <v>642</v>
      </c>
      <c r="G206" s="323">
        <f t="shared" ref="G206:G260" si="4">AVERAGE(H206:AF206)</f>
        <v>28.291147000712446</v>
      </c>
      <c r="H206" s="320">
        <f>'Detailed Avalerem Tables'!AA43</f>
        <v>23.185610520877468</v>
      </c>
      <c r="I206" s="320">
        <f>'Detailed Avalerem Tables'!AA92</f>
        <v>27.192454732981894</v>
      </c>
      <c r="J206" s="320">
        <f>'Detailed Avalerem Tables'!AA140</f>
        <v>30.273584955537977</v>
      </c>
      <c r="K206" s="320">
        <f>'Detailed Avalerem Tables'!AA188</f>
        <v>32.292636510351002</v>
      </c>
      <c r="L206" s="320">
        <f>'Detailed Avalerem Tables'!AA236</f>
        <v>24.162473049663202</v>
      </c>
      <c r="M206" s="320">
        <f>'Detailed Avalerem Tables'!BC43</f>
        <v>29.983938518499166</v>
      </c>
      <c r="N206" s="320">
        <f>'Detailed Avalerem Tables'!BC92</f>
        <v>26.987706134300609</v>
      </c>
      <c r="O206" s="320">
        <f>'Detailed Avalerem Tables'!BC140</f>
        <v>23.47822388468418</v>
      </c>
      <c r="P206" s="320">
        <f>'Detailed Avalerem Tables'!BC188</f>
        <v>28.281262929580073</v>
      </c>
      <c r="Q206" s="320">
        <f>'Detailed Avalerem Tables'!BC236</f>
        <v>23.921253735214862</v>
      </c>
      <c r="R206" s="320">
        <f>'Detailed Avalerem Tables'!CE43</f>
        <v>27.870962089827618</v>
      </c>
      <c r="S206" s="320">
        <f>'Detailed Avalerem Tables'!CE92</f>
        <v>25.313674976550011</v>
      </c>
      <c r="T206" s="320">
        <f>'Detailed Avalerem Tables'!CE140</f>
        <v>24.329487182222582</v>
      </c>
      <c r="U206" s="320">
        <f>'Detailed Avalerem Tables'!CE188</f>
        <v>25.913817596495839</v>
      </c>
      <c r="V206" s="320">
        <f>'Detailed Avalerem Tables'!CE236</f>
        <v>24.338007658574046</v>
      </c>
      <c r="W206" s="320">
        <f>'Detailed Avalerem Tables'!DG43</f>
        <v>32.238840562031605</v>
      </c>
      <c r="X206" s="320">
        <f>'Detailed Avalerem Tables'!DG92</f>
        <v>32.066970347911607</v>
      </c>
      <c r="Y206" s="320">
        <f>'Detailed Avalerem Tables'!DG140</f>
        <v>33.383459673731345</v>
      </c>
      <c r="Z206" s="320">
        <f>'Detailed Avalerem Tables'!DG188</f>
        <v>34.785578105557292</v>
      </c>
      <c r="AA206" s="320">
        <f>'Detailed Avalerem Tables'!DG236</f>
        <v>30.154979624342957</v>
      </c>
      <c r="AB206" s="320">
        <f>'Detailed Avalerem Tables'!EI43</f>
        <v>28.938632472638986</v>
      </c>
      <c r="AC206" s="320">
        <f>'Detailed Avalerem Tables'!EI92</f>
        <v>30.328200194833201</v>
      </c>
      <c r="AD206" s="320">
        <f>'Detailed Avalerem Tables'!EI140</f>
        <v>28.007029408550473</v>
      </c>
      <c r="AE206" s="320">
        <f>'Detailed Avalerem Tables'!EI188</f>
        <v>30.975000000000001</v>
      </c>
      <c r="AF206" s="323">
        <f>'Detailed Avalerem Tables'!EI236</f>
        <v>28.874890152853148</v>
      </c>
      <c r="AG206" s="237" t="s">
        <v>33</v>
      </c>
      <c r="AH206" s="269"/>
      <c r="AI206" s="270" t="str">
        <f>$AM$114</f>
        <v>Conclude</v>
      </c>
      <c r="AJ206" s="271" t="s">
        <v>379</v>
      </c>
      <c r="AU206" s="148"/>
      <c r="AV206" s="148"/>
      <c r="BQ206" s="232"/>
    </row>
    <row r="207" spans="1:69" x14ac:dyDescent="0.2">
      <c r="A207" s="256">
        <v>67</v>
      </c>
      <c r="B207" s="511" t="str">
        <f>$AM$115</f>
        <v>Authorize</v>
      </c>
      <c r="C207" s="314">
        <v>7</v>
      </c>
      <c r="D207" s="314">
        <v>4</v>
      </c>
      <c r="E207" s="304">
        <v>2</v>
      </c>
      <c r="F207" s="314" t="str">
        <f t="shared" si="3"/>
        <v>742</v>
      </c>
      <c r="G207" s="323">
        <f t="shared" si="4"/>
        <v>28.291147000712453</v>
      </c>
      <c r="H207" s="320">
        <f>'Detailed Avalerem Tables'!AA44</f>
        <v>23.185610520877471</v>
      </c>
      <c r="I207" s="320">
        <f>'Detailed Avalerem Tables'!AA93</f>
        <v>27.192454732981894</v>
      </c>
      <c r="J207" s="320">
        <f>'Detailed Avalerem Tables'!AA141</f>
        <v>30.273584955537984</v>
      </c>
      <c r="K207" s="320">
        <f>'Detailed Avalerem Tables'!AA189</f>
        <v>32.292636510351002</v>
      </c>
      <c r="L207" s="320">
        <f>'Detailed Avalerem Tables'!AA237</f>
        <v>24.162473049663205</v>
      </c>
      <c r="M207" s="320">
        <f>'Detailed Avalerem Tables'!BC44</f>
        <v>29.983938518499166</v>
      </c>
      <c r="N207" s="320">
        <f>'Detailed Avalerem Tables'!BC93</f>
        <v>26.987706134300609</v>
      </c>
      <c r="O207" s="320">
        <f>'Detailed Avalerem Tables'!BC141</f>
        <v>23.47822388468418</v>
      </c>
      <c r="P207" s="320">
        <f>'Detailed Avalerem Tables'!BC189</f>
        <v>28.281262929580073</v>
      </c>
      <c r="Q207" s="320">
        <f>'Detailed Avalerem Tables'!BC237</f>
        <v>23.921253735214862</v>
      </c>
      <c r="R207" s="320">
        <f>'Detailed Avalerem Tables'!CE44</f>
        <v>27.870962089827618</v>
      </c>
      <c r="S207" s="320">
        <f>'Detailed Avalerem Tables'!CE93</f>
        <v>25.313674976550011</v>
      </c>
      <c r="T207" s="320">
        <f>'Detailed Avalerem Tables'!CE141</f>
        <v>24.329487182222582</v>
      </c>
      <c r="U207" s="320">
        <f>'Detailed Avalerem Tables'!CE189</f>
        <v>25.913817596495839</v>
      </c>
      <c r="V207" s="320">
        <f>'Detailed Avalerem Tables'!CE237</f>
        <v>24.338007658574046</v>
      </c>
      <c r="W207" s="320">
        <f>'Detailed Avalerem Tables'!DG44</f>
        <v>32.238840562031605</v>
      </c>
      <c r="X207" s="320">
        <f>'Detailed Avalerem Tables'!DG93</f>
        <v>32.066970347911607</v>
      </c>
      <c r="Y207" s="320">
        <f>'Detailed Avalerem Tables'!DG141</f>
        <v>33.383459673731345</v>
      </c>
      <c r="Z207" s="320">
        <f>'Detailed Avalerem Tables'!DG189</f>
        <v>34.785578105557292</v>
      </c>
      <c r="AA207" s="320">
        <f>'Detailed Avalerem Tables'!DG237</f>
        <v>30.154979624342957</v>
      </c>
      <c r="AB207" s="320">
        <f>'Detailed Avalerem Tables'!EI44</f>
        <v>28.938632472638986</v>
      </c>
      <c r="AC207" s="320">
        <f>'Detailed Avalerem Tables'!EI93</f>
        <v>30.328200194833201</v>
      </c>
      <c r="AD207" s="320">
        <f>'Detailed Avalerem Tables'!EI141</f>
        <v>28.007029408550473</v>
      </c>
      <c r="AE207" s="320">
        <f>'Detailed Avalerem Tables'!EI189</f>
        <v>30.974999999999998</v>
      </c>
      <c r="AF207" s="323">
        <f>'Detailed Avalerem Tables'!EI237</f>
        <v>28.874890152853148</v>
      </c>
      <c r="AG207" s="237" t="s">
        <v>33</v>
      </c>
      <c r="AH207" s="269"/>
      <c r="AI207" s="270" t="str">
        <f>$AM$115</f>
        <v>Authorize</v>
      </c>
      <c r="AJ207" s="271" t="s">
        <v>379</v>
      </c>
      <c r="AU207" s="148"/>
      <c r="AV207" s="148"/>
      <c r="BQ207" s="232"/>
    </row>
    <row r="208" spans="1:69" x14ac:dyDescent="0.2">
      <c r="A208" s="256">
        <v>68</v>
      </c>
      <c r="B208" s="511" t="str">
        <f>$AM$116</f>
        <v>Operate</v>
      </c>
      <c r="C208" s="314">
        <v>8</v>
      </c>
      <c r="D208" s="314">
        <v>4</v>
      </c>
      <c r="E208" s="304">
        <v>2</v>
      </c>
      <c r="F208" s="314" t="str">
        <f t="shared" si="3"/>
        <v>842</v>
      </c>
      <c r="G208" s="323">
        <f t="shared" si="4"/>
        <v>29.551266277812363</v>
      </c>
      <c r="H208" s="320">
        <f>'Detailed Avalerem Tables'!AA45</f>
        <v>24.31675806186108</v>
      </c>
      <c r="I208" s="320">
        <f>'Detailed Avalerem Tables'!AA94</f>
        <v>28.672454732981894</v>
      </c>
      <c r="J208" s="320">
        <f>'Detailed Avalerem Tables'!AA142</f>
        <v>31.601943164493207</v>
      </c>
      <c r="K208" s="320">
        <f>'Detailed Avalerem Tables'!AA190</f>
        <v>34.154705475868248</v>
      </c>
      <c r="L208" s="320">
        <f>'Detailed Avalerem Tables'!AA238</f>
        <v>25.398584160774316</v>
      </c>
      <c r="M208" s="320">
        <f>'Detailed Avalerem Tables'!BC45</f>
        <v>31.37376902697374</v>
      </c>
      <c r="N208" s="320">
        <f>'Detailed Avalerem Tables'!BC94</f>
        <v>28.10091368147042</v>
      </c>
      <c r="O208" s="320">
        <f>'Detailed Avalerem Tables'!BC142</f>
        <v>24.508526914987211</v>
      </c>
      <c r="P208" s="320">
        <f>'Detailed Avalerem Tables'!BC190</f>
        <v>29.370151818468962</v>
      </c>
      <c r="Q208" s="320">
        <f>'Detailed Avalerem Tables'!BC238</f>
        <v>25.135539449500577</v>
      </c>
      <c r="R208" s="320">
        <f>'Detailed Avalerem Tables'!CE45</f>
        <v>29.156676375541903</v>
      </c>
      <c r="S208" s="320">
        <f>'Detailed Avalerem Tables'!CE94</f>
        <v>26.647008309883343</v>
      </c>
      <c r="T208" s="320">
        <f>'Detailed Avalerem Tables'!CE142</f>
        <v>25.4026579139299</v>
      </c>
      <c r="U208" s="320">
        <f>'Detailed Avalerem Tables'!CE190</f>
        <v>27.149111714142901</v>
      </c>
      <c r="V208" s="320">
        <f>'Detailed Avalerem Tables'!CE238</f>
        <v>25.571340991907377</v>
      </c>
      <c r="W208" s="320">
        <f>'Detailed Avalerem Tables'!DG45</f>
        <v>33.342288837893676</v>
      </c>
      <c r="X208" s="320">
        <f>'Detailed Avalerem Tables'!DG94</f>
        <v>33.412424893366151</v>
      </c>
      <c r="Y208" s="320">
        <f>'Detailed Avalerem Tables'!DG142</f>
        <v>34.883459673731345</v>
      </c>
      <c r="Z208" s="320">
        <f>'Detailed Avalerem Tables'!DG190</f>
        <v>36.012850832830019</v>
      </c>
      <c r="AA208" s="320">
        <f>'Detailed Avalerem Tables'!DG238</f>
        <v>31.387122481485811</v>
      </c>
      <c r="AB208" s="320">
        <f>'Detailed Avalerem Tables'!EI45</f>
        <v>29.960371603073764</v>
      </c>
      <c r="AC208" s="320">
        <f>'Detailed Avalerem Tables'!EI94</f>
        <v>31.681141371303788</v>
      </c>
      <c r="AD208" s="320">
        <f>'Detailed Avalerem Tables'!EI142</f>
        <v>29.236196075217141</v>
      </c>
      <c r="AE208" s="320">
        <f>'Detailed Avalerem Tables'!EI190</f>
        <v>32.200000000000003</v>
      </c>
      <c r="AF208" s="323">
        <f>'Detailed Avalerem Tables'!EI238</f>
        <v>30.105659383622381</v>
      </c>
      <c r="AG208" s="237" t="s">
        <v>33</v>
      </c>
      <c r="AH208" s="269"/>
      <c r="AI208" s="270" t="str">
        <f>$AM$116</f>
        <v>Operate</v>
      </c>
      <c r="AJ208" s="271" t="s">
        <v>379</v>
      </c>
      <c r="AU208" s="148"/>
      <c r="AV208" s="148"/>
      <c r="BQ208" s="232"/>
    </row>
    <row r="209" spans="1:69" x14ac:dyDescent="0.2">
      <c r="A209" s="256">
        <v>69</v>
      </c>
      <c r="B209" s="511" t="str">
        <f>$AM$117</f>
        <v>Cooperate</v>
      </c>
      <c r="C209" s="314">
        <v>9</v>
      </c>
      <c r="D209" s="314">
        <v>4</v>
      </c>
      <c r="E209" s="304">
        <v>2</v>
      </c>
      <c r="F209" s="314" t="str">
        <f t="shared" si="3"/>
        <v>942</v>
      </c>
      <c r="G209" s="323">
        <f t="shared" si="4"/>
        <v>30.811385554912281</v>
      </c>
      <c r="H209" s="320">
        <f>'Detailed Avalerem Tables'!AA46</f>
        <v>25.447905602844685</v>
      </c>
      <c r="I209" s="320">
        <f>'Detailed Avalerem Tables'!AA95</f>
        <v>30.152454732981894</v>
      </c>
      <c r="J209" s="320">
        <f>'Detailed Avalerem Tables'!AA143</f>
        <v>32.93030137344843</v>
      </c>
      <c r="K209" s="320">
        <f>'Detailed Avalerem Tables'!AA191</f>
        <v>36.016774441385493</v>
      </c>
      <c r="L209" s="320">
        <f>'Detailed Avalerem Tables'!AA239</f>
        <v>26.634695271885427</v>
      </c>
      <c r="M209" s="320">
        <f>'Detailed Avalerem Tables'!BC46</f>
        <v>32.763599535448321</v>
      </c>
      <c r="N209" s="320">
        <f>'Detailed Avalerem Tables'!BC95</f>
        <v>29.214121228640231</v>
      </c>
      <c r="O209" s="320">
        <f>'Detailed Avalerem Tables'!BC143</f>
        <v>25.538829945290242</v>
      </c>
      <c r="P209" s="320">
        <f>'Detailed Avalerem Tables'!BC191</f>
        <v>30.45904070735785</v>
      </c>
      <c r="Q209" s="320">
        <f>'Detailed Avalerem Tables'!BC239</f>
        <v>26.349825163786292</v>
      </c>
      <c r="R209" s="320">
        <f>'Detailed Avalerem Tables'!CE46</f>
        <v>30.442390661256191</v>
      </c>
      <c r="S209" s="320">
        <f>'Detailed Avalerem Tables'!CE95</f>
        <v>27.980341643216676</v>
      </c>
      <c r="T209" s="320">
        <f>'Detailed Avalerem Tables'!CE143</f>
        <v>26.475828645637215</v>
      </c>
      <c r="U209" s="320">
        <f>'Detailed Avalerem Tables'!CE191</f>
        <v>28.384405831789959</v>
      </c>
      <c r="V209" s="320">
        <f>'Detailed Avalerem Tables'!CE239</f>
        <v>26.804674325240711</v>
      </c>
      <c r="W209" s="320">
        <f>'Detailed Avalerem Tables'!DG46</f>
        <v>34.445737113755747</v>
      </c>
      <c r="X209" s="320">
        <f>'Detailed Avalerem Tables'!DG95</f>
        <v>34.757879438820702</v>
      </c>
      <c r="Y209" s="320">
        <f>'Detailed Avalerem Tables'!DG143</f>
        <v>36.383459673731352</v>
      </c>
      <c r="Z209" s="320">
        <f>'Detailed Avalerem Tables'!DG191</f>
        <v>37.240123560102745</v>
      </c>
      <c r="AA209" s="320">
        <f>'Detailed Avalerem Tables'!DG239</f>
        <v>32.619265338628665</v>
      </c>
      <c r="AB209" s="320">
        <f>'Detailed Avalerem Tables'!EI46</f>
        <v>30.982110733508549</v>
      </c>
      <c r="AC209" s="320">
        <f>'Detailed Avalerem Tables'!EI95</f>
        <v>33.034082547774375</v>
      </c>
      <c r="AD209" s="320">
        <f>'Detailed Avalerem Tables'!EI143</f>
        <v>30.465362741883805</v>
      </c>
      <c r="AE209" s="320">
        <f>'Detailed Avalerem Tables'!EI191</f>
        <v>33.425000000000004</v>
      </c>
      <c r="AF209" s="323">
        <f>'Detailed Avalerem Tables'!EI239</f>
        <v>31.336428614391608</v>
      </c>
      <c r="AG209" s="237" t="s">
        <v>33</v>
      </c>
      <c r="AH209" s="269"/>
      <c r="AI209" s="270" t="str">
        <f>$AM$117</f>
        <v>Cooperate</v>
      </c>
      <c r="AJ209" s="271" t="s">
        <v>379</v>
      </c>
      <c r="AU209" s="148"/>
      <c r="AV209" s="148"/>
      <c r="BQ209" s="232"/>
    </row>
    <row r="210" spans="1:69" x14ac:dyDescent="0.2">
      <c r="A210" s="256">
        <v>70</v>
      </c>
      <c r="B210" s="511" t="str">
        <f>$AM$118</f>
        <v>Risk</v>
      </c>
      <c r="C210" s="314">
        <v>10</v>
      </c>
      <c r="D210" s="314">
        <v>4</v>
      </c>
      <c r="E210" s="304">
        <v>2</v>
      </c>
      <c r="F210" s="314" t="str">
        <f t="shared" si="3"/>
        <v>1042</v>
      </c>
      <c r="G210" s="323">
        <f t="shared" si="4"/>
        <v>30.811385554912281</v>
      </c>
      <c r="H210" s="320">
        <f>'Detailed Avalerem Tables'!AA47</f>
        <v>25.447905602844685</v>
      </c>
      <c r="I210" s="320">
        <f>'Detailed Avalerem Tables'!AA96</f>
        <v>30.152454732981894</v>
      </c>
      <c r="J210" s="320">
        <f>'Detailed Avalerem Tables'!AA144</f>
        <v>32.93030137344843</v>
      </c>
      <c r="K210" s="320">
        <f>'Detailed Avalerem Tables'!AA192</f>
        <v>36.016774441385493</v>
      </c>
      <c r="L210" s="320">
        <f>'Detailed Avalerem Tables'!AA240</f>
        <v>26.634695271885427</v>
      </c>
      <c r="M210" s="320">
        <f>'Detailed Avalerem Tables'!BC47</f>
        <v>32.763599535448321</v>
      </c>
      <c r="N210" s="320">
        <f>'Detailed Avalerem Tables'!BC96</f>
        <v>29.214121228640234</v>
      </c>
      <c r="O210" s="320">
        <f>'Detailed Avalerem Tables'!BC144</f>
        <v>25.538829945290242</v>
      </c>
      <c r="P210" s="320">
        <f>'Detailed Avalerem Tables'!BC192</f>
        <v>30.45904070735785</v>
      </c>
      <c r="Q210" s="320">
        <f>'Detailed Avalerem Tables'!BC240</f>
        <v>26.349825163786292</v>
      </c>
      <c r="R210" s="320">
        <f>'Detailed Avalerem Tables'!CE47</f>
        <v>30.442390661256184</v>
      </c>
      <c r="S210" s="320">
        <f>'Detailed Avalerem Tables'!CE96</f>
        <v>27.980341643216683</v>
      </c>
      <c r="T210" s="320">
        <f>'Detailed Avalerem Tables'!CE144</f>
        <v>26.475828645637215</v>
      </c>
      <c r="U210" s="320">
        <f>'Detailed Avalerem Tables'!CE192</f>
        <v>28.384405831789959</v>
      </c>
      <c r="V210" s="320">
        <f>'Detailed Avalerem Tables'!CE240</f>
        <v>26.804674325240715</v>
      </c>
      <c r="W210" s="320">
        <f>'Detailed Avalerem Tables'!DG47</f>
        <v>34.445737113755747</v>
      </c>
      <c r="X210" s="320">
        <f>'Detailed Avalerem Tables'!DG96</f>
        <v>34.757879438820702</v>
      </c>
      <c r="Y210" s="320">
        <f>'Detailed Avalerem Tables'!DG144</f>
        <v>36.383459673731345</v>
      </c>
      <c r="Z210" s="320">
        <f>'Detailed Avalerem Tables'!DG192</f>
        <v>37.240123560102745</v>
      </c>
      <c r="AA210" s="320">
        <f>'Detailed Avalerem Tables'!DG240</f>
        <v>32.619265338628672</v>
      </c>
      <c r="AB210" s="320">
        <f>'Detailed Avalerem Tables'!EI47</f>
        <v>30.982110733508549</v>
      </c>
      <c r="AC210" s="320">
        <f>'Detailed Avalerem Tables'!EI96</f>
        <v>33.034082547774375</v>
      </c>
      <c r="AD210" s="320">
        <f>'Detailed Avalerem Tables'!EI144</f>
        <v>30.465362741883805</v>
      </c>
      <c r="AE210" s="320">
        <f>'Detailed Avalerem Tables'!EI192</f>
        <v>33.425000000000004</v>
      </c>
      <c r="AF210" s="323">
        <f>'Detailed Avalerem Tables'!EI240</f>
        <v>31.336428614391608</v>
      </c>
      <c r="AG210" s="237" t="s">
        <v>33</v>
      </c>
      <c r="AH210" s="269"/>
      <c r="AI210" s="270" t="str">
        <f>$AM$118</f>
        <v>Risk</v>
      </c>
      <c r="AJ210" s="271" t="s">
        <v>379</v>
      </c>
      <c r="AU210" s="148"/>
      <c r="AV210" s="148"/>
      <c r="BQ210" s="232"/>
    </row>
    <row r="211" spans="1:69" x14ac:dyDescent="0.2">
      <c r="A211" s="256">
        <v>71</v>
      </c>
      <c r="B211" s="511" t="str">
        <f>$AM$119</f>
        <v>Initiate</v>
      </c>
      <c r="C211" s="314">
        <v>11</v>
      </c>
      <c r="D211" s="314">
        <v>4</v>
      </c>
      <c r="E211" s="304">
        <v>2</v>
      </c>
      <c r="F211" s="314" t="str">
        <f t="shared" si="3"/>
        <v>1142</v>
      </c>
      <c r="G211" s="323">
        <f t="shared" si="4"/>
        <v>29.551266277812363</v>
      </c>
      <c r="H211" s="320">
        <f>'Detailed Avalerem Tables'!AA48</f>
        <v>24.316758061861076</v>
      </c>
      <c r="I211" s="320">
        <f>'Detailed Avalerem Tables'!AA97</f>
        <v>28.672454732981894</v>
      </c>
      <c r="J211" s="320">
        <f>'Detailed Avalerem Tables'!AA145</f>
        <v>31.6019431644932</v>
      </c>
      <c r="K211" s="320">
        <f>'Detailed Avalerem Tables'!AA193</f>
        <v>34.154705475868255</v>
      </c>
      <c r="L211" s="320">
        <f>'Detailed Avalerem Tables'!AA241</f>
        <v>25.398584160774313</v>
      </c>
      <c r="M211" s="320">
        <f>'Detailed Avalerem Tables'!BC48</f>
        <v>31.37376902697374</v>
      </c>
      <c r="N211" s="320">
        <f>'Detailed Avalerem Tables'!BC97</f>
        <v>28.100913681470423</v>
      </c>
      <c r="O211" s="320">
        <f>'Detailed Avalerem Tables'!BC145</f>
        <v>24.508526914987204</v>
      </c>
      <c r="P211" s="320">
        <f>'Detailed Avalerem Tables'!BC193</f>
        <v>29.370151818468962</v>
      </c>
      <c r="Q211" s="320">
        <f>'Detailed Avalerem Tables'!BC241</f>
        <v>25.13553944950058</v>
      </c>
      <c r="R211" s="320">
        <f>'Detailed Avalerem Tables'!CE48</f>
        <v>29.156676375541903</v>
      </c>
      <c r="S211" s="320">
        <f>'Detailed Avalerem Tables'!CE97</f>
        <v>26.647008309883343</v>
      </c>
      <c r="T211" s="320">
        <f>'Detailed Avalerem Tables'!CE145</f>
        <v>25.4026579139299</v>
      </c>
      <c r="U211" s="320">
        <f>'Detailed Avalerem Tables'!CE193</f>
        <v>27.149111714142901</v>
      </c>
      <c r="V211" s="320">
        <f>'Detailed Avalerem Tables'!CE241</f>
        <v>25.571340991907377</v>
      </c>
      <c r="W211" s="320">
        <f>'Detailed Avalerem Tables'!DG48</f>
        <v>33.342288837893676</v>
      </c>
      <c r="X211" s="320">
        <f>'Detailed Avalerem Tables'!DG97</f>
        <v>33.412424893366158</v>
      </c>
      <c r="Y211" s="320">
        <f>'Detailed Avalerem Tables'!DG145</f>
        <v>34.883459673731345</v>
      </c>
      <c r="Z211" s="320">
        <f>'Detailed Avalerem Tables'!DG193</f>
        <v>36.012850832830019</v>
      </c>
      <c r="AA211" s="320">
        <f>'Detailed Avalerem Tables'!DG241</f>
        <v>31.387122481485811</v>
      </c>
      <c r="AB211" s="320">
        <f>'Detailed Avalerem Tables'!EI48</f>
        <v>29.960371603073767</v>
      </c>
      <c r="AC211" s="320">
        <f>'Detailed Avalerem Tables'!EI97</f>
        <v>31.681141371303788</v>
      </c>
      <c r="AD211" s="320">
        <f>'Detailed Avalerem Tables'!EI145</f>
        <v>29.236196075217137</v>
      </c>
      <c r="AE211" s="320">
        <f>'Detailed Avalerem Tables'!EI193</f>
        <v>32.200000000000003</v>
      </c>
      <c r="AF211" s="323">
        <f>'Detailed Avalerem Tables'!EI241</f>
        <v>30.105659383622378</v>
      </c>
      <c r="AG211" s="237" t="s">
        <v>33</v>
      </c>
      <c r="AH211" s="269"/>
      <c r="AI211" s="270" t="str">
        <f>$AM$119</f>
        <v>Initiate</v>
      </c>
      <c r="AJ211" s="271" t="s">
        <v>379</v>
      </c>
      <c r="AU211" s="148"/>
      <c r="AV211" s="148"/>
      <c r="BQ211" s="232"/>
    </row>
    <row r="212" spans="1:69" x14ac:dyDescent="0.2">
      <c r="A212" s="256">
        <v>72</v>
      </c>
      <c r="B212" s="511" t="str">
        <f>$AM$120</f>
        <v>Announce</v>
      </c>
      <c r="C212" s="314">
        <v>12</v>
      </c>
      <c r="D212" s="314">
        <v>4</v>
      </c>
      <c r="E212" s="304">
        <v>2</v>
      </c>
      <c r="F212" s="314" t="str">
        <f t="shared" si="3"/>
        <v>1242</v>
      </c>
      <c r="G212" s="323">
        <f t="shared" si="4"/>
        <v>28.291147000712446</v>
      </c>
      <c r="H212" s="320">
        <f>'Detailed Avalerem Tables'!AA49</f>
        <v>23.185610520877468</v>
      </c>
      <c r="I212" s="320">
        <f>'Detailed Avalerem Tables'!AA98</f>
        <v>27.192454732981894</v>
      </c>
      <c r="J212" s="320">
        <f>'Detailed Avalerem Tables'!AA146</f>
        <v>30.273584955537977</v>
      </c>
      <c r="K212" s="320">
        <f>'Detailed Avalerem Tables'!AA194</f>
        <v>32.292636510351002</v>
      </c>
      <c r="L212" s="320">
        <f>'Detailed Avalerem Tables'!AA242</f>
        <v>24.162473049663202</v>
      </c>
      <c r="M212" s="320">
        <f>'Detailed Avalerem Tables'!BC49</f>
        <v>29.983938518499166</v>
      </c>
      <c r="N212" s="320">
        <f>'Detailed Avalerem Tables'!BC98</f>
        <v>26.987706134300609</v>
      </c>
      <c r="O212" s="320">
        <f>'Detailed Avalerem Tables'!BC146</f>
        <v>23.47822388468418</v>
      </c>
      <c r="P212" s="320">
        <f>'Detailed Avalerem Tables'!BC194</f>
        <v>28.281262929580073</v>
      </c>
      <c r="Q212" s="320">
        <f>'Detailed Avalerem Tables'!BC242</f>
        <v>23.921253735214862</v>
      </c>
      <c r="R212" s="320">
        <f>'Detailed Avalerem Tables'!CE49</f>
        <v>27.870962089827618</v>
      </c>
      <c r="S212" s="320">
        <f>'Detailed Avalerem Tables'!CE98</f>
        <v>25.313674976550011</v>
      </c>
      <c r="T212" s="320">
        <f>'Detailed Avalerem Tables'!CE146</f>
        <v>24.329487182222582</v>
      </c>
      <c r="U212" s="320">
        <f>'Detailed Avalerem Tables'!CE194</f>
        <v>25.913817596495839</v>
      </c>
      <c r="V212" s="320">
        <f>'Detailed Avalerem Tables'!CE242</f>
        <v>24.338007658574046</v>
      </c>
      <c r="W212" s="320">
        <f>'Detailed Avalerem Tables'!DG49</f>
        <v>32.238840562031605</v>
      </c>
      <c r="X212" s="320">
        <f>'Detailed Avalerem Tables'!DG98</f>
        <v>32.066970347911607</v>
      </c>
      <c r="Y212" s="320">
        <f>'Detailed Avalerem Tables'!DG146</f>
        <v>33.383459673731345</v>
      </c>
      <c r="Z212" s="320">
        <f>'Detailed Avalerem Tables'!DG194</f>
        <v>34.785578105557292</v>
      </c>
      <c r="AA212" s="320">
        <f>'Detailed Avalerem Tables'!DG242</f>
        <v>30.154979624342957</v>
      </c>
      <c r="AB212" s="320">
        <f>'Detailed Avalerem Tables'!EI49</f>
        <v>28.938632472638986</v>
      </c>
      <c r="AC212" s="320">
        <f>'Detailed Avalerem Tables'!EI98</f>
        <v>30.328200194833201</v>
      </c>
      <c r="AD212" s="320">
        <f>'Detailed Avalerem Tables'!EI146</f>
        <v>28.007029408550473</v>
      </c>
      <c r="AE212" s="320">
        <f>'Detailed Avalerem Tables'!EI194</f>
        <v>30.975000000000001</v>
      </c>
      <c r="AF212" s="323">
        <f>'Detailed Avalerem Tables'!EI242</f>
        <v>28.874890152853148</v>
      </c>
      <c r="AG212" s="237" t="s">
        <v>33</v>
      </c>
      <c r="AH212" s="269"/>
      <c r="AI212" s="270" t="str">
        <f>$AM$120</f>
        <v>Announce</v>
      </c>
      <c r="AJ212" s="271" t="s">
        <v>379</v>
      </c>
      <c r="AU212" s="148"/>
      <c r="AV212" s="148"/>
      <c r="BQ212" s="232"/>
    </row>
    <row r="213" spans="1:69" x14ac:dyDescent="0.2">
      <c r="A213" s="256">
        <v>73</v>
      </c>
      <c r="B213" s="512" t="str">
        <f>$BD$109</f>
        <v>Start</v>
      </c>
      <c r="C213" s="313">
        <v>1</v>
      </c>
      <c r="D213" s="313">
        <v>3</v>
      </c>
      <c r="E213" s="305">
        <v>1</v>
      </c>
      <c r="F213" s="313" t="str">
        <f>_xlfn.CONCAT(C213,D213,E213)</f>
        <v>131</v>
      </c>
      <c r="G213" s="324">
        <f t="shared" si="4"/>
        <v>12.487747390847485</v>
      </c>
      <c r="H213" s="321">
        <f>'Detailed Avalerem Tables'!Z23</f>
        <v>8.6630952380952362</v>
      </c>
      <c r="I213" s="321">
        <f>'Detailed Avalerem Tables'!Z72</f>
        <v>8.3472222222222214</v>
      </c>
      <c r="J213" s="321">
        <f>'Detailed Avalerem Tables'!Z120</f>
        <v>8.5262345679012341</v>
      </c>
      <c r="K213" s="321">
        <f>'Detailed Avalerem Tables'!Z168</f>
        <v>8.4085497835497822</v>
      </c>
      <c r="L213" s="321">
        <f>'Detailed Avalerem Tables'!Z216</f>
        <v>8.3750000000000018</v>
      </c>
      <c r="M213" s="321">
        <f>'Detailed Avalerem Tables'!BB23</f>
        <v>11.617248062015506</v>
      </c>
      <c r="N213" s="321">
        <f>'Detailed Avalerem Tables'!BB72</f>
        <v>11.993421052631579</v>
      </c>
      <c r="O213" s="321">
        <f>'Detailed Avalerem Tables'!BB120</f>
        <v>13.249113475177303</v>
      </c>
      <c r="P213" s="321">
        <f>'Detailed Avalerem Tables'!BB168</f>
        <v>12.056372549019608</v>
      </c>
      <c r="Q213" s="321">
        <f>'Detailed Avalerem Tables'!BB216</f>
        <v>11.364393939393938</v>
      </c>
      <c r="R213" s="321">
        <f>'Detailed Avalerem Tables'!CD23</f>
        <v>10.15373563218391</v>
      </c>
      <c r="S213" s="321">
        <f>'Detailed Avalerem Tables'!CD72</f>
        <v>10.482142857142856</v>
      </c>
      <c r="T213" s="321">
        <f>'Detailed Avalerem Tables'!CD120</f>
        <v>10.958333333333332</v>
      </c>
      <c r="U213" s="321">
        <f>'Detailed Avalerem Tables'!CD168</f>
        <v>10.51117886178862</v>
      </c>
      <c r="V213" s="321">
        <f>'Detailed Avalerem Tables'!CD216</f>
        <v>10.312074829931973</v>
      </c>
      <c r="W213" s="321">
        <f>'Detailed Avalerem Tables'!DF23</f>
        <v>17.00595238095238</v>
      </c>
      <c r="X213" s="321">
        <f>'Detailed Avalerem Tables'!DF72</f>
        <v>18.410310734463277</v>
      </c>
      <c r="Y213" s="321">
        <f>'Detailed Avalerem Tables'!DF120</f>
        <v>17.958333333333332</v>
      </c>
      <c r="Z213" s="321">
        <f>'Detailed Avalerem Tables'!DF168</f>
        <v>18.910714285714285</v>
      </c>
      <c r="AA213" s="321">
        <f>'Detailed Avalerem Tables'!DF216</f>
        <v>18.034523809523808</v>
      </c>
      <c r="AB213" s="321">
        <f>'Detailed Avalerem Tables'!EH23</f>
        <v>12.976598173515981</v>
      </c>
      <c r="AC213" s="321">
        <f>'Detailed Avalerem Tables'!EH72</f>
        <v>13.666666666666668</v>
      </c>
      <c r="AD213" s="321">
        <f>'Detailed Avalerem Tables'!EH120</f>
        <v>12.936827956989248</v>
      </c>
      <c r="AE213" s="321">
        <f>'Detailed Avalerem Tables'!EH168</f>
        <v>13.720238095238095</v>
      </c>
      <c r="AF213" s="324">
        <f>'Detailed Avalerem Tables'!EH216</f>
        <v>13.555402930402931</v>
      </c>
      <c r="AG213" s="239" t="s">
        <v>32</v>
      </c>
      <c r="AH213" s="265"/>
      <c r="AI213" s="266" t="str">
        <f>$BD$109</f>
        <v>Start</v>
      </c>
      <c r="AJ213" s="267" t="s">
        <v>362</v>
      </c>
      <c r="AU213" s="148"/>
      <c r="AV213" s="148"/>
      <c r="BQ213" s="232"/>
    </row>
    <row r="214" spans="1:69" x14ac:dyDescent="0.2">
      <c r="A214" s="256">
        <v>74</v>
      </c>
      <c r="B214" s="512" t="str">
        <f>$BD$110</f>
        <v>Prepare</v>
      </c>
      <c r="C214" s="313">
        <v>2</v>
      </c>
      <c r="D214" s="313">
        <v>3</v>
      </c>
      <c r="E214" s="305">
        <v>1</v>
      </c>
      <c r="F214" s="313" t="str">
        <f t="shared" ref="F214:F236" si="5">_xlfn.CONCAT(C214,D214,E214)</f>
        <v>231</v>
      </c>
      <c r="G214" s="324">
        <f t="shared" si="4"/>
        <v>15.349913711425824</v>
      </c>
      <c r="H214" s="321">
        <f>'Detailed Avalerem Tables'!Z24</f>
        <v>13.819047619047616</v>
      </c>
      <c r="I214" s="321">
        <f>'Detailed Avalerem Tables'!Z73</f>
        <v>12.555555555555554</v>
      </c>
      <c r="J214" s="321">
        <f>'Detailed Avalerem Tables'!Z121</f>
        <v>13.271604938271604</v>
      </c>
      <c r="K214" s="321">
        <f>'Detailed Avalerem Tables'!Z169</f>
        <v>12.8008658008658</v>
      </c>
      <c r="L214" s="321">
        <f>'Detailed Avalerem Tables'!Z217</f>
        <v>12.666666666666668</v>
      </c>
      <c r="M214" s="321">
        <f>'Detailed Avalerem Tables'!BB24</f>
        <v>10.496124031007753</v>
      </c>
      <c r="N214" s="321">
        <f>'Detailed Avalerem Tables'!BB73</f>
        <v>10.684210526315788</v>
      </c>
      <c r="O214" s="321">
        <f>'Detailed Avalerem Tables'!BB121</f>
        <v>11.312056737588652</v>
      </c>
      <c r="P214" s="321">
        <f>'Detailed Avalerem Tables'!BB169</f>
        <v>10.715686274509803</v>
      </c>
      <c r="Q214" s="321">
        <f>'Detailed Avalerem Tables'!BB217</f>
        <v>10.369696969696969</v>
      </c>
      <c r="R214" s="321">
        <f>'Detailed Avalerem Tables'!CD24</f>
        <v>19.781609195402297</v>
      </c>
      <c r="S214" s="321">
        <f>'Detailed Avalerem Tables'!CD73</f>
        <v>21.095238095238095</v>
      </c>
      <c r="T214" s="321">
        <f>'Detailed Avalerem Tables'!CD121</f>
        <v>23</v>
      </c>
      <c r="U214" s="321">
        <f>'Detailed Avalerem Tables'!CD169</f>
        <v>21.211382113821138</v>
      </c>
      <c r="V214" s="321">
        <f>'Detailed Avalerem Tables'!CD217</f>
        <v>20.414965986394556</v>
      </c>
      <c r="W214" s="321">
        <f>'Detailed Avalerem Tables'!DF24</f>
        <v>14.404761904761905</v>
      </c>
      <c r="X214" s="321">
        <f>'Detailed Avalerem Tables'!DF73</f>
        <v>15.282485875706215</v>
      </c>
      <c r="Y214" s="321">
        <f>'Detailed Avalerem Tables'!DF121</f>
        <v>15</v>
      </c>
      <c r="Z214" s="321">
        <f>'Detailed Avalerem Tables'!DF169</f>
        <v>15.595238095238095</v>
      </c>
      <c r="AA214" s="321">
        <f>'Detailed Avalerem Tables'!DF217</f>
        <v>15.047619047619047</v>
      </c>
      <c r="AB214" s="321">
        <f>'Detailed Avalerem Tables'!EH24</f>
        <v>16.292237442922374</v>
      </c>
      <c r="AC214" s="321">
        <f>'Detailed Avalerem Tables'!EH73</f>
        <v>17.258333333333333</v>
      </c>
      <c r="AD214" s="321">
        <f>'Detailed Avalerem Tables'!EH121</f>
        <v>16.236559139784944</v>
      </c>
      <c r="AE214" s="321">
        <f>'Detailed Avalerem Tables'!EH169</f>
        <v>17.333333333333332</v>
      </c>
      <c r="AF214" s="324">
        <f>'Detailed Avalerem Tables'!EH217</f>
        <v>17.102564102564102</v>
      </c>
      <c r="AG214" s="239" t="s">
        <v>32</v>
      </c>
      <c r="AH214" s="265"/>
      <c r="AI214" s="266" t="str">
        <f>$BD$110</f>
        <v>Prepare</v>
      </c>
      <c r="AJ214" s="267" t="s">
        <v>362</v>
      </c>
      <c r="AU214" s="148"/>
      <c r="AV214" s="148"/>
      <c r="BQ214" s="232"/>
    </row>
    <row r="215" spans="1:69" x14ac:dyDescent="0.2">
      <c r="A215" s="256">
        <v>75</v>
      </c>
      <c r="B215" s="512" t="str">
        <f>$BD$111</f>
        <v>Practice</v>
      </c>
      <c r="C215" s="313">
        <v>3</v>
      </c>
      <c r="D215" s="313">
        <v>3</v>
      </c>
      <c r="E215" s="305">
        <v>1</v>
      </c>
      <c r="F215" s="313" t="str">
        <f t="shared" si="5"/>
        <v>331</v>
      </c>
      <c r="G215" s="324">
        <f t="shared" si="4"/>
        <v>15.47396370226063</v>
      </c>
      <c r="H215" s="321">
        <f>'Detailed Avalerem Tables'!Z25</f>
        <v>12.11785714285714</v>
      </c>
      <c r="I215" s="321">
        <f>'Detailed Avalerem Tables'!Z74</f>
        <v>11.486111111111111</v>
      </c>
      <c r="J215" s="321">
        <f>'Detailed Avalerem Tables'!Z122</f>
        <v>11.844135802469136</v>
      </c>
      <c r="K215" s="321">
        <f>'Detailed Avalerem Tables'!Z170</f>
        <v>11.608766233766232</v>
      </c>
      <c r="L215" s="321">
        <f>'Detailed Avalerem Tables'!Z218</f>
        <v>11.541666666666668</v>
      </c>
      <c r="M215" s="321">
        <f>'Detailed Avalerem Tables'!BB25</f>
        <v>18.026162790697676</v>
      </c>
      <c r="N215" s="321">
        <f>'Detailed Avalerem Tables'!BB74</f>
        <v>18.778508771929822</v>
      </c>
      <c r="O215" s="321">
        <f>'Detailed Avalerem Tables'!BB122</f>
        <v>21.289893617021278</v>
      </c>
      <c r="P215" s="321">
        <f>'Detailed Avalerem Tables'!BB170</f>
        <v>18.904411764705884</v>
      </c>
      <c r="Q215" s="321">
        <f>'Detailed Avalerem Tables'!BB218</f>
        <v>17.520454545454541</v>
      </c>
      <c r="R215" s="321">
        <f>'Detailed Avalerem Tables'!CD25</f>
        <v>16.530172413793103</v>
      </c>
      <c r="S215" s="321">
        <f>'Detailed Avalerem Tables'!CD74</f>
        <v>17.351190476190474</v>
      </c>
      <c r="T215" s="321">
        <f>'Detailed Avalerem Tables'!CD122</f>
        <v>18.541666666666664</v>
      </c>
      <c r="U215" s="321">
        <f>'Detailed Avalerem Tables'!CD170</f>
        <v>17.42378048780488</v>
      </c>
      <c r="V215" s="321">
        <f>'Detailed Avalerem Tables'!CD218</f>
        <v>16.926020408163264</v>
      </c>
      <c r="W215" s="321">
        <f>'Detailed Avalerem Tables'!DF25</f>
        <v>17.875</v>
      </c>
      <c r="X215" s="321">
        <f>'Detailed Avalerem Tables'!DF74</f>
        <v>19.103813559322035</v>
      </c>
      <c r="Y215" s="321">
        <f>'Detailed Avalerem Tables'!DF122</f>
        <v>18.708333333333336</v>
      </c>
      <c r="Z215" s="321">
        <f>'Detailed Avalerem Tables'!DF170</f>
        <v>19.541666666666664</v>
      </c>
      <c r="AA215" s="321">
        <f>'Detailed Avalerem Tables'!DF218</f>
        <v>18.774999999999999</v>
      </c>
      <c r="AB215" s="321">
        <f>'Detailed Avalerem Tables'!EH25</f>
        <v>10.511986301369864</v>
      </c>
      <c r="AC215" s="321">
        <f>'Detailed Avalerem Tables'!EH74</f>
        <v>10.65</v>
      </c>
      <c r="AD215" s="321">
        <f>'Detailed Avalerem Tables'!EH122</f>
        <v>10.504032258064516</v>
      </c>
      <c r="AE215" s="321">
        <f>'Detailed Avalerem Tables'!EH170</f>
        <v>10.660714285714285</v>
      </c>
      <c r="AF215" s="324">
        <f>'Detailed Avalerem Tables'!EH218</f>
        <v>10.627747252747255</v>
      </c>
      <c r="AG215" s="239" t="s">
        <v>32</v>
      </c>
      <c r="AH215" s="265"/>
      <c r="AI215" s="266" t="str">
        <f>$BD$111</f>
        <v>Practice</v>
      </c>
      <c r="AJ215" s="267" t="s">
        <v>362</v>
      </c>
      <c r="AU215" s="148"/>
      <c r="AV215" s="148"/>
      <c r="BQ215" s="232"/>
    </row>
    <row r="216" spans="1:69" x14ac:dyDescent="0.2">
      <c r="A216" s="256">
        <v>76</v>
      </c>
      <c r="B216" s="512" t="str">
        <f>$BD$112</f>
        <v>Measure</v>
      </c>
      <c r="C216" s="313">
        <v>4</v>
      </c>
      <c r="D216" s="313">
        <v>3</v>
      </c>
      <c r="E216" s="305">
        <v>1</v>
      </c>
      <c r="F216" s="313" t="str">
        <f t="shared" si="5"/>
        <v>431</v>
      </c>
      <c r="G216" s="324">
        <f t="shared" si="4"/>
        <v>15.918179527407723</v>
      </c>
      <c r="H216" s="321">
        <f>'Detailed Avalerem Tables'!Z26</f>
        <v>20.346428571428568</v>
      </c>
      <c r="I216" s="321">
        <f>'Detailed Avalerem Tables'!Z75</f>
        <v>17.819444444444443</v>
      </c>
      <c r="J216" s="321">
        <f>'Detailed Avalerem Tables'!Z123</f>
        <v>19.251543209876544</v>
      </c>
      <c r="K216" s="321">
        <f>'Detailed Avalerem Tables'!Z171</f>
        <v>18.310064935064933</v>
      </c>
      <c r="L216" s="321">
        <f>'Detailed Avalerem Tables'!Z219</f>
        <v>18.041666666666668</v>
      </c>
      <c r="M216" s="321">
        <f>'Detailed Avalerem Tables'!BB26</f>
        <v>14.781976744186046</v>
      </c>
      <c r="N216" s="321">
        <f>'Detailed Avalerem Tables'!BB75</f>
        <v>15.25219298245614</v>
      </c>
      <c r="O216" s="321">
        <f>'Detailed Avalerem Tables'!BB123</f>
        <v>16.821808510638299</v>
      </c>
      <c r="P216" s="321">
        <f>'Detailed Avalerem Tables'!BB171</f>
        <v>15.330882352941178</v>
      </c>
      <c r="Q216" s="321">
        <f>'Detailed Avalerem Tables'!BB219</f>
        <v>14.465909090909086</v>
      </c>
      <c r="R216" s="321">
        <f>'Detailed Avalerem Tables'!CD26</f>
        <v>19.392241379310349</v>
      </c>
      <c r="S216" s="321">
        <f>'Detailed Avalerem Tables'!CD75</f>
        <v>20.541666666666664</v>
      </c>
      <c r="T216" s="321">
        <f>'Detailed Avalerem Tables'!CD123</f>
        <v>22.208333333333332</v>
      </c>
      <c r="U216" s="321">
        <f>'Detailed Avalerem Tables'!CD171</f>
        <v>20.64329268292683</v>
      </c>
      <c r="V216" s="321">
        <f>'Detailed Avalerem Tables'!CD219</f>
        <v>19.946428571428569</v>
      </c>
      <c r="W216" s="321">
        <f>'Detailed Avalerem Tables'!DF26</f>
        <v>10.589285714285712</v>
      </c>
      <c r="X216" s="321">
        <f>'Detailed Avalerem Tables'!DF75</f>
        <v>10.764830508474576</v>
      </c>
      <c r="Y216" s="321">
        <f>'Detailed Avalerem Tables'!DF123</f>
        <v>10.708333333333334</v>
      </c>
      <c r="Z216" s="321">
        <f>'Detailed Avalerem Tables'!DF171</f>
        <v>10.827380952380953</v>
      </c>
      <c r="AA216" s="321">
        <f>'Detailed Avalerem Tables'!DF219</f>
        <v>10.717857142857143</v>
      </c>
      <c r="AB216" s="321">
        <f>'Detailed Avalerem Tables'!EH26</f>
        <v>13.922945205479454</v>
      </c>
      <c r="AC216" s="321">
        <f>'Detailed Avalerem Tables'!EH75</f>
        <v>14.475</v>
      </c>
      <c r="AD216" s="321">
        <f>'Detailed Avalerem Tables'!EH123</f>
        <v>13.891129032258064</v>
      </c>
      <c r="AE216" s="321">
        <f>'Detailed Avalerem Tables'!EH171</f>
        <v>14.517857142857142</v>
      </c>
      <c r="AF216" s="324">
        <f>'Detailed Avalerem Tables'!EH219</f>
        <v>14.385989010989013</v>
      </c>
      <c r="AG216" s="239" t="s">
        <v>32</v>
      </c>
      <c r="AH216" s="265"/>
      <c r="AI216" s="266" t="str">
        <f>$BD$112</f>
        <v>Measure</v>
      </c>
      <c r="AJ216" s="267" t="s">
        <v>362</v>
      </c>
      <c r="AU216" s="148"/>
      <c r="AV216" s="148"/>
      <c r="BQ216" s="232"/>
    </row>
    <row r="217" spans="1:69" x14ac:dyDescent="0.2">
      <c r="A217" s="256">
        <v>77</v>
      </c>
      <c r="B217" s="512" t="str">
        <f>$BD$113</f>
        <v>Inspect</v>
      </c>
      <c r="C217" s="313">
        <v>5</v>
      </c>
      <c r="D217" s="313">
        <v>3</v>
      </c>
      <c r="E217" s="305">
        <v>1</v>
      </c>
      <c r="F217" s="313" t="str">
        <f t="shared" si="5"/>
        <v>531</v>
      </c>
      <c r="G217" s="324">
        <f t="shared" si="4"/>
        <v>13.056013206829377</v>
      </c>
      <c r="H217" s="321">
        <f>'Detailed Avalerem Tables'!Z27</f>
        <v>15.19047619047619</v>
      </c>
      <c r="I217" s="321">
        <f>'Detailed Avalerem Tables'!Z76</f>
        <v>13.611111111111111</v>
      </c>
      <c r="J217" s="321">
        <f>'Detailed Avalerem Tables'!Z124</f>
        <v>14.506172839506171</v>
      </c>
      <c r="K217" s="321">
        <f>'Detailed Avalerem Tables'!Z172</f>
        <v>13.917748917748916</v>
      </c>
      <c r="L217" s="321">
        <f>'Detailed Avalerem Tables'!Z220</f>
        <v>13.75</v>
      </c>
      <c r="M217" s="321">
        <f>'Detailed Avalerem Tables'!BB27</f>
        <v>15.903100775193799</v>
      </c>
      <c r="N217" s="321">
        <f>'Detailed Avalerem Tables'!BB76</f>
        <v>16.561403508771928</v>
      </c>
      <c r="O217" s="321">
        <f>'Detailed Avalerem Tables'!BB124</f>
        <v>18.758865248226947</v>
      </c>
      <c r="P217" s="321">
        <f>'Detailed Avalerem Tables'!BB172</f>
        <v>16.671568627450981</v>
      </c>
      <c r="Q217" s="321">
        <f>'Detailed Avalerem Tables'!BB220</f>
        <v>15.460606060606061</v>
      </c>
      <c r="R217" s="321">
        <f>'Detailed Avalerem Tables'!CD27</f>
        <v>9.7643678160919549</v>
      </c>
      <c r="S217" s="321">
        <f>'Detailed Avalerem Tables'!CD76</f>
        <v>9.928571428571427</v>
      </c>
      <c r="T217" s="321">
        <f>'Detailed Avalerem Tables'!CD124</f>
        <v>10.166666666666666</v>
      </c>
      <c r="U217" s="321">
        <f>'Detailed Avalerem Tables'!CD172</f>
        <v>9.9430894308943092</v>
      </c>
      <c r="V217" s="321">
        <f>'Detailed Avalerem Tables'!CD220</f>
        <v>9.8435374149659847</v>
      </c>
      <c r="W217" s="321">
        <f>'Detailed Avalerem Tables'!DF27</f>
        <v>13.19047619047619</v>
      </c>
      <c r="X217" s="321">
        <f>'Detailed Avalerem Tables'!DF76</f>
        <v>13.89265536723164</v>
      </c>
      <c r="Y217" s="321">
        <f>'Detailed Avalerem Tables'!DF124</f>
        <v>13.666666666666664</v>
      </c>
      <c r="Z217" s="321">
        <f>'Detailed Avalerem Tables'!DF172</f>
        <v>14.142857142857142</v>
      </c>
      <c r="AA217" s="321">
        <f>'Detailed Avalerem Tables'!DF220</f>
        <v>13.704761904761906</v>
      </c>
      <c r="AB217" s="321">
        <f>'Detailed Avalerem Tables'!EH27</f>
        <v>10.607305936073059</v>
      </c>
      <c r="AC217" s="321">
        <f>'Detailed Avalerem Tables'!EH76</f>
        <v>10.883333333333333</v>
      </c>
      <c r="AD217" s="321">
        <f>'Detailed Avalerem Tables'!EH124</f>
        <v>10.591397849462364</v>
      </c>
      <c r="AE217" s="321">
        <f>'Detailed Avalerem Tables'!EH172</f>
        <v>10.904761904761903</v>
      </c>
      <c r="AF217" s="324">
        <f>'Detailed Avalerem Tables'!EH220</f>
        <v>10.838827838827839</v>
      </c>
      <c r="AG217" s="239" t="s">
        <v>32</v>
      </c>
      <c r="AH217" s="265" t="s">
        <v>213</v>
      </c>
      <c r="AI217" s="266" t="str">
        <f>$BD$113</f>
        <v>Inspect</v>
      </c>
      <c r="AJ217" s="267" t="s">
        <v>362</v>
      </c>
      <c r="AU217" s="148"/>
      <c r="AV217" s="148"/>
      <c r="BQ217" s="232"/>
    </row>
    <row r="218" spans="1:69" x14ac:dyDescent="0.2">
      <c r="A218" s="256">
        <v>78</v>
      </c>
      <c r="B218" s="512" t="str">
        <f>$BD$114</f>
        <v>Train</v>
      </c>
      <c r="C218" s="313">
        <v>6</v>
      </c>
      <c r="D218" s="313">
        <v>3</v>
      </c>
      <c r="E218" s="305">
        <v>1</v>
      </c>
      <c r="F218" s="313" t="str">
        <f t="shared" si="5"/>
        <v>631</v>
      </c>
      <c r="G218" s="324">
        <f t="shared" si="4"/>
        <v>12.931963215994571</v>
      </c>
      <c r="H218" s="321">
        <f>'Detailed Avalerem Tables'!Z28</f>
        <v>16.891666666666666</v>
      </c>
      <c r="I218" s="321">
        <f>'Detailed Avalerem Tables'!Z77</f>
        <v>14.680555555555554</v>
      </c>
      <c r="J218" s="321">
        <f>'Detailed Avalerem Tables'!Z125</f>
        <v>15.933641975308642</v>
      </c>
      <c r="K218" s="321">
        <f>'Detailed Avalerem Tables'!Z173</f>
        <v>15.109848484848484</v>
      </c>
      <c r="L218" s="321">
        <f>'Detailed Avalerem Tables'!Z221</f>
        <v>14.875000000000002</v>
      </c>
      <c r="M218" s="321">
        <f>'Detailed Avalerem Tables'!BB28</f>
        <v>8.3730620155038764</v>
      </c>
      <c r="N218" s="321">
        <f>'Detailed Avalerem Tables'!BB77</f>
        <v>8.4671052631578938</v>
      </c>
      <c r="O218" s="321">
        <f>'Detailed Avalerem Tables'!BB125</f>
        <v>8.7810283687943258</v>
      </c>
      <c r="P218" s="321">
        <f>'Detailed Avalerem Tables'!BB173</f>
        <v>8.4828431372549016</v>
      </c>
      <c r="Q218" s="321">
        <f>'Detailed Avalerem Tables'!BB221</f>
        <v>8.3098484848484837</v>
      </c>
      <c r="R218" s="321">
        <f>'Detailed Avalerem Tables'!CD28</f>
        <v>13.015804597701152</v>
      </c>
      <c r="S218" s="321">
        <f>'Detailed Avalerem Tables'!CD77</f>
        <v>13.672619047619047</v>
      </c>
      <c r="T218" s="321">
        <f>'Detailed Avalerem Tables'!CD125</f>
        <v>14.625</v>
      </c>
      <c r="U218" s="321">
        <f>'Detailed Avalerem Tables'!CD173</f>
        <v>13.730691056910572</v>
      </c>
      <c r="V218" s="321">
        <f>'Detailed Avalerem Tables'!CD221</f>
        <v>13.332482993197278</v>
      </c>
      <c r="W218" s="321">
        <f>'Detailed Avalerem Tables'!DF28</f>
        <v>9.7202380952380949</v>
      </c>
      <c r="X218" s="321">
        <f>'Detailed Avalerem Tables'!DF77</f>
        <v>10.07132768361582</v>
      </c>
      <c r="Y218" s="321">
        <f>'Detailed Avalerem Tables'!DF125</f>
        <v>9.9583333333333321</v>
      </c>
      <c r="Z218" s="321">
        <f>'Detailed Avalerem Tables'!DF173</f>
        <v>10.196428571428571</v>
      </c>
      <c r="AA218" s="321">
        <f>'Detailed Avalerem Tables'!DF221</f>
        <v>9.9773809523809511</v>
      </c>
      <c r="AB218" s="321">
        <f>'Detailed Avalerem Tables'!EH28</f>
        <v>16.387557077625569</v>
      </c>
      <c r="AC218" s="321">
        <f>'Detailed Avalerem Tables'!EH77</f>
        <v>17.491666666666667</v>
      </c>
      <c r="AD218" s="321">
        <f>'Detailed Avalerem Tables'!EH125</f>
        <v>16.323924731182796</v>
      </c>
      <c r="AE218" s="321">
        <f>'Detailed Avalerem Tables'!EH173</f>
        <v>17.577380952380949</v>
      </c>
      <c r="AF218" s="324">
        <f>'Detailed Avalerem Tables'!EH221</f>
        <v>17.31364468864469</v>
      </c>
      <c r="AG218" s="239" t="s">
        <v>32</v>
      </c>
      <c r="AH218" s="265"/>
      <c r="AI218" s="266" t="str">
        <f>$BD$114</f>
        <v>Train</v>
      </c>
      <c r="AJ218" s="267" t="s">
        <v>362</v>
      </c>
      <c r="AU218" s="148"/>
      <c r="AV218" s="148"/>
      <c r="BQ218" s="232"/>
    </row>
    <row r="219" spans="1:69" x14ac:dyDescent="0.2">
      <c r="A219" s="256">
        <v>79</v>
      </c>
      <c r="B219" s="512" t="str">
        <f>$BD$115</f>
        <v>Invite</v>
      </c>
      <c r="C219" s="313">
        <v>7</v>
      </c>
      <c r="D219" s="313">
        <v>3</v>
      </c>
      <c r="E219" s="305">
        <v>1</v>
      </c>
      <c r="F219" s="313" t="str">
        <f t="shared" si="5"/>
        <v>731</v>
      </c>
      <c r="G219" s="324">
        <f t="shared" si="4"/>
        <v>12.487747390847485</v>
      </c>
      <c r="H219" s="321">
        <f>'Detailed Avalerem Tables'!Z29</f>
        <v>8.6630952380952362</v>
      </c>
      <c r="I219" s="321">
        <f>'Detailed Avalerem Tables'!Z78</f>
        <v>8.3472222222222214</v>
      </c>
      <c r="J219" s="321">
        <f>'Detailed Avalerem Tables'!Z126</f>
        <v>8.5262345679012341</v>
      </c>
      <c r="K219" s="321">
        <f>'Detailed Avalerem Tables'!Z174</f>
        <v>8.4085497835497822</v>
      </c>
      <c r="L219" s="321">
        <f>'Detailed Avalerem Tables'!Z222</f>
        <v>8.3750000000000018</v>
      </c>
      <c r="M219" s="321">
        <f>'Detailed Avalerem Tables'!BB29</f>
        <v>11.617248062015506</v>
      </c>
      <c r="N219" s="321">
        <f>'Detailed Avalerem Tables'!BB78</f>
        <v>11.993421052631579</v>
      </c>
      <c r="O219" s="321">
        <f>'Detailed Avalerem Tables'!BB126</f>
        <v>13.249113475177303</v>
      </c>
      <c r="P219" s="321">
        <f>'Detailed Avalerem Tables'!BB174</f>
        <v>12.056372549019608</v>
      </c>
      <c r="Q219" s="321">
        <f>'Detailed Avalerem Tables'!BB222</f>
        <v>11.364393939393938</v>
      </c>
      <c r="R219" s="321">
        <f>'Detailed Avalerem Tables'!CD29</f>
        <v>10.15373563218391</v>
      </c>
      <c r="S219" s="321">
        <f>'Detailed Avalerem Tables'!CD78</f>
        <v>10.482142857142856</v>
      </c>
      <c r="T219" s="321">
        <f>'Detailed Avalerem Tables'!CD126</f>
        <v>10.958333333333332</v>
      </c>
      <c r="U219" s="321">
        <f>'Detailed Avalerem Tables'!CD174</f>
        <v>10.51117886178862</v>
      </c>
      <c r="V219" s="321">
        <f>'Detailed Avalerem Tables'!CD222</f>
        <v>10.312074829931973</v>
      </c>
      <c r="W219" s="321">
        <f>'Detailed Avalerem Tables'!DF29</f>
        <v>17.00595238095238</v>
      </c>
      <c r="X219" s="321">
        <f>'Detailed Avalerem Tables'!DF78</f>
        <v>18.410310734463277</v>
      </c>
      <c r="Y219" s="321">
        <f>'Detailed Avalerem Tables'!DF126</f>
        <v>17.958333333333332</v>
      </c>
      <c r="Z219" s="321">
        <f>'Detailed Avalerem Tables'!DF174</f>
        <v>18.910714285714285</v>
      </c>
      <c r="AA219" s="321">
        <f>'Detailed Avalerem Tables'!DF222</f>
        <v>18.034523809523808</v>
      </c>
      <c r="AB219" s="321">
        <f>'Detailed Avalerem Tables'!EH29</f>
        <v>12.976598173515981</v>
      </c>
      <c r="AC219" s="321">
        <f>'Detailed Avalerem Tables'!EH78</f>
        <v>13.666666666666668</v>
      </c>
      <c r="AD219" s="321">
        <f>'Detailed Avalerem Tables'!EH126</f>
        <v>12.936827956989248</v>
      </c>
      <c r="AE219" s="321">
        <f>'Detailed Avalerem Tables'!EH174</f>
        <v>13.720238095238095</v>
      </c>
      <c r="AF219" s="324">
        <f>'Detailed Avalerem Tables'!EH222</f>
        <v>13.555402930402931</v>
      </c>
      <c r="AG219" s="239" t="s">
        <v>32</v>
      </c>
      <c r="AH219" s="265"/>
      <c r="AI219" s="266" t="str">
        <f>$BD$115</f>
        <v>Invite</v>
      </c>
      <c r="AJ219" s="267" t="s">
        <v>362</v>
      </c>
      <c r="AU219" s="148"/>
      <c r="AV219" s="148"/>
      <c r="BQ219" s="232"/>
    </row>
    <row r="220" spans="1:69" x14ac:dyDescent="0.2">
      <c r="A220" s="256">
        <v>80</v>
      </c>
      <c r="B220" s="512" t="str">
        <f>$BD$116</f>
        <v>Allocate</v>
      </c>
      <c r="C220" s="313">
        <v>8</v>
      </c>
      <c r="D220" s="313">
        <v>3</v>
      </c>
      <c r="E220" s="305">
        <v>1</v>
      </c>
      <c r="F220" s="313" t="str">
        <f t="shared" si="5"/>
        <v>831</v>
      </c>
      <c r="G220" s="324">
        <f t="shared" si="4"/>
        <v>15.349913711425824</v>
      </c>
      <c r="H220" s="321">
        <f>'Detailed Avalerem Tables'!Z30</f>
        <v>13.819047619047616</v>
      </c>
      <c r="I220" s="321">
        <f>'Detailed Avalerem Tables'!Z79</f>
        <v>12.555555555555554</v>
      </c>
      <c r="J220" s="321">
        <f>'Detailed Avalerem Tables'!Z127</f>
        <v>13.271604938271604</v>
      </c>
      <c r="K220" s="321">
        <f>'Detailed Avalerem Tables'!Z175</f>
        <v>12.8008658008658</v>
      </c>
      <c r="L220" s="321">
        <f>'Detailed Avalerem Tables'!Z223</f>
        <v>12.666666666666668</v>
      </c>
      <c r="M220" s="321">
        <f>'Detailed Avalerem Tables'!BB30</f>
        <v>10.496124031007753</v>
      </c>
      <c r="N220" s="321">
        <f>'Detailed Avalerem Tables'!BB79</f>
        <v>10.684210526315788</v>
      </c>
      <c r="O220" s="321">
        <f>'Detailed Avalerem Tables'!BB127</f>
        <v>11.312056737588652</v>
      </c>
      <c r="P220" s="321">
        <f>'Detailed Avalerem Tables'!BB175</f>
        <v>10.715686274509803</v>
      </c>
      <c r="Q220" s="321">
        <f>'Detailed Avalerem Tables'!BB223</f>
        <v>10.369696969696969</v>
      </c>
      <c r="R220" s="321">
        <f>'Detailed Avalerem Tables'!CD30</f>
        <v>19.781609195402297</v>
      </c>
      <c r="S220" s="321">
        <f>'Detailed Avalerem Tables'!CD79</f>
        <v>21.095238095238095</v>
      </c>
      <c r="T220" s="321">
        <f>'Detailed Avalerem Tables'!CD127</f>
        <v>23</v>
      </c>
      <c r="U220" s="321">
        <f>'Detailed Avalerem Tables'!CD175</f>
        <v>21.211382113821138</v>
      </c>
      <c r="V220" s="321">
        <f>'Detailed Avalerem Tables'!CD223</f>
        <v>20.414965986394556</v>
      </c>
      <c r="W220" s="321">
        <f>'Detailed Avalerem Tables'!DF30</f>
        <v>14.404761904761905</v>
      </c>
      <c r="X220" s="321">
        <f>'Detailed Avalerem Tables'!DF79</f>
        <v>15.282485875706215</v>
      </c>
      <c r="Y220" s="321">
        <f>'Detailed Avalerem Tables'!DF127</f>
        <v>15</v>
      </c>
      <c r="Z220" s="321">
        <f>'Detailed Avalerem Tables'!DF175</f>
        <v>15.595238095238095</v>
      </c>
      <c r="AA220" s="321">
        <f>'Detailed Avalerem Tables'!DF223</f>
        <v>15.047619047619047</v>
      </c>
      <c r="AB220" s="321">
        <f>'Detailed Avalerem Tables'!EH30</f>
        <v>16.292237442922374</v>
      </c>
      <c r="AC220" s="321">
        <f>'Detailed Avalerem Tables'!EH79</f>
        <v>17.258333333333333</v>
      </c>
      <c r="AD220" s="321">
        <f>'Detailed Avalerem Tables'!EH127</f>
        <v>16.236559139784944</v>
      </c>
      <c r="AE220" s="321">
        <f>'Detailed Avalerem Tables'!EH175</f>
        <v>17.333333333333332</v>
      </c>
      <c r="AF220" s="324">
        <f>'Detailed Avalerem Tables'!EH223</f>
        <v>17.102564102564102</v>
      </c>
      <c r="AG220" s="239" t="s">
        <v>32</v>
      </c>
      <c r="AH220" s="265"/>
      <c r="AI220" s="266" t="str">
        <f>$BD$116</f>
        <v>Allocate</v>
      </c>
      <c r="AJ220" s="267" t="s">
        <v>362</v>
      </c>
      <c r="AU220" s="148"/>
      <c r="AV220" s="148"/>
      <c r="BQ220" s="232"/>
    </row>
    <row r="221" spans="1:69" x14ac:dyDescent="0.2">
      <c r="A221" s="256">
        <v>81</v>
      </c>
      <c r="B221" s="512" t="str">
        <f>$BD$117</f>
        <v>Integrate</v>
      </c>
      <c r="C221" s="313">
        <v>9</v>
      </c>
      <c r="D221" s="313">
        <v>3</v>
      </c>
      <c r="E221" s="305">
        <v>1</v>
      </c>
      <c r="F221" s="313" t="str">
        <f t="shared" si="5"/>
        <v>931</v>
      </c>
      <c r="G221" s="324">
        <f t="shared" si="4"/>
        <v>15.47396370226063</v>
      </c>
      <c r="H221" s="321">
        <f>'Detailed Avalerem Tables'!Z31</f>
        <v>12.11785714285714</v>
      </c>
      <c r="I221" s="321">
        <f>'Detailed Avalerem Tables'!Z80</f>
        <v>11.486111111111111</v>
      </c>
      <c r="J221" s="321">
        <f>'Detailed Avalerem Tables'!Z128</f>
        <v>11.844135802469136</v>
      </c>
      <c r="K221" s="321">
        <f>'Detailed Avalerem Tables'!Z176</f>
        <v>11.608766233766232</v>
      </c>
      <c r="L221" s="321">
        <f>'Detailed Avalerem Tables'!Z224</f>
        <v>11.541666666666668</v>
      </c>
      <c r="M221" s="321">
        <f>'Detailed Avalerem Tables'!BB31</f>
        <v>18.026162790697676</v>
      </c>
      <c r="N221" s="321">
        <f>'Detailed Avalerem Tables'!BB80</f>
        <v>18.778508771929822</v>
      </c>
      <c r="O221" s="321">
        <f>'Detailed Avalerem Tables'!BB128</f>
        <v>21.289893617021278</v>
      </c>
      <c r="P221" s="321">
        <f>'Detailed Avalerem Tables'!BB176</f>
        <v>18.904411764705884</v>
      </c>
      <c r="Q221" s="321">
        <f>'Detailed Avalerem Tables'!BB224</f>
        <v>17.520454545454541</v>
      </c>
      <c r="R221" s="321">
        <f>'Detailed Avalerem Tables'!CD31</f>
        <v>16.530172413793103</v>
      </c>
      <c r="S221" s="321">
        <f>'Detailed Avalerem Tables'!CD80</f>
        <v>17.351190476190474</v>
      </c>
      <c r="T221" s="321">
        <f>'Detailed Avalerem Tables'!CD128</f>
        <v>18.541666666666664</v>
      </c>
      <c r="U221" s="321">
        <f>'Detailed Avalerem Tables'!CD176</f>
        <v>17.42378048780488</v>
      </c>
      <c r="V221" s="321">
        <f>'Detailed Avalerem Tables'!CD224</f>
        <v>16.926020408163264</v>
      </c>
      <c r="W221" s="321">
        <f>'Detailed Avalerem Tables'!DF31</f>
        <v>17.875</v>
      </c>
      <c r="X221" s="321">
        <f>'Detailed Avalerem Tables'!DF80</f>
        <v>19.103813559322035</v>
      </c>
      <c r="Y221" s="321">
        <f>'Detailed Avalerem Tables'!DF128</f>
        <v>18.708333333333336</v>
      </c>
      <c r="Z221" s="321">
        <f>'Detailed Avalerem Tables'!DF176</f>
        <v>19.541666666666664</v>
      </c>
      <c r="AA221" s="321">
        <f>'Detailed Avalerem Tables'!DF224</f>
        <v>18.774999999999999</v>
      </c>
      <c r="AB221" s="321">
        <f>'Detailed Avalerem Tables'!EH31</f>
        <v>10.511986301369864</v>
      </c>
      <c r="AC221" s="321">
        <f>'Detailed Avalerem Tables'!EH80</f>
        <v>10.65</v>
      </c>
      <c r="AD221" s="321">
        <f>'Detailed Avalerem Tables'!EH128</f>
        <v>10.504032258064516</v>
      </c>
      <c r="AE221" s="321">
        <f>'Detailed Avalerem Tables'!EH176</f>
        <v>10.660714285714285</v>
      </c>
      <c r="AF221" s="324">
        <f>'Detailed Avalerem Tables'!EH224</f>
        <v>10.627747252747255</v>
      </c>
      <c r="AG221" s="239" t="s">
        <v>32</v>
      </c>
      <c r="AH221" s="265"/>
      <c r="AI221" s="266" t="str">
        <f>$BD$117</f>
        <v>Integrate</v>
      </c>
      <c r="AJ221" s="267" t="s">
        <v>362</v>
      </c>
      <c r="AU221" s="148"/>
      <c r="AV221" s="148"/>
      <c r="BQ221" s="232"/>
    </row>
    <row r="222" spans="1:69" x14ac:dyDescent="0.2">
      <c r="A222" s="256">
        <v>82</v>
      </c>
      <c r="B222" s="512" t="str">
        <f>$BD$118</f>
        <v>Adapt</v>
      </c>
      <c r="C222" s="313">
        <v>10</v>
      </c>
      <c r="D222" s="313">
        <v>3</v>
      </c>
      <c r="E222" s="305">
        <v>1</v>
      </c>
      <c r="F222" s="313" t="str">
        <f t="shared" si="5"/>
        <v>1031</v>
      </c>
      <c r="G222" s="324">
        <f t="shared" si="4"/>
        <v>15.918179527407723</v>
      </c>
      <c r="H222" s="321">
        <f>'Detailed Avalerem Tables'!Z32</f>
        <v>20.346428571428568</v>
      </c>
      <c r="I222" s="321">
        <f>'Detailed Avalerem Tables'!Z81</f>
        <v>17.819444444444443</v>
      </c>
      <c r="J222" s="321">
        <f>'Detailed Avalerem Tables'!Z129</f>
        <v>19.251543209876544</v>
      </c>
      <c r="K222" s="321">
        <f>'Detailed Avalerem Tables'!Z177</f>
        <v>18.310064935064933</v>
      </c>
      <c r="L222" s="321">
        <f>'Detailed Avalerem Tables'!Z225</f>
        <v>18.041666666666668</v>
      </c>
      <c r="M222" s="321">
        <f>'Detailed Avalerem Tables'!BB32</f>
        <v>14.781976744186046</v>
      </c>
      <c r="N222" s="321">
        <f>'Detailed Avalerem Tables'!BB81</f>
        <v>15.25219298245614</v>
      </c>
      <c r="O222" s="321">
        <f>'Detailed Avalerem Tables'!BB129</f>
        <v>16.821808510638299</v>
      </c>
      <c r="P222" s="321">
        <f>'Detailed Avalerem Tables'!BB177</f>
        <v>15.330882352941178</v>
      </c>
      <c r="Q222" s="321">
        <f>'Detailed Avalerem Tables'!BB225</f>
        <v>14.465909090909086</v>
      </c>
      <c r="R222" s="321">
        <f>'Detailed Avalerem Tables'!CD32</f>
        <v>19.392241379310349</v>
      </c>
      <c r="S222" s="321">
        <f>'Detailed Avalerem Tables'!CD81</f>
        <v>20.541666666666664</v>
      </c>
      <c r="T222" s="321">
        <f>'Detailed Avalerem Tables'!CD129</f>
        <v>22.208333333333332</v>
      </c>
      <c r="U222" s="321">
        <f>'Detailed Avalerem Tables'!CD177</f>
        <v>20.64329268292683</v>
      </c>
      <c r="V222" s="321">
        <f>'Detailed Avalerem Tables'!CD225</f>
        <v>19.946428571428569</v>
      </c>
      <c r="W222" s="321">
        <f>'Detailed Avalerem Tables'!DF32</f>
        <v>10.589285714285712</v>
      </c>
      <c r="X222" s="321">
        <f>'Detailed Avalerem Tables'!DF81</f>
        <v>10.764830508474576</v>
      </c>
      <c r="Y222" s="321">
        <f>'Detailed Avalerem Tables'!DF129</f>
        <v>10.708333333333334</v>
      </c>
      <c r="Z222" s="321">
        <f>'Detailed Avalerem Tables'!DF177</f>
        <v>10.827380952380953</v>
      </c>
      <c r="AA222" s="321">
        <f>'Detailed Avalerem Tables'!DF225</f>
        <v>10.717857142857143</v>
      </c>
      <c r="AB222" s="321">
        <f>'Detailed Avalerem Tables'!EH32</f>
        <v>13.922945205479454</v>
      </c>
      <c r="AC222" s="321">
        <f>'Detailed Avalerem Tables'!EH81</f>
        <v>14.475</v>
      </c>
      <c r="AD222" s="321">
        <f>'Detailed Avalerem Tables'!EH129</f>
        <v>13.891129032258064</v>
      </c>
      <c r="AE222" s="321">
        <f>'Detailed Avalerem Tables'!EH177</f>
        <v>14.517857142857142</v>
      </c>
      <c r="AF222" s="324">
        <f>'Detailed Avalerem Tables'!EH225</f>
        <v>14.385989010989013</v>
      </c>
      <c r="AG222" s="239" t="s">
        <v>32</v>
      </c>
      <c r="AH222" s="265" t="s">
        <v>133</v>
      </c>
      <c r="AI222" s="266" t="str">
        <f>$BD$118</f>
        <v>Adapt</v>
      </c>
      <c r="AJ222" s="267" t="s">
        <v>362</v>
      </c>
      <c r="AU222" s="148"/>
      <c r="AV222" s="148"/>
      <c r="BQ222" s="232"/>
    </row>
    <row r="223" spans="1:69" x14ac:dyDescent="0.2">
      <c r="A223" s="256">
        <v>83</v>
      </c>
      <c r="B223" s="512" t="str">
        <f>$BD$119</f>
        <v>Develop</v>
      </c>
      <c r="C223" s="313">
        <v>11</v>
      </c>
      <c r="D223" s="313">
        <v>3</v>
      </c>
      <c r="E223" s="305">
        <v>1</v>
      </c>
      <c r="F223" s="313" t="str">
        <f t="shared" si="5"/>
        <v>1131</v>
      </c>
      <c r="G223" s="324">
        <f t="shared" si="4"/>
        <v>13.056013206829377</v>
      </c>
      <c r="H223" s="321">
        <f>'Detailed Avalerem Tables'!Z33</f>
        <v>15.19047619047619</v>
      </c>
      <c r="I223" s="321">
        <f>'Detailed Avalerem Tables'!Z82</f>
        <v>13.611111111111111</v>
      </c>
      <c r="J223" s="321">
        <f>'Detailed Avalerem Tables'!Z130</f>
        <v>14.506172839506171</v>
      </c>
      <c r="K223" s="321">
        <f>'Detailed Avalerem Tables'!Z178</f>
        <v>13.917748917748916</v>
      </c>
      <c r="L223" s="321">
        <f>'Detailed Avalerem Tables'!Z226</f>
        <v>13.75</v>
      </c>
      <c r="M223" s="321">
        <f>'Detailed Avalerem Tables'!BB33</f>
        <v>15.903100775193799</v>
      </c>
      <c r="N223" s="321">
        <f>'Detailed Avalerem Tables'!BB82</f>
        <v>16.561403508771928</v>
      </c>
      <c r="O223" s="321">
        <f>'Detailed Avalerem Tables'!BB130</f>
        <v>18.758865248226947</v>
      </c>
      <c r="P223" s="321">
        <f>'Detailed Avalerem Tables'!BB178</f>
        <v>16.671568627450981</v>
      </c>
      <c r="Q223" s="321">
        <f>'Detailed Avalerem Tables'!BB226</f>
        <v>15.460606060606061</v>
      </c>
      <c r="R223" s="321">
        <f>'Detailed Avalerem Tables'!CD33</f>
        <v>9.7643678160919549</v>
      </c>
      <c r="S223" s="321">
        <f>'Detailed Avalerem Tables'!CD82</f>
        <v>9.928571428571427</v>
      </c>
      <c r="T223" s="321">
        <f>'Detailed Avalerem Tables'!CD130</f>
        <v>10.166666666666666</v>
      </c>
      <c r="U223" s="321">
        <f>'Detailed Avalerem Tables'!CD178</f>
        <v>9.9430894308943092</v>
      </c>
      <c r="V223" s="321">
        <f>'Detailed Avalerem Tables'!CD226</f>
        <v>9.8435374149659847</v>
      </c>
      <c r="W223" s="321">
        <f>'Detailed Avalerem Tables'!DF33</f>
        <v>13.19047619047619</v>
      </c>
      <c r="X223" s="321">
        <f>'Detailed Avalerem Tables'!DF82</f>
        <v>13.89265536723164</v>
      </c>
      <c r="Y223" s="321">
        <f>'Detailed Avalerem Tables'!DF130</f>
        <v>13.666666666666664</v>
      </c>
      <c r="Z223" s="321">
        <f>'Detailed Avalerem Tables'!DF178</f>
        <v>14.142857142857142</v>
      </c>
      <c r="AA223" s="321">
        <f>'Detailed Avalerem Tables'!DF226</f>
        <v>13.704761904761906</v>
      </c>
      <c r="AB223" s="321">
        <f>'Detailed Avalerem Tables'!EH33</f>
        <v>10.607305936073059</v>
      </c>
      <c r="AC223" s="321">
        <f>'Detailed Avalerem Tables'!EH82</f>
        <v>10.883333333333333</v>
      </c>
      <c r="AD223" s="321">
        <f>'Detailed Avalerem Tables'!EH130</f>
        <v>10.591397849462364</v>
      </c>
      <c r="AE223" s="321">
        <f>'Detailed Avalerem Tables'!EH178</f>
        <v>10.904761904761903</v>
      </c>
      <c r="AF223" s="324">
        <f>'Detailed Avalerem Tables'!EH226</f>
        <v>10.838827838827839</v>
      </c>
      <c r="AG223" s="239" t="s">
        <v>32</v>
      </c>
      <c r="AH223" s="265"/>
      <c r="AI223" s="266" t="str">
        <f>$BD$119</f>
        <v>Develop</v>
      </c>
      <c r="AJ223" s="267" t="s">
        <v>362</v>
      </c>
      <c r="AU223" s="148"/>
      <c r="AV223" s="148"/>
      <c r="BQ223" s="232"/>
    </row>
    <row r="224" spans="1:69" x14ac:dyDescent="0.2">
      <c r="A224" s="256">
        <v>84</v>
      </c>
      <c r="B224" s="512" t="str">
        <f>$BD$120</f>
        <v>Arrange</v>
      </c>
      <c r="C224" s="313">
        <v>12</v>
      </c>
      <c r="D224" s="313">
        <v>3</v>
      </c>
      <c r="E224" s="305">
        <v>1</v>
      </c>
      <c r="F224" s="313" t="str">
        <f t="shared" si="5"/>
        <v>1231</v>
      </c>
      <c r="G224" s="324">
        <f t="shared" si="4"/>
        <v>12.931963215994571</v>
      </c>
      <c r="H224" s="321">
        <f>'Detailed Avalerem Tables'!Z34</f>
        <v>16.891666666666666</v>
      </c>
      <c r="I224" s="321">
        <f>'Detailed Avalerem Tables'!Z83</f>
        <v>14.680555555555554</v>
      </c>
      <c r="J224" s="321">
        <f>'Detailed Avalerem Tables'!Z131</f>
        <v>15.933641975308642</v>
      </c>
      <c r="K224" s="321">
        <f>'Detailed Avalerem Tables'!Z179</f>
        <v>15.109848484848484</v>
      </c>
      <c r="L224" s="321">
        <f>'Detailed Avalerem Tables'!Z227</f>
        <v>14.875000000000002</v>
      </c>
      <c r="M224" s="321">
        <f>'Detailed Avalerem Tables'!BB34</f>
        <v>8.3730620155038764</v>
      </c>
      <c r="N224" s="321">
        <f>'Detailed Avalerem Tables'!BB83</f>
        <v>8.4671052631578938</v>
      </c>
      <c r="O224" s="321">
        <f>'Detailed Avalerem Tables'!BB131</f>
        <v>8.7810283687943258</v>
      </c>
      <c r="P224" s="321">
        <f>'Detailed Avalerem Tables'!BB179</f>
        <v>8.4828431372549016</v>
      </c>
      <c r="Q224" s="321">
        <f>'Detailed Avalerem Tables'!BB227</f>
        <v>8.3098484848484837</v>
      </c>
      <c r="R224" s="321">
        <f>'Detailed Avalerem Tables'!CD34</f>
        <v>13.015804597701152</v>
      </c>
      <c r="S224" s="321">
        <f>'Detailed Avalerem Tables'!CD83</f>
        <v>13.672619047619047</v>
      </c>
      <c r="T224" s="321">
        <f>'Detailed Avalerem Tables'!CD131</f>
        <v>14.625</v>
      </c>
      <c r="U224" s="321">
        <f>'Detailed Avalerem Tables'!CD179</f>
        <v>13.730691056910572</v>
      </c>
      <c r="V224" s="321">
        <f>'Detailed Avalerem Tables'!CD227</f>
        <v>13.332482993197278</v>
      </c>
      <c r="W224" s="321">
        <f>'Detailed Avalerem Tables'!DF34</f>
        <v>9.7202380952380949</v>
      </c>
      <c r="X224" s="321">
        <f>'Detailed Avalerem Tables'!DF83</f>
        <v>10.07132768361582</v>
      </c>
      <c r="Y224" s="321">
        <f>'Detailed Avalerem Tables'!DF131</f>
        <v>9.9583333333333321</v>
      </c>
      <c r="Z224" s="321">
        <f>'Detailed Avalerem Tables'!DF179</f>
        <v>10.196428571428571</v>
      </c>
      <c r="AA224" s="321">
        <f>'Detailed Avalerem Tables'!DF227</f>
        <v>9.9773809523809511</v>
      </c>
      <c r="AB224" s="321">
        <f>'Detailed Avalerem Tables'!EH34</f>
        <v>16.387557077625569</v>
      </c>
      <c r="AC224" s="321">
        <f>'Detailed Avalerem Tables'!EH83</f>
        <v>17.491666666666667</v>
      </c>
      <c r="AD224" s="321">
        <f>'Detailed Avalerem Tables'!EH131</f>
        <v>16.323924731182796</v>
      </c>
      <c r="AE224" s="321">
        <f>'Detailed Avalerem Tables'!EH179</f>
        <v>17.577380952380949</v>
      </c>
      <c r="AF224" s="324">
        <f>'Detailed Avalerem Tables'!EH227</f>
        <v>17.31364468864469</v>
      </c>
      <c r="AG224" s="239" t="s">
        <v>32</v>
      </c>
      <c r="AH224" s="265"/>
      <c r="AI224" s="266" t="str">
        <f>$BD$120</f>
        <v>Arrange</v>
      </c>
      <c r="AJ224" s="267" t="s">
        <v>362</v>
      </c>
      <c r="AU224" s="148"/>
      <c r="AV224" s="148"/>
      <c r="BQ224" s="232"/>
    </row>
    <row r="225" spans="1:69" x14ac:dyDescent="0.2">
      <c r="A225" s="256">
        <v>85</v>
      </c>
      <c r="B225" s="512" t="str">
        <f>$BF$109</f>
        <v>Move</v>
      </c>
      <c r="C225" s="313">
        <v>1</v>
      </c>
      <c r="D225" s="313">
        <v>3</v>
      </c>
      <c r="E225" s="305">
        <v>2</v>
      </c>
      <c r="F225" s="313" t="str">
        <f t="shared" si="5"/>
        <v>132</v>
      </c>
      <c r="G225" s="324">
        <f t="shared" si="4"/>
        <v>29.008504025822855</v>
      </c>
      <c r="H225" s="321">
        <f>'Detailed Avalerem Tables'!Z38</f>
        <v>28.829762021114679</v>
      </c>
      <c r="I225" s="321">
        <f>'Detailed Avalerem Tables'!Z87</f>
        <v>23.403474928056635</v>
      </c>
      <c r="J225" s="321">
        <f>'Detailed Avalerem Tables'!Z135</f>
        <v>29.414694622922312</v>
      </c>
      <c r="K225" s="321">
        <f>'Detailed Avalerem Tables'!Z183</f>
        <v>25.169283100334987</v>
      </c>
      <c r="L225" s="321">
        <f>'Detailed Avalerem Tables'!Z231</f>
        <v>24.107855910468317</v>
      </c>
      <c r="M225" s="321">
        <f>'Detailed Avalerem Tables'!BB38</f>
        <v>24.279723497504222</v>
      </c>
      <c r="N225" s="321">
        <f>'Detailed Avalerem Tables'!BB87</f>
        <v>26.78173564431853</v>
      </c>
      <c r="O225" s="321">
        <f>'Detailed Avalerem Tables'!BB135</f>
        <v>31.121181824008204</v>
      </c>
      <c r="P225" s="321">
        <f>'Detailed Avalerem Tables'!BB183</f>
        <v>27.002850841022358</v>
      </c>
      <c r="Q225" s="321">
        <f>'Detailed Avalerem Tables'!BB231</f>
        <v>24.294713457511659</v>
      </c>
      <c r="R225" s="321">
        <f>'Detailed Avalerem Tables'!CD38</f>
        <v>32.284733036194034</v>
      </c>
      <c r="S225" s="321">
        <f>'Detailed Avalerem Tables'!CD87</f>
        <v>34.531481114502</v>
      </c>
      <c r="T225" s="321">
        <f>'Detailed Avalerem Tables'!CD135</f>
        <v>36.134083258347005</v>
      </c>
      <c r="U225" s="321">
        <f>'Detailed Avalerem Tables'!CD183</f>
        <v>34.314581318787646</v>
      </c>
      <c r="V225" s="321">
        <f>'Detailed Avalerem Tables'!CD231</f>
        <v>32.484479007277692</v>
      </c>
      <c r="W225" s="321">
        <f>'Detailed Avalerem Tables'!DF38</f>
        <v>27.43917413561455</v>
      </c>
      <c r="X225" s="321">
        <f>'Detailed Avalerem Tables'!DF87</f>
        <v>31.842571447887586</v>
      </c>
      <c r="Y225" s="321">
        <f>'Detailed Avalerem Tables'!DF135</f>
        <v>28.079445877390988</v>
      </c>
      <c r="Z225" s="321">
        <f>'Detailed Avalerem Tables'!DF183</f>
        <v>31.67208563624898</v>
      </c>
      <c r="AA225" s="321">
        <f>'Detailed Avalerem Tables'!DF231</f>
        <v>30.335616034022152</v>
      </c>
      <c r="AB225" s="321">
        <f>'Detailed Avalerem Tables'!EH38</f>
        <v>25.557841058858369</v>
      </c>
      <c r="AC225" s="321">
        <f>'Detailed Avalerem Tables'!EH87</f>
        <v>30.398671660550605</v>
      </c>
      <c r="AD225" s="321">
        <f>'Detailed Avalerem Tables'!EH135</f>
        <v>27.015893524348378</v>
      </c>
      <c r="AE225" s="321">
        <f>'Detailed Avalerem Tables'!EH183</f>
        <v>29.536936936936936</v>
      </c>
      <c r="AF225" s="324">
        <f>'Detailed Avalerem Tables'!EH231</f>
        <v>29.179730751342507</v>
      </c>
      <c r="AG225" s="239" t="s">
        <v>32</v>
      </c>
      <c r="AH225" s="265"/>
      <c r="AI225" s="266" t="str">
        <f>$BF$109</f>
        <v>Move</v>
      </c>
      <c r="AJ225" s="267" t="s">
        <v>362</v>
      </c>
      <c r="AU225" s="148"/>
      <c r="AV225" s="148"/>
      <c r="BQ225" s="232"/>
    </row>
    <row r="226" spans="1:69" x14ac:dyDescent="0.2">
      <c r="A226" s="256">
        <v>86</v>
      </c>
      <c r="B226" s="512" t="str">
        <f>$BF$110</f>
        <v>Schedule</v>
      </c>
      <c r="C226" s="313">
        <v>2</v>
      </c>
      <c r="D226" s="313">
        <v>3</v>
      </c>
      <c r="E226" s="305">
        <v>2</v>
      </c>
      <c r="F226" s="313" t="str">
        <f t="shared" si="5"/>
        <v>232</v>
      </c>
      <c r="G226" s="324">
        <f t="shared" si="4"/>
        <v>30.249436277327128</v>
      </c>
      <c r="H226" s="321">
        <f>'Detailed Avalerem Tables'!Z39</f>
        <v>30.019417193528472</v>
      </c>
      <c r="I226" s="321">
        <f>'Detailed Avalerem Tables'!Z88</f>
        <v>24.431252705834414</v>
      </c>
      <c r="J226" s="321">
        <f>'Detailed Avalerem Tables'!Z136</f>
        <v>30.805319622922312</v>
      </c>
      <c r="K226" s="321">
        <f>'Detailed Avalerem Tables'!Z184</f>
        <v>26.228106629746748</v>
      </c>
      <c r="L226" s="321">
        <f>'Detailed Avalerem Tables'!Z232</f>
        <v>25.397710982932086</v>
      </c>
      <c r="M226" s="321">
        <f>'Detailed Avalerem Tables'!BB39</f>
        <v>25.292069176516566</v>
      </c>
      <c r="N226" s="321">
        <f>'Detailed Avalerem Tables'!BB88</f>
        <v>27.961735644318534</v>
      </c>
      <c r="O226" s="321">
        <f>'Detailed Avalerem Tables'!BB136</f>
        <v>32.254515157341537</v>
      </c>
      <c r="P226" s="321">
        <f>'Detailed Avalerem Tables'!BB184</f>
        <v>28.169517507689022</v>
      </c>
      <c r="Q226" s="321">
        <f>'Detailed Avalerem Tables'!BB232</f>
        <v>25.602405765203965</v>
      </c>
      <c r="R226" s="321">
        <f>'Detailed Avalerem Tables'!CD39</f>
        <v>33.643223602231771</v>
      </c>
      <c r="S226" s="321">
        <f>'Detailed Avalerem Tables'!CD88</f>
        <v>35.931481114502006</v>
      </c>
      <c r="T226" s="321">
        <f>'Detailed Avalerem Tables'!CD136</f>
        <v>37.291977995189114</v>
      </c>
      <c r="U226" s="321">
        <f>'Detailed Avalerem Tables'!CD184</f>
        <v>35.606889011095333</v>
      </c>
      <c r="V226" s="321">
        <f>'Detailed Avalerem Tables'!CD232</f>
        <v>33.782724621312781</v>
      </c>
      <c r="W226" s="321">
        <f>'Detailed Avalerem Tables'!DF39</f>
        <v>28.669943366383784</v>
      </c>
      <c r="X226" s="321">
        <f>'Detailed Avalerem Tables'!DF88</f>
        <v>33.265648370964499</v>
      </c>
      <c r="Y226" s="321">
        <f>'Detailed Avalerem Tables'!DF136</f>
        <v>29.094151759743934</v>
      </c>
      <c r="Z226" s="321">
        <f>'Detailed Avalerem Tables'!DF184</f>
        <v>32.989158806980683</v>
      </c>
      <c r="AA226" s="321">
        <f>'Detailed Avalerem Tables'!DF232</f>
        <v>31.637502826474979</v>
      </c>
      <c r="AB226" s="321">
        <f>'Detailed Avalerem Tables'!EH39</f>
        <v>26.650864314672312</v>
      </c>
      <c r="AC226" s="321">
        <f>'Detailed Avalerem Tables'!EH88</f>
        <v>31.836171660550605</v>
      </c>
      <c r="AD226" s="321">
        <f>'Detailed Avalerem Tables'!EH136</f>
        <v>28.327004635459488</v>
      </c>
      <c r="AE226" s="321">
        <f>'Detailed Avalerem Tables'!EH184</f>
        <v>30.861261261261262</v>
      </c>
      <c r="AF226" s="324">
        <f>'Detailed Avalerem Tables'!EH232</f>
        <v>30.485853200322097</v>
      </c>
      <c r="AG226" s="239" t="s">
        <v>32</v>
      </c>
      <c r="AH226" s="265"/>
      <c r="AI226" s="266" t="str">
        <f>$BF$110</f>
        <v>Schedule</v>
      </c>
      <c r="AJ226" s="267" t="s">
        <v>362</v>
      </c>
      <c r="AU226" s="148"/>
      <c r="AV226" s="148"/>
      <c r="BQ226" s="232"/>
    </row>
    <row r="227" spans="1:69" x14ac:dyDescent="0.2">
      <c r="A227" s="256">
        <v>87</v>
      </c>
      <c r="B227" s="512" t="str">
        <f>$BF$111</f>
        <v>Improve</v>
      </c>
      <c r="C227" s="313">
        <v>3</v>
      </c>
      <c r="D227" s="313">
        <v>3</v>
      </c>
      <c r="E227" s="305">
        <v>2</v>
      </c>
      <c r="F227" s="313" t="str">
        <f t="shared" si="5"/>
        <v>332</v>
      </c>
      <c r="G227" s="324">
        <f t="shared" si="4"/>
        <v>31.490368528831418</v>
      </c>
      <c r="H227" s="321">
        <f>'Detailed Avalerem Tables'!Z40</f>
        <v>31.209072365942266</v>
      </c>
      <c r="I227" s="321">
        <f>'Detailed Avalerem Tables'!Z89</f>
        <v>25.459030483612192</v>
      </c>
      <c r="J227" s="321">
        <f>'Detailed Avalerem Tables'!Z137</f>
        <v>32.195944622922312</v>
      </c>
      <c r="K227" s="321">
        <f>'Detailed Avalerem Tables'!Z185</f>
        <v>27.286930159158516</v>
      </c>
      <c r="L227" s="321">
        <f>'Detailed Avalerem Tables'!Z233</f>
        <v>26.687566055395855</v>
      </c>
      <c r="M227" s="321">
        <f>'Detailed Avalerem Tables'!BB40</f>
        <v>26.304414855528911</v>
      </c>
      <c r="N227" s="321">
        <f>'Detailed Avalerem Tables'!BB89</f>
        <v>29.141735644318533</v>
      </c>
      <c r="O227" s="321">
        <f>'Detailed Avalerem Tables'!BB137</f>
        <v>33.38784849067487</v>
      </c>
      <c r="P227" s="321">
        <f>'Detailed Avalerem Tables'!BB185</f>
        <v>29.33618417435569</v>
      </c>
      <c r="Q227" s="321">
        <f>'Detailed Avalerem Tables'!BB233</f>
        <v>26.910098072896275</v>
      </c>
      <c r="R227" s="321">
        <f>'Detailed Avalerem Tables'!CD40</f>
        <v>35.001714168269501</v>
      </c>
      <c r="S227" s="321">
        <f>'Detailed Avalerem Tables'!CD89</f>
        <v>37.331481114502004</v>
      </c>
      <c r="T227" s="321">
        <f>'Detailed Avalerem Tables'!CD137</f>
        <v>38.449872732031224</v>
      </c>
      <c r="U227" s="321">
        <f>'Detailed Avalerem Tables'!CD185</f>
        <v>36.899196703403028</v>
      </c>
      <c r="V227" s="321">
        <f>'Detailed Avalerem Tables'!CD233</f>
        <v>35.08097023534787</v>
      </c>
      <c r="W227" s="321">
        <f>'Detailed Avalerem Tables'!DF40</f>
        <v>29.900712597153014</v>
      </c>
      <c r="X227" s="321">
        <f>'Detailed Avalerem Tables'!DF89</f>
        <v>34.688725294041433</v>
      </c>
      <c r="Y227" s="321">
        <f>'Detailed Avalerem Tables'!DF137</f>
        <v>30.108857642096879</v>
      </c>
      <c r="Z227" s="321">
        <f>'Detailed Avalerem Tables'!DF185</f>
        <v>34.306231977712393</v>
      </c>
      <c r="AA227" s="321">
        <f>'Detailed Avalerem Tables'!DF233</f>
        <v>32.939389618927812</v>
      </c>
      <c r="AB227" s="321">
        <f>'Detailed Avalerem Tables'!EH40</f>
        <v>27.743887570486272</v>
      </c>
      <c r="AC227" s="321">
        <f>'Detailed Avalerem Tables'!EH89</f>
        <v>33.273671660550605</v>
      </c>
      <c r="AD227" s="321">
        <f>'Detailed Avalerem Tables'!EH137</f>
        <v>29.638115746570598</v>
      </c>
      <c r="AE227" s="321">
        <f>'Detailed Avalerem Tables'!EH185</f>
        <v>32.185585585585585</v>
      </c>
      <c r="AF227" s="324">
        <f>'Detailed Avalerem Tables'!EH233</f>
        <v>31.791975649301691</v>
      </c>
      <c r="AG227" s="239" t="s">
        <v>32</v>
      </c>
      <c r="AH227" s="265"/>
      <c r="AI227" s="266" t="str">
        <f>$BF$111</f>
        <v>Improve</v>
      </c>
      <c r="AJ227" s="267" t="s">
        <v>362</v>
      </c>
      <c r="AU227" s="148"/>
      <c r="AV227" s="148"/>
      <c r="BQ227" s="232"/>
    </row>
    <row r="228" spans="1:69" x14ac:dyDescent="0.2">
      <c r="A228" s="256">
        <v>88</v>
      </c>
      <c r="B228" s="512" t="str">
        <f>$BF$112</f>
        <v>Project</v>
      </c>
      <c r="C228" s="313">
        <v>4</v>
      </c>
      <c r="D228" s="313">
        <v>3</v>
      </c>
      <c r="E228" s="305">
        <v>2</v>
      </c>
      <c r="F228" s="313" t="str">
        <f t="shared" si="5"/>
        <v>432</v>
      </c>
      <c r="G228" s="324">
        <f t="shared" si="4"/>
        <v>31.490368528831418</v>
      </c>
      <c r="H228" s="321">
        <f>'Detailed Avalerem Tables'!Z41</f>
        <v>31.209072365942266</v>
      </c>
      <c r="I228" s="321">
        <f>'Detailed Avalerem Tables'!Z90</f>
        <v>25.459030483612192</v>
      </c>
      <c r="J228" s="321">
        <f>'Detailed Avalerem Tables'!Z138</f>
        <v>32.195944622922312</v>
      </c>
      <c r="K228" s="321">
        <f>'Detailed Avalerem Tables'!Z186</f>
        <v>27.286930159158516</v>
      </c>
      <c r="L228" s="321">
        <f>'Detailed Avalerem Tables'!Z234</f>
        <v>26.687566055395855</v>
      </c>
      <c r="M228" s="321">
        <f>'Detailed Avalerem Tables'!BB41</f>
        <v>26.304414855528908</v>
      </c>
      <c r="N228" s="321">
        <f>'Detailed Avalerem Tables'!BB90</f>
        <v>29.141735644318533</v>
      </c>
      <c r="O228" s="321">
        <f>'Detailed Avalerem Tables'!BB138</f>
        <v>33.38784849067487</v>
      </c>
      <c r="P228" s="321">
        <f>'Detailed Avalerem Tables'!BB186</f>
        <v>29.33618417435569</v>
      </c>
      <c r="Q228" s="321">
        <f>'Detailed Avalerem Tables'!BB234</f>
        <v>26.910098072896268</v>
      </c>
      <c r="R228" s="321">
        <f>'Detailed Avalerem Tables'!CD41</f>
        <v>35.001714168269501</v>
      </c>
      <c r="S228" s="321">
        <f>'Detailed Avalerem Tables'!CD90</f>
        <v>37.331481114502004</v>
      </c>
      <c r="T228" s="321">
        <f>'Detailed Avalerem Tables'!CD138</f>
        <v>38.449872732031217</v>
      </c>
      <c r="U228" s="321">
        <f>'Detailed Avalerem Tables'!CD186</f>
        <v>36.899196703403028</v>
      </c>
      <c r="V228" s="321">
        <f>'Detailed Avalerem Tables'!CD234</f>
        <v>35.08097023534787</v>
      </c>
      <c r="W228" s="321">
        <f>'Detailed Avalerem Tables'!DF41</f>
        <v>29.900712597153014</v>
      </c>
      <c r="X228" s="321">
        <f>'Detailed Avalerem Tables'!DF90</f>
        <v>34.688725294041433</v>
      </c>
      <c r="Y228" s="321">
        <f>'Detailed Avalerem Tables'!DF138</f>
        <v>30.108857642096872</v>
      </c>
      <c r="Z228" s="321">
        <f>'Detailed Avalerem Tables'!DF186</f>
        <v>34.306231977712393</v>
      </c>
      <c r="AA228" s="321">
        <f>'Detailed Avalerem Tables'!DF234</f>
        <v>32.939389618927812</v>
      </c>
      <c r="AB228" s="321">
        <f>'Detailed Avalerem Tables'!EH41</f>
        <v>27.743887570486272</v>
      </c>
      <c r="AC228" s="321">
        <f>'Detailed Avalerem Tables'!EH90</f>
        <v>33.273671660550605</v>
      </c>
      <c r="AD228" s="321">
        <f>'Detailed Avalerem Tables'!EH138</f>
        <v>29.638115746570598</v>
      </c>
      <c r="AE228" s="321">
        <f>'Detailed Avalerem Tables'!EH186</f>
        <v>32.185585585585585</v>
      </c>
      <c r="AF228" s="324">
        <f>'Detailed Avalerem Tables'!EH234</f>
        <v>31.791975649301691</v>
      </c>
      <c r="AG228" s="239" t="s">
        <v>32</v>
      </c>
      <c r="AH228" s="265" t="s">
        <v>311</v>
      </c>
      <c r="AI228" s="266" t="str">
        <f>$BF$112</f>
        <v>Project</v>
      </c>
      <c r="AJ228" s="267" t="s">
        <v>362</v>
      </c>
      <c r="AU228" s="148"/>
      <c r="AV228" s="148"/>
      <c r="BQ228" s="232"/>
    </row>
    <row r="229" spans="1:69" x14ac:dyDescent="0.2">
      <c r="A229" s="256">
        <v>89</v>
      </c>
      <c r="B229" s="512" t="str">
        <f>$BF$113</f>
        <v>Act</v>
      </c>
      <c r="C229" s="313">
        <v>5</v>
      </c>
      <c r="D229" s="313">
        <v>3</v>
      </c>
      <c r="E229" s="305">
        <v>2</v>
      </c>
      <c r="F229" s="313" t="str">
        <f t="shared" si="5"/>
        <v>532</v>
      </c>
      <c r="G229" s="324">
        <f t="shared" si="4"/>
        <v>30.249436277327131</v>
      </c>
      <c r="H229" s="321">
        <f>'Detailed Avalerem Tables'!Z42</f>
        <v>30.019417193528472</v>
      </c>
      <c r="I229" s="321">
        <f>'Detailed Avalerem Tables'!Z91</f>
        <v>24.431252705834414</v>
      </c>
      <c r="J229" s="321">
        <f>'Detailed Avalerem Tables'!Z139</f>
        <v>30.805319622922312</v>
      </c>
      <c r="K229" s="321">
        <f>'Detailed Avalerem Tables'!Z187</f>
        <v>26.228106629746755</v>
      </c>
      <c r="L229" s="321">
        <f>'Detailed Avalerem Tables'!Z235</f>
        <v>25.397710982932082</v>
      </c>
      <c r="M229" s="321">
        <f>'Detailed Avalerem Tables'!BB42</f>
        <v>25.292069176516563</v>
      </c>
      <c r="N229" s="321">
        <f>'Detailed Avalerem Tables'!BB91</f>
        <v>27.961735644318534</v>
      </c>
      <c r="O229" s="321">
        <f>'Detailed Avalerem Tables'!BB139</f>
        <v>32.25451515734153</v>
      </c>
      <c r="P229" s="321">
        <f>'Detailed Avalerem Tables'!BB187</f>
        <v>28.169517507689022</v>
      </c>
      <c r="Q229" s="321">
        <f>'Detailed Avalerem Tables'!BB235</f>
        <v>25.602405765203965</v>
      </c>
      <c r="R229" s="321">
        <f>'Detailed Avalerem Tables'!CD42</f>
        <v>33.643223602231771</v>
      </c>
      <c r="S229" s="321">
        <f>'Detailed Avalerem Tables'!CD91</f>
        <v>35.931481114502006</v>
      </c>
      <c r="T229" s="321">
        <f>'Detailed Avalerem Tables'!CD139</f>
        <v>37.291977995189114</v>
      </c>
      <c r="U229" s="321">
        <f>'Detailed Avalerem Tables'!CD187</f>
        <v>35.606889011095333</v>
      </c>
      <c r="V229" s="321">
        <f>'Detailed Avalerem Tables'!CD235</f>
        <v>33.782724621312781</v>
      </c>
      <c r="W229" s="321">
        <f>'Detailed Avalerem Tables'!DF42</f>
        <v>28.669943366383784</v>
      </c>
      <c r="X229" s="321">
        <f>'Detailed Avalerem Tables'!DF91</f>
        <v>33.265648370964506</v>
      </c>
      <c r="Y229" s="321">
        <f>'Detailed Avalerem Tables'!DF139</f>
        <v>29.09415175974393</v>
      </c>
      <c r="Z229" s="321">
        <f>'Detailed Avalerem Tables'!DF187</f>
        <v>32.989158806980683</v>
      </c>
      <c r="AA229" s="321">
        <f>'Detailed Avalerem Tables'!DF235</f>
        <v>31.637502826474986</v>
      </c>
      <c r="AB229" s="321">
        <f>'Detailed Avalerem Tables'!EH42</f>
        <v>26.650864314672319</v>
      </c>
      <c r="AC229" s="321">
        <f>'Detailed Avalerem Tables'!EH91</f>
        <v>31.836171660550605</v>
      </c>
      <c r="AD229" s="321">
        <f>'Detailed Avalerem Tables'!EH139</f>
        <v>28.327004635459488</v>
      </c>
      <c r="AE229" s="321">
        <f>'Detailed Avalerem Tables'!EH187</f>
        <v>30.861261261261255</v>
      </c>
      <c r="AF229" s="324">
        <f>'Detailed Avalerem Tables'!EH235</f>
        <v>30.485853200322097</v>
      </c>
      <c r="AG229" s="239" t="s">
        <v>32</v>
      </c>
      <c r="AH229" s="265" t="s">
        <v>310</v>
      </c>
      <c r="AI229" s="266" t="str">
        <f>$BF$113</f>
        <v>Act</v>
      </c>
      <c r="AJ229" s="267" t="s">
        <v>362</v>
      </c>
      <c r="AU229" s="148"/>
      <c r="AV229" s="148"/>
      <c r="BQ229" s="232"/>
    </row>
    <row r="230" spans="1:69" x14ac:dyDescent="0.2">
      <c r="A230" s="256">
        <v>90</v>
      </c>
      <c r="B230" s="512" t="str">
        <f>$BF$114</f>
        <v>Mentor</v>
      </c>
      <c r="C230" s="313">
        <v>6</v>
      </c>
      <c r="D230" s="313">
        <v>3</v>
      </c>
      <c r="E230" s="305">
        <v>2</v>
      </c>
      <c r="F230" s="313" t="str">
        <f t="shared" si="5"/>
        <v>632</v>
      </c>
      <c r="G230" s="324">
        <f t="shared" si="4"/>
        <v>29.008504025822855</v>
      </c>
      <c r="H230" s="321">
        <f>'Detailed Avalerem Tables'!Z43</f>
        <v>28.829762021114679</v>
      </c>
      <c r="I230" s="321">
        <f>'Detailed Avalerem Tables'!Z92</f>
        <v>23.403474928056635</v>
      </c>
      <c r="J230" s="321">
        <f>'Detailed Avalerem Tables'!Z140</f>
        <v>29.414694622922312</v>
      </c>
      <c r="K230" s="321">
        <f>'Detailed Avalerem Tables'!Z188</f>
        <v>25.16928310033498</v>
      </c>
      <c r="L230" s="321">
        <f>'Detailed Avalerem Tables'!Z236</f>
        <v>24.107855910468317</v>
      </c>
      <c r="M230" s="321">
        <f>'Detailed Avalerem Tables'!BB43</f>
        <v>24.279723497504222</v>
      </c>
      <c r="N230" s="321">
        <f>'Detailed Avalerem Tables'!BB92</f>
        <v>26.78173564431853</v>
      </c>
      <c r="O230" s="321">
        <f>'Detailed Avalerem Tables'!BB140</f>
        <v>31.121181824008204</v>
      </c>
      <c r="P230" s="321">
        <f>'Detailed Avalerem Tables'!BB188</f>
        <v>27.002850841022358</v>
      </c>
      <c r="Q230" s="321">
        <f>'Detailed Avalerem Tables'!BB236</f>
        <v>24.294713457511659</v>
      </c>
      <c r="R230" s="321">
        <f>'Detailed Avalerem Tables'!CD43</f>
        <v>32.284733036194034</v>
      </c>
      <c r="S230" s="321">
        <f>'Detailed Avalerem Tables'!CD92</f>
        <v>34.531481114502</v>
      </c>
      <c r="T230" s="321">
        <f>'Detailed Avalerem Tables'!CD140</f>
        <v>36.134083258347005</v>
      </c>
      <c r="U230" s="321">
        <f>'Detailed Avalerem Tables'!CD188</f>
        <v>34.314581318787646</v>
      </c>
      <c r="V230" s="321">
        <f>'Detailed Avalerem Tables'!CD236</f>
        <v>32.484479007277692</v>
      </c>
      <c r="W230" s="321">
        <f>'Detailed Avalerem Tables'!DF43</f>
        <v>27.43917413561455</v>
      </c>
      <c r="X230" s="321">
        <f>'Detailed Avalerem Tables'!DF92</f>
        <v>31.842571447887586</v>
      </c>
      <c r="Y230" s="321">
        <f>'Detailed Avalerem Tables'!DF140</f>
        <v>28.079445877390988</v>
      </c>
      <c r="Z230" s="321">
        <f>'Detailed Avalerem Tables'!DF188</f>
        <v>31.67208563624898</v>
      </c>
      <c r="AA230" s="321">
        <f>'Detailed Avalerem Tables'!DF236</f>
        <v>30.335616034022152</v>
      </c>
      <c r="AB230" s="321">
        <f>'Detailed Avalerem Tables'!EH43</f>
        <v>25.557841058858365</v>
      </c>
      <c r="AC230" s="321">
        <f>'Detailed Avalerem Tables'!EH92</f>
        <v>30.398671660550605</v>
      </c>
      <c r="AD230" s="321">
        <f>'Detailed Avalerem Tables'!EH140</f>
        <v>27.015893524348378</v>
      </c>
      <c r="AE230" s="321">
        <f>'Detailed Avalerem Tables'!EH188</f>
        <v>29.536936936936932</v>
      </c>
      <c r="AF230" s="324">
        <f>'Detailed Avalerem Tables'!EH236</f>
        <v>29.179730751342504</v>
      </c>
      <c r="AG230" s="239" t="s">
        <v>32</v>
      </c>
      <c r="AH230" s="265"/>
      <c r="AI230" s="266" t="str">
        <f>$BF$114</f>
        <v>Mentor</v>
      </c>
      <c r="AJ230" s="267" t="s">
        <v>362</v>
      </c>
      <c r="AU230" s="148"/>
      <c r="AV230" s="148"/>
      <c r="BQ230" s="232"/>
    </row>
    <row r="231" spans="1:69" x14ac:dyDescent="0.2">
      <c r="A231" s="256">
        <v>91</v>
      </c>
      <c r="B231" s="512" t="str">
        <f>$BF$115</f>
        <v>Request</v>
      </c>
      <c r="C231" s="313">
        <v>7</v>
      </c>
      <c r="D231" s="313">
        <v>3</v>
      </c>
      <c r="E231" s="305">
        <v>2</v>
      </c>
      <c r="F231" s="313" t="str">
        <f t="shared" si="5"/>
        <v>732</v>
      </c>
      <c r="G231" s="324">
        <f t="shared" si="4"/>
        <v>29.008504025822855</v>
      </c>
      <c r="H231" s="321">
        <f>'Detailed Avalerem Tables'!Z44</f>
        <v>28.829762021114679</v>
      </c>
      <c r="I231" s="321">
        <f>'Detailed Avalerem Tables'!Z93</f>
        <v>23.403474928056635</v>
      </c>
      <c r="J231" s="321">
        <f>'Detailed Avalerem Tables'!Z141</f>
        <v>29.414694622922312</v>
      </c>
      <c r="K231" s="321">
        <f>'Detailed Avalerem Tables'!Z189</f>
        <v>25.169283100334987</v>
      </c>
      <c r="L231" s="321">
        <f>'Detailed Avalerem Tables'!Z237</f>
        <v>24.107855910468317</v>
      </c>
      <c r="M231" s="321">
        <f>'Detailed Avalerem Tables'!BB44</f>
        <v>24.279723497504222</v>
      </c>
      <c r="N231" s="321">
        <f>'Detailed Avalerem Tables'!BB93</f>
        <v>26.78173564431853</v>
      </c>
      <c r="O231" s="321">
        <f>'Detailed Avalerem Tables'!BB141</f>
        <v>31.121181824008204</v>
      </c>
      <c r="P231" s="321">
        <f>'Detailed Avalerem Tables'!BB189</f>
        <v>27.002850841022358</v>
      </c>
      <c r="Q231" s="321">
        <f>'Detailed Avalerem Tables'!BB237</f>
        <v>24.294713457511659</v>
      </c>
      <c r="R231" s="321">
        <f>'Detailed Avalerem Tables'!CD44</f>
        <v>32.284733036194034</v>
      </c>
      <c r="S231" s="321">
        <f>'Detailed Avalerem Tables'!CD93</f>
        <v>34.531481114502</v>
      </c>
      <c r="T231" s="321">
        <f>'Detailed Avalerem Tables'!CD141</f>
        <v>36.134083258347005</v>
      </c>
      <c r="U231" s="321">
        <f>'Detailed Avalerem Tables'!CD189</f>
        <v>34.314581318787646</v>
      </c>
      <c r="V231" s="321">
        <f>'Detailed Avalerem Tables'!CD237</f>
        <v>32.484479007277692</v>
      </c>
      <c r="W231" s="321">
        <f>'Detailed Avalerem Tables'!DF44</f>
        <v>27.43917413561455</v>
      </c>
      <c r="X231" s="321">
        <f>'Detailed Avalerem Tables'!DF93</f>
        <v>31.842571447887586</v>
      </c>
      <c r="Y231" s="321">
        <f>'Detailed Avalerem Tables'!DF141</f>
        <v>28.079445877390988</v>
      </c>
      <c r="Z231" s="321">
        <f>'Detailed Avalerem Tables'!DF189</f>
        <v>31.67208563624898</v>
      </c>
      <c r="AA231" s="321">
        <f>'Detailed Avalerem Tables'!DF237</f>
        <v>30.335616034022152</v>
      </c>
      <c r="AB231" s="321">
        <f>'Detailed Avalerem Tables'!EH44</f>
        <v>25.557841058858369</v>
      </c>
      <c r="AC231" s="321">
        <f>'Detailed Avalerem Tables'!EH93</f>
        <v>30.398671660550605</v>
      </c>
      <c r="AD231" s="321">
        <f>'Detailed Avalerem Tables'!EH141</f>
        <v>27.015893524348378</v>
      </c>
      <c r="AE231" s="321">
        <f>'Detailed Avalerem Tables'!EH189</f>
        <v>29.536936936936936</v>
      </c>
      <c r="AF231" s="324">
        <f>'Detailed Avalerem Tables'!EH237</f>
        <v>29.179730751342507</v>
      </c>
      <c r="AG231" s="239" t="s">
        <v>32</v>
      </c>
      <c r="AH231" s="265"/>
      <c r="AI231" s="266" t="str">
        <f>$BF$115</f>
        <v>Request</v>
      </c>
      <c r="AJ231" s="267" t="s">
        <v>362</v>
      </c>
      <c r="AU231" s="148"/>
      <c r="AV231" s="148"/>
      <c r="BQ231" s="232"/>
    </row>
    <row r="232" spans="1:69" x14ac:dyDescent="0.2">
      <c r="A232" s="256">
        <v>92</v>
      </c>
      <c r="B232" s="512" t="str">
        <f>$BF$116</f>
        <v>Distribute</v>
      </c>
      <c r="C232" s="313">
        <v>8</v>
      </c>
      <c r="D232" s="313">
        <v>3</v>
      </c>
      <c r="E232" s="305">
        <v>2</v>
      </c>
      <c r="F232" s="313" t="str">
        <f t="shared" si="5"/>
        <v>832</v>
      </c>
      <c r="G232" s="324">
        <f t="shared" si="4"/>
        <v>30.249436277327128</v>
      </c>
      <c r="H232" s="321">
        <f>'Detailed Avalerem Tables'!Z45</f>
        <v>30.019417193528472</v>
      </c>
      <c r="I232" s="321">
        <f>'Detailed Avalerem Tables'!Z94</f>
        <v>24.431252705834414</v>
      </c>
      <c r="J232" s="321">
        <f>'Detailed Avalerem Tables'!Z142</f>
        <v>30.805319622922312</v>
      </c>
      <c r="K232" s="321">
        <f>'Detailed Avalerem Tables'!Z190</f>
        <v>26.228106629746748</v>
      </c>
      <c r="L232" s="321">
        <f>'Detailed Avalerem Tables'!Z238</f>
        <v>25.397710982932086</v>
      </c>
      <c r="M232" s="321">
        <f>'Detailed Avalerem Tables'!BB45</f>
        <v>25.292069176516566</v>
      </c>
      <c r="N232" s="321">
        <f>'Detailed Avalerem Tables'!BB94</f>
        <v>27.961735644318534</v>
      </c>
      <c r="O232" s="321">
        <f>'Detailed Avalerem Tables'!BB142</f>
        <v>32.254515157341537</v>
      </c>
      <c r="P232" s="321">
        <f>'Detailed Avalerem Tables'!BB190</f>
        <v>28.169517507689022</v>
      </c>
      <c r="Q232" s="321">
        <f>'Detailed Avalerem Tables'!BB238</f>
        <v>25.602405765203965</v>
      </c>
      <c r="R232" s="321">
        <f>'Detailed Avalerem Tables'!CD45</f>
        <v>33.643223602231771</v>
      </c>
      <c r="S232" s="321">
        <f>'Detailed Avalerem Tables'!CD94</f>
        <v>35.931481114502006</v>
      </c>
      <c r="T232" s="321">
        <f>'Detailed Avalerem Tables'!CD142</f>
        <v>37.291977995189114</v>
      </c>
      <c r="U232" s="321">
        <f>'Detailed Avalerem Tables'!CD190</f>
        <v>35.606889011095333</v>
      </c>
      <c r="V232" s="321">
        <f>'Detailed Avalerem Tables'!CD238</f>
        <v>33.782724621312781</v>
      </c>
      <c r="W232" s="321">
        <f>'Detailed Avalerem Tables'!DF45</f>
        <v>28.669943366383784</v>
      </c>
      <c r="X232" s="321">
        <f>'Detailed Avalerem Tables'!DF94</f>
        <v>33.265648370964499</v>
      </c>
      <c r="Y232" s="321">
        <f>'Detailed Avalerem Tables'!DF142</f>
        <v>29.094151759743934</v>
      </c>
      <c r="Z232" s="321">
        <f>'Detailed Avalerem Tables'!DF190</f>
        <v>32.989158806980683</v>
      </c>
      <c r="AA232" s="321">
        <f>'Detailed Avalerem Tables'!DF238</f>
        <v>31.637502826474979</v>
      </c>
      <c r="AB232" s="321">
        <f>'Detailed Avalerem Tables'!EH45</f>
        <v>26.650864314672312</v>
      </c>
      <c r="AC232" s="321">
        <f>'Detailed Avalerem Tables'!EH94</f>
        <v>31.836171660550605</v>
      </c>
      <c r="AD232" s="321">
        <f>'Detailed Avalerem Tables'!EH142</f>
        <v>28.327004635459488</v>
      </c>
      <c r="AE232" s="321">
        <f>'Detailed Avalerem Tables'!EH190</f>
        <v>30.861261261261262</v>
      </c>
      <c r="AF232" s="324">
        <f>'Detailed Avalerem Tables'!EH238</f>
        <v>30.485853200322097</v>
      </c>
      <c r="AG232" s="239" t="s">
        <v>32</v>
      </c>
      <c r="AH232" s="265"/>
      <c r="AI232" s="266" t="str">
        <f>$BF$116</f>
        <v>Distribute</v>
      </c>
      <c r="AJ232" s="267" t="s">
        <v>362</v>
      </c>
      <c r="AU232" s="148"/>
      <c r="AV232" s="148"/>
      <c r="BQ232" s="232"/>
    </row>
    <row r="233" spans="1:69" x14ac:dyDescent="0.2">
      <c r="A233" s="256">
        <v>93</v>
      </c>
      <c r="B233" s="512" t="str">
        <f>$BF$117</f>
        <v>Synchronize</v>
      </c>
      <c r="C233" s="313">
        <v>9</v>
      </c>
      <c r="D233" s="313">
        <v>3</v>
      </c>
      <c r="E233" s="305">
        <v>2</v>
      </c>
      <c r="F233" s="313" t="str">
        <f t="shared" si="5"/>
        <v>932</v>
      </c>
      <c r="G233" s="324">
        <f t="shared" si="4"/>
        <v>31.490368528831418</v>
      </c>
      <c r="H233" s="321">
        <f>'Detailed Avalerem Tables'!Z46</f>
        <v>31.209072365942266</v>
      </c>
      <c r="I233" s="321">
        <f>'Detailed Avalerem Tables'!Z95</f>
        <v>25.459030483612192</v>
      </c>
      <c r="J233" s="321">
        <f>'Detailed Avalerem Tables'!Z143</f>
        <v>32.195944622922312</v>
      </c>
      <c r="K233" s="321">
        <f>'Detailed Avalerem Tables'!Z191</f>
        <v>27.286930159158516</v>
      </c>
      <c r="L233" s="321">
        <f>'Detailed Avalerem Tables'!Z239</f>
        <v>26.687566055395855</v>
      </c>
      <c r="M233" s="321">
        <f>'Detailed Avalerem Tables'!BB46</f>
        <v>26.304414855528911</v>
      </c>
      <c r="N233" s="321">
        <f>'Detailed Avalerem Tables'!BB95</f>
        <v>29.141735644318533</v>
      </c>
      <c r="O233" s="321">
        <f>'Detailed Avalerem Tables'!BB143</f>
        <v>33.38784849067487</v>
      </c>
      <c r="P233" s="321">
        <f>'Detailed Avalerem Tables'!BB191</f>
        <v>29.33618417435569</v>
      </c>
      <c r="Q233" s="321">
        <f>'Detailed Avalerem Tables'!BB239</f>
        <v>26.910098072896275</v>
      </c>
      <c r="R233" s="321">
        <f>'Detailed Avalerem Tables'!CD46</f>
        <v>35.001714168269501</v>
      </c>
      <c r="S233" s="321">
        <f>'Detailed Avalerem Tables'!CD95</f>
        <v>37.331481114502004</v>
      </c>
      <c r="T233" s="321">
        <f>'Detailed Avalerem Tables'!CD143</f>
        <v>38.449872732031224</v>
      </c>
      <c r="U233" s="321">
        <f>'Detailed Avalerem Tables'!CD191</f>
        <v>36.899196703403028</v>
      </c>
      <c r="V233" s="321">
        <f>'Detailed Avalerem Tables'!CD239</f>
        <v>35.08097023534787</v>
      </c>
      <c r="W233" s="321">
        <f>'Detailed Avalerem Tables'!DF46</f>
        <v>29.900712597153014</v>
      </c>
      <c r="X233" s="321">
        <f>'Detailed Avalerem Tables'!DF95</f>
        <v>34.688725294041433</v>
      </c>
      <c r="Y233" s="321">
        <f>'Detailed Avalerem Tables'!DF143</f>
        <v>30.108857642096879</v>
      </c>
      <c r="Z233" s="321">
        <f>'Detailed Avalerem Tables'!DF191</f>
        <v>34.306231977712393</v>
      </c>
      <c r="AA233" s="321">
        <f>'Detailed Avalerem Tables'!DF239</f>
        <v>32.939389618927812</v>
      </c>
      <c r="AB233" s="321">
        <f>'Detailed Avalerem Tables'!EH46</f>
        <v>27.743887570486272</v>
      </c>
      <c r="AC233" s="321">
        <f>'Detailed Avalerem Tables'!EH95</f>
        <v>33.273671660550605</v>
      </c>
      <c r="AD233" s="321">
        <f>'Detailed Avalerem Tables'!EH143</f>
        <v>29.638115746570598</v>
      </c>
      <c r="AE233" s="321">
        <f>'Detailed Avalerem Tables'!EH191</f>
        <v>32.185585585585585</v>
      </c>
      <c r="AF233" s="324">
        <f>'Detailed Avalerem Tables'!EH239</f>
        <v>31.791975649301691</v>
      </c>
      <c r="AG233" s="239" t="s">
        <v>32</v>
      </c>
      <c r="AH233" s="265"/>
      <c r="AI233" s="266" t="str">
        <f>$BF$117</f>
        <v>Synchronize</v>
      </c>
      <c r="AJ233" s="267" t="s">
        <v>362</v>
      </c>
      <c r="AU233" s="148"/>
      <c r="AV233" s="148"/>
      <c r="BQ233" s="232"/>
    </row>
    <row r="234" spans="1:69" x14ac:dyDescent="0.2">
      <c r="A234" s="256">
        <v>94</v>
      </c>
      <c r="B234" s="512" t="str">
        <f>$BF$118</f>
        <v>Calibrate</v>
      </c>
      <c r="C234" s="313">
        <v>10</v>
      </c>
      <c r="D234" s="313">
        <v>3</v>
      </c>
      <c r="E234" s="305">
        <v>2</v>
      </c>
      <c r="F234" s="313" t="str">
        <f t="shared" si="5"/>
        <v>1032</v>
      </c>
      <c r="G234" s="324">
        <f t="shared" si="4"/>
        <v>31.490368528831418</v>
      </c>
      <c r="H234" s="321">
        <f>'Detailed Avalerem Tables'!Z47</f>
        <v>31.209072365942266</v>
      </c>
      <c r="I234" s="321">
        <f>'Detailed Avalerem Tables'!Z96</f>
        <v>25.459030483612192</v>
      </c>
      <c r="J234" s="321">
        <f>'Detailed Avalerem Tables'!Z144</f>
        <v>32.195944622922312</v>
      </c>
      <c r="K234" s="321">
        <f>'Detailed Avalerem Tables'!Z192</f>
        <v>27.286930159158516</v>
      </c>
      <c r="L234" s="321">
        <f>'Detailed Avalerem Tables'!Z240</f>
        <v>26.687566055395855</v>
      </c>
      <c r="M234" s="321">
        <f>'Detailed Avalerem Tables'!BB47</f>
        <v>26.304414855528908</v>
      </c>
      <c r="N234" s="321">
        <f>'Detailed Avalerem Tables'!BB96</f>
        <v>29.141735644318533</v>
      </c>
      <c r="O234" s="321">
        <f>'Detailed Avalerem Tables'!BB144</f>
        <v>33.38784849067487</v>
      </c>
      <c r="P234" s="321">
        <f>'Detailed Avalerem Tables'!BB192</f>
        <v>29.33618417435569</v>
      </c>
      <c r="Q234" s="321">
        <f>'Detailed Avalerem Tables'!BB240</f>
        <v>26.910098072896268</v>
      </c>
      <c r="R234" s="321">
        <f>'Detailed Avalerem Tables'!CD47</f>
        <v>35.001714168269501</v>
      </c>
      <c r="S234" s="321">
        <f>'Detailed Avalerem Tables'!CD96</f>
        <v>37.331481114502004</v>
      </c>
      <c r="T234" s="321">
        <f>'Detailed Avalerem Tables'!CD144</f>
        <v>38.449872732031217</v>
      </c>
      <c r="U234" s="321">
        <f>'Detailed Avalerem Tables'!CD192</f>
        <v>36.899196703403028</v>
      </c>
      <c r="V234" s="321">
        <f>'Detailed Avalerem Tables'!CD240</f>
        <v>35.08097023534787</v>
      </c>
      <c r="W234" s="321">
        <f>'Detailed Avalerem Tables'!DF47</f>
        <v>29.900712597153014</v>
      </c>
      <c r="X234" s="321">
        <f>'Detailed Avalerem Tables'!DF96</f>
        <v>34.688725294041433</v>
      </c>
      <c r="Y234" s="321">
        <f>'Detailed Avalerem Tables'!DF144</f>
        <v>30.108857642096872</v>
      </c>
      <c r="Z234" s="321">
        <f>'Detailed Avalerem Tables'!DF192</f>
        <v>34.306231977712393</v>
      </c>
      <c r="AA234" s="321">
        <f>'Detailed Avalerem Tables'!DF240</f>
        <v>32.939389618927812</v>
      </c>
      <c r="AB234" s="321">
        <f>'Detailed Avalerem Tables'!EH47</f>
        <v>27.743887570486272</v>
      </c>
      <c r="AC234" s="321">
        <f>'Detailed Avalerem Tables'!EH96</f>
        <v>33.273671660550605</v>
      </c>
      <c r="AD234" s="321">
        <f>'Detailed Avalerem Tables'!EH144</f>
        <v>29.638115746570598</v>
      </c>
      <c r="AE234" s="321">
        <f>'Detailed Avalerem Tables'!EH192</f>
        <v>32.185585585585585</v>
      </c>
      <c r="AF234" s="324">
        <f>'Detailed Avalerem Tables'!EH240</f>
        <v>31.791975649301691</v>
      </c>
      <c r="AG234" s="239" t="s">
        <v>32</v>
      </c>
      <c r="AH234" s="265"/>
      <c r="AI234" s="266" t="str">
        <f>$BF$118</f>
        <v>Calibrate</v>
      </c>
      <c r="AJ234" s="267" t="s">
        <v>362</v>
      </c>
      <c r="AU234" s="148"/>
      <c r="AV234" s="148"/>
      <c r="BQ234" s="232"/>
    </row>
    <row r="235" spans="1:69" x14ac:dyDescent="0.2">
      <c r="A235" s="256">
        <v>95</v>
      </c>
      <c r="B235" s="512" t="str">
        <f>$BF$119</f>
        <v>Experiment</v>
      </c>
      <c r="C235" s="313">
        <v>11</v>
      </c>
      <c r="D235" s="313">
        <v>3</v>
      </c>
      <c r="E235" s="305">
        <v>2</v>
      </c>
      <c r="F235" s="313" t="str">
        <f t="shared" si="5"/>
        <v>1132</v>
      </c>
      <c r="G235" s="324">
        <f t="shared" si="4"/>
        <v>30.249436277327131</v>
      </c>
      <c r="H235" s="321">
        <f>'Detailed Avalerem Tables'!Z48</f>
        <v>30.019417193528472</v>
      </c>
      <c r="I235" s="321">
        <f>'Detailed Avalerem Tables'!Z97</f>
        <v>24.431252705834414</v>
      </c>
      <c r="J235" s="321">
        <f>'Detailed Avalerem Tables'!Z145</f>
        <v>30.805319622922312</v>
      </c>
      <c r="K235" s="321">
        <f>'Detailed Avalerem Tables'!Z193</f>
        <v>26.228106629746755</v>
      </c>
      <c r="L235" s="321">
        <f>'Detailed Avalerem Tables'!Z241</f>
        <v>25.397710982932082</v>
      </c>
      <c r="M235" s="321">
        <f>'Detailed Avalerem Tables'!BB48</f>
        <v>25.292069176516563</v>
      </c>
      <c r="N235" s="321">
        <f>'Detailed Avalerem Tables'!BB97</f>
        <v>27.961735644318534</v>
      </c>
      <c r="O235" s="321">
        <f>'Detailed Avalerem Tables'!BB145</f>
        <v>32.25451515734153</v>
      </c>
      <c r="P235" s="321">
        <f>'Detailed Avalerem Tables'!BB193</f>
        <v>28.169517507689022</v>
      </c>
      <c r="Q235" s="321">
        <f>'Detailed Avalerem Tables'!BB241</f>
        <v>25.602405765203965</v>
      </c>
      <c r="R235" s="321">
        <f>'Detailed Avalerem Tables'!CD48</f>
        <v>33.643223602231771</v>
      </c>
      <c r="S235" s="321">
        <f>'Detailed Avalerem Tables'!CD97</f>
        <v>35.931481114502006</v>
      </c>
      <c r="T235" s="321">
        <f>'Detailed Avalerem Tables'!CD145</f>
        <v>37.291977995189114</v>
      </c>
      <c r="U235" s="321">
        <f>'Detailed Avalerem Tables'!CD193</f>
        <v>35.606889011095333</v>
      </c>
      <c r="V235" s="321">
        <f>'Detailed Avalerem Tables'!CD241</f>
        <v>33.782724621312781</v>
      </c>
      <c r="W235" s="321">
        <f>'Detailed Avalerem Tables'!DF48</f>
        <v>28.669943366383784</v>
      </c>
      <c r="X235" s="321">
        <f>'Detailed Avalerem Tables'!DF97</f>
        <v>33.265648370964506</v>
      </c>
      <c r="Y235" s="321">
        <f>'Detailed Avalerem Tables'!DF145</f>
        <v>29.09415175974393</v>
      </c>
      <c r="Z235" s="321">
        <f>'Detailed Avalerem Tables'!DF193</f>
        <v>32.989158806980683</v>
      </c>
      <c r="AA235" s="321">
        <f>'Detailed Avalerem Tables'!DF241</f>
        <v>31.637502826474986</v>
      </c>
      <c r="AB235" s="321">
        <f>'Detailed Avalerem Tables'!EH48</f>
        <v>26.650864314672319</v>
      </c>
      <c r="AC235" s="321">
        <f>'Detailed Avalerem Tables'!EH97</f>
        <v>31.836171660550605</v>
      </c>
      <c r="AD235" s="321">
        <f>'Detailed Avalerem Tables'!EH145</f>
        <v>28.327004635459488</v>
      </c>
      <c r="AE235" s="321">
        <f>'Detailed Avalerem Tables'!EH193</f>
        <v>30.861261261261255</v>
      </c>
      <c r="AF235" s="324">
        <f>'Detailed Avalerem Tables'!EH241</f>
        <v>30.485853200322097</v>
      </c>
      <c r="AG235" s="239" t="s">
        <v>32</v>
      </c>
      <c r="AH235" s="265"/>
      <c r="AI235" s="266" t="str">
        <f>$BF$119</f>
        <v>Experiment</v>
      </c>
      <c r="AJ235" s="267" t="s">
        <v>362</v>
      </c>
      <c r="AU235" s="148"/>
      <c r="AV235" s="148"/>
      <c r="BQ235" s="232"/>
    </row>
    <row r="236" spans="1:69" x14ac:dyDescent="0.2">
      <c r="A236" s="256">
        <v>96</v>
      </c>
      <c r="B236" s="512" t="str">
        <f>$BF$120</f>
        <v>Manipulate</v>
      </c>
      <c r="C236" s="313">
        <v>12</v>
      </c>
      <c r="D236" s="313">
        <v>3</v>
      </c>
      <c r="E236" s="305">
        <v>2</v>
      </c>
      <c r="F236" s="313" t="str">
        <f t="shared" si="5"/>
        <v>1232</v>
      </c>
      <c r="G236" s="324">
        <f t="shared" si="4"/>
        <v>29.008504025822855</v>
      </c>
      <c r="H236" s="321">
        <f>'Detailed Avalerem Tables'!Z49</f>
        <v>28.829762021114679</v>
      </c>
      <c r="I236" s="321">
        <f>'Detailed Avalerem Tables'!Z98</f>
        <v>23.403474928056635</v>
      </c>
      <c r="J236" s="321">
        <f>'Detailed Avalerem Tables'!Z146</f>
        <v>29.414694622922312</v>
      </c>
      <c r="K236" s="321">
        <f>'Detailed Avalerem Tables'!Z194</f>
        <v>25.16928310033498</v>
      </c>
      <c r="L236" s="321">
        <f>'Detailed Avalerem Tables'!Z242</f>
        <v>24.107855910468317</v>
      </c>
      <c r="M236" s="321">
        <f>'Detailed Avalerem Tables'!BB49</f>
        <v>24.279723497504222</v>
      </c>
      <c r="N236" s="321">
        <f>'Detailed Avalerem Tables'!BB98</f>
        <v>26.78173564431853</v>
      </c>
      <c r="O236" s="321">
        <f>'Detailed Avalerem Tables'!BB146</f>
        <v>31.121181824008204</v>
      </c>
      <c r="P236" s="321">
        <f>'Detailed Avalerem Tables'!BB194</f>
        <v>27.002850841022358</v>
      </c>
      <c r="Q236" s="321">
        <f>'Detailed Avalerem Tables'!BB242</f>
        <v>24.294713457511659</v>
      </c>
      <c r="R236" s="321">
        <f>'Detailed Avalerem Tables'!CD49</f>
        <v>32.284733036194034</v>
      </c>
      <c r="S236" s="321">
        <f>'Detailed Avalerem Tables'!CD98</f>
        <v>34.531481114502</v>
      </c>
      <c r="T236" s="321">
        <f>'Detailed Avalerem Tables'!CD146</f>
        <v>36.134083258347005</v>
      </c>
      <c r="U236" s="321">
        <f>'Detailed Avalerem Tables'!CD194</f>
        <v>34.314581318787646</v>
      </c>
      <c r="V236" s="321">
        <f>'Detailed Avalerem Tables'!CD242</f>
        <v>32.484479007277692</v>
      </c>
      <c r="W236" s="321">
        <f>'Detailed Avalerem Tables'!DF49</f>
        <v>27.43917413561455</v>
      </c>
      <c r="X236" s="321">
        <f>'Detailed Avalerem Tables'!DF98</f>
        <v>31.842571447887586</v>
      </c>
      <c r="Y236" s="321">
        <f>'Detailed Avalerem Tables'!DF146</f>
        <v>28.079445877390988</v>
      </c>
      <c r="Z236" s="321">
        <f>'Detailed Avalerem Tables'!DF194</f>
        <v>31.67208563624898</v>
      </c>
      <c r="AA236" s="321">
        <f>'Detailed Avalerem Tables'!DF242</f>
        <v>30.335616034022152</v>
      </c>
      <c r="AB236" s="321">
        <f>'Detailed Avalerem Tables'!EH49</f>
        <v>25.557841058858365</v>
      </c>
      <c r="AC236" s="321">
        <f>'Detailed Avalerem Tables'!EH98</f>
        <v>30.398671660550605</v>
      </c>
      <c r="AD236" s="321">
        <f>'Detailed Avalerem Tables'!EH146</f>
        <v>27.015893524348378</v>
      </c>
      <c r="AE236" s="321">
        <f>'Detailed Avalerem Tables'!EH194</f>
        <v>29.536936936936932</v>
      </c>
      <c r="AF236" s="324">
        <f>'Detailed Avalerem Tables'!EH242</f>
        <v>29.179730751342504</v>
      </c>
      <c r="AG236" s="239" t="s">
        <v>32</v>
      </c>
      <c r="AH236" s="265"/>
      <c r="AI236" s="266" t="str">
        <f>$BF$120</f>
        <v>Manipulate</v>
      </c>
      <c r="AJ236" s="267" t="s">
        <v>362</v>
      </c>
      <c r="AU236" s="148"/>
      <c r="AV236" s="148"/>
      <c r="BQ236" s="232"/>
    </row>
    <row r="237" spans="1:69" x14ac:dyDescent="0.2">
      <c r="A237" s="256">
        <v>97</v>
      </c>
      <c r="B237" s="513" t="str">
        <f>$AU$123</f>
        <v>Imagine</v>
      </c>
      <c r="C237" s="312">
        <v>1</v>
      </c>
      <c r="D237" s="312">
        <v>2</v>
      </c>
      <c r="E237" s="306">
        <v>1</v>
      </c>
      <c r="F237" s="312" t="str">
        <f>_xlfn.CONCAT(C237,D237,E237)</f>
        <v>121</v>
      </c>
      <c r="G237" s="325">
        <f t="shared" si="4"/>
        <v>12.363520434532601</v>
      </c>
      <c r="H237" s="6">
        <f>'Detailed Avalerem Tables'!Y23</f>
        <v>8.434523809523812</v>
      </c>
      <c r="I237" s="6">
        <f>'Detailed Avalerem Tables'!Y72</f>
        <v>8.753205128205126</v>
      </c>
      <c r="J237" s="6">
        <f>'Detailed Avalerem Tables'!Y120</f>
        <v>8.5574894514767941</v>
      </c>
      <c r="K237" s="6">
        <f>'Detailed Avalerem Tables'!Y168</f>
        <v>8.6147435897435898</v>
      </c>
      <c r="L237" s="6">
        <f>'Detailed Avalerem Tables'!Y216</f>
        <v>8.3457207207207205</v>
      </c>
      <c r="M237" s="6">
        <f>'Detailed Avalerem Tables'!BA23</f>
        <v>12.762254901960784</v>
      </c>
      <c r="N237" s="6">
        <f>'Detailed Avalerem Tables'!BA72</f>
        <v>13.672619047619047</v>
      </c>
      <c r="O237" s="6">
        <f>'Detailed Avalerem Tables'!BA120</f>
        <v>13.513888888888889</v>
      </c>
      <c r="P237" s="6">
        <f>'Detailed Avalerem Tables'!BA168</f>
        <v>13.077380952380953</v>
      </c>
      <c r="Q237" s="6">
        <f>'Detailed Avalerem Tables'!BA216</f>
        <v>14.51747311827957</v>
      </c>
      <c r="R237" s="6">
        <f>'Detailed Avalerem Tables'!CC23</f>
        <v>9.8455128205128215</v>
      </c>
      <c r="S237" s="6">
        <f>'Detailed Avalerem Tables'!CC72</f>
        <v>9.8685897435897427</v>
      </c>
      <c r="T237" s="6">
        <f>'Detailed Avalerem Tables'!CC120</f>
        <v>9.3671383647798727</v>
      </c>
      <c r="U237" s="6">
        <f>'Detailed Avalerem Tables'!CC168</f>
        <v>9.7361111111111107</v>
      </c>
      <c r="V237" s="6">
        <f>'Detailed Avalerem Tables'!CC216</f>
        <v>10.251666666666665</v>
      </c>
      <c r="W237" s="6">
        <f>'Detailed Avalerem Tables'!DE23</f>
        <v>15.926587301587301</v>
      </c>
      <c r="X237" s="6">
        <f>'Detailed Avalerem Tables'!DE72</f>
        <v>16.798913043478262</v>
      </c>
      <c r="Y237" s="6">
        <f>'Detailed Avalerem Tables'!DE120</f>
        <v>18.326149425287358</v>
      </c>
      <c r="Z237" s="6">
        <f>'Detailed Avalerem Tables'!DE168</f>
        <v>16.164393939393939</v>
      </c>
      <c r="AA237" s="6">
        <f>'Detailed Avalerem Tables'!DE216</f>
        <v>17.883215962441312</v>
      </c>
      <c r="AB237" s="6">
        <f>'Detailed Avalerem Tables'!EG23</f>
        <v>12.479166666666666</v>
      </c>
      <c r="AC237" s="6">
        <f>'Detailed Avalerem Tables'!EG72</f>
        <v>12.958333333333334</v>
      </c>
      <c r="AD237" s="6">
        <f>'Detailed Avalerem Tables'!EG120</f>
        <v>13.125</v>
      </c>
      <c r="AE237" s="6">
        <f>'Detailed Avalerem Tables'!EG168</f>
        <v>12.620614035087719</v>
      </c>
      <c r="AF237" s="325">
        <f>'Detailed Avalerem Tables'!EG216</f>
        <v>13.487318840579711</v>
      </c>
      <c r="AG237" s="257" t="s">
        <v>31</v>
      </c>
      <c r="AH237" s="258"/>
      <c r="AI237" s="259" t="str">
        <f>$AU$123</f>
        <v>Imagine</v>
      </c>
      <c r="AJ237" s="260" t="s">
        <v>350</v>
      </c>
      <c r="AU237" s="148"/>
      <c r="AV237" s="148"/>
      <c r="BQ237" s="232"/>
    </row>
    <row r="238" spans="1:69" x14ac:dyDescent="0.2">
      <c r="A238" s="256">
        <v>98</v>
      </c>
      <c r="B238" s="513" t="str">
        <f>$AU$124</f>
        <v>Design</v>
      </c>
      <c r="C238" s="312">
        <v>2</v>
      </c>
      <c r="D238" s="312">
        <v>2</v>
      </c>
      <c r="E238" s="306">
        <v>1</v>
      </c>
      <c r="F238" s="312" t="str">
        <f t="shared" ref="F238:F260" si="6">_xlfn.CONCAT(C238,D238,E238)</f>
        <v>221</v>
      </c>
      <c r="G238" s="325">
        <f t="shared" si="4"/>
        <v>14.768225296037503</v>
      </c>
      <c r="H238" s="6">
        <f>'Detailed Avalerem Tables'!Y24</f>
        <v>12.904761904761905</v>
      </c>
      <c r="I238" s="6">
        <f>'Detailed Avalerem Tables'!Y73</f>
        <v>14.179487179487179</v>
      </c>
      <c r="J238" s="6">
        <f>'Detailed Avalerem Tables'!Y121</f>
        <v>13.396624472573841</v>
      </c>
      <c r="K238" s="6">
        <f>'Detailed Avalerem Tables'!Y169</f>
        <v>13.625641025641023</v>
      </c>
      <c r="L238" s="6">
        <f>'Detailed Avalerem Tables'!Y217</f>
        <v>12.54954954954955</v>
      </c>
      <c r="M238" s="6">
        <f>'Detailed Avalerem Tables'!BA24</f>
        <v>11.068627450980394</v>
      </c>
      <c r="N238" s="6">
        <f>'Detailed Avalerem Tables'!BA73</f>
        <v>11.523809523809522</v>
      </c>
      <c r="O238" s="6">
        <f>'Detailed Avalerem Tables'!BA121</f>
        <v>11.444444444444443</v>
      </c>
      <c r="P238" s="6">
        <f>'Detailed Avalerem Tables'!BA169</f>
        <v>11.226190476190474</v>
      </c>
      <c r="Q238" s="6">
        <f>'Detailed Avalerem Tables'!BA217</f>
        <v>11.946236559139786</v>
      </c>
      <c r="R238" s="6">
        <f>'Detailed Avalerem Tables'!CC24</f>
        <v>18.54871794871795</v>
      </c>
      <c r="S238" s="6">
        <f>'Detailed Avalerem Tables'!CC73</f>
        <v>18.641025641025639</v>
      </c>
      <c r="T238" s="6">
        <f>'Detailed Avalerem Tables'!CC121</f>
        <v>16.635220125786162</v>
      </c>
      <c r="U238" s="6">
        <f>'Detailed Avalerem Tables'!CC169</f>
        <v>18.111111111111111</v>
      </c>
      <c r="V238" s="6">
        <f>'Detailed Avalerem Tables'!CC217</f>
        <v>20.173333333333332</v>
      </c>
      <c r="W238" s="6">
        <f>'Detailed Avalerem Tables'!DE24</f>
        <v>13.730158730158728</v>
      </c>
      <c r="X238" s="6">
        <f>'Detailed Avalerem Tables'!DE73</f>
        <v>14.275362318840582</v>
      </c>
      <c r="Y238" s="6">
        <f>'Detailed Avalerem Tables'!DE121</f>
        <v>15.229885057471265</v>
      </c>
      <c r="Z238" s="6">
        <f>'Detailed Avalerem Tables'!DE169</f>
        <v>13.878787878787879</v>
      </c>
      <c r="AA238" s="6">
        <f>'Detailed Avalerem Tables'!DE217</f>
        <v>14.953051643192488</v>
      </c>
      <c r="AB238" s="6">
        <f>'Detailed Avalerem Tables'!EG24</f>
        <v>15.595833333333331</v>
      </c>
      <c r="AC238" s="6">
        <f>'Detailed Avalerem Tables'!EG73</f>
        <v>16.266666666666666</v>
      </c>
      <c r="AD238" s="6">
        <f>'Detailed Avalerem Tables'!EG121</f>
        <v>16.5</v>
      </c>
      <c r="AE238" s="6">
        <f>'Detailed Avalerem Tables'!EG169</f>
        <v>15.793859649122806</v>
      </c>
      <c r="AF238" s="325">
        <f>'Detailed Avalerem Tables'!EG217</f>
        <v>17.007246376811594</v>
      </c>
      <c r="AG238" s="257" t="s">
        <v>31</v>
      </c>
      <c r="AH238" s="258"/>
      <c r="AI238" s="259" t="str">
        <f>$AU$124</f>
        <v>Design</v>
      </c>
      <c r="AJ238" s="260" t="s">
        <v>350</v>
      </c>
      <c r="AU238" s="148"/>
      <c r="AV238" s="148"/>
      <c r="BQ238" s="232"/>
    </row>
    <row r="239" spans="1:69" x14ac:dyDescent="0.2">
      <c r="A239" s="256">
        <v>99</v>
      </c>
      <c r="B239" s="513" t="str">
        <f>$AU$125</f>
        <v>Institute</v>
      </c>
      <c r="C239" s="312">
        <v>3</v>
      </c>
      <c r="D239" s="312">
        <v>2</v>
      </c>
      <c r="E239" s="306">
        <v>1</v>
      </c>
      <c r="F239" s="312" t="str">
        <f t="shared" si="6"/>
        <v>321</v>
      </c>
      <c r="G239" s="325">
        <f t="shared" si="4"/>
        <v>15.55080839090189</v>
      </c>
      <c r="H239" s="6">
        <f>'Detailed Avalerem Tables'!Y25</f>
        <v>11.660714285714285</v>
      </c>
      <c r="I239" s="6">
        <f>'Detailed Avalerem Tables'!Y74</f>
        <v>12.298076923076922</v>
      </c>
      <c r="J239" s="6">
        <f>'Detailed Avalerem Tables'!Y122</f>
        <v>11.906645569620252</v>
      </c>
      <c r="K239" s="6">
        <f>'Detailed Avalerem Tables'!Y170</f>
        <v>12.021153846153844</v>
      </c>
      <c r="L239" s="6">
        <f>'Detailed Avalerem Tables'!Y218</f>
        <v>11.483108108108107</v>
      </c>
      <c r="M239" s="6">
        <f>'Detailed Avalerem Tables'!BA25</f>
        <v>20.316176470588239</v>
      </c>
      <c r="N239" s="6">
        <f>'Detailed Avalerem Tables'!BA74</f>
        <v>22.136904761904759</v>
      </c>
      <c r="O239" s="6">
        <f>'Detailed Avalerem Tables'!BA122</f>
        <v>21.819444444444446</v>
      </c>
      <c r="P239" s="6">
        <f>'Detailed Avalerem Tables'!BA170</f>
        <v>20.946428571428573</v>
      </c>
      <c r="Q239" s="6">
        <f>'Detailed Avalerem Tables'!BA218</f>
        <v>23.826612903225808</v>
      </c>
      <c r="R239" s="6">
        <f>'Detailed Avalerem Tables'!CC25</f>
        <v>15.759615384615385</v>
      </c>
      <c r="S239" s="6">
        <f>'Detailed Avalerem Tables'!CC74</f>
        <v>15.817307692307693</v>
      </c>
      <c r="T239" s="6">
        <f>'Detailed Avalerem Tables'!CC122</f>
        <v>14.563679245283019</v>
      </c>
      <c r="U239" s="6">
        <f>'Detailed Avalerem Tables'!CC170</f>
        <v>15.486111111111111</v>
      </c>
      <c r="V239" s="6">
        <f>'Detailed Avalerem Tables'!CC218</f>
        <v>16.774999999999999</v>
      </c>
      <c r="W239" s="6">
        <f>'Detailed Avalerem Tables'!DE25</f>
        <v>16.930555555555557</v>
      </c>
      <c r="X239" s="6">
        <f>'Detailed Avalerem Tables'!DE74</f>
        <v>17.693840579710148</v>
      </c>
      <c r="Y239" s="6">
        <f>'Detailed Avalerem Tables'!DE122</f>
        <v>19.030172413793103</v>
      </c>
      <c r="Z239" s="6">
        <f>'Detailed Avalerem Tables'!DE170</f>
        <v>17.138636363636362</v>
      </c>
      <c r="AA239" s="6">
        <f>'Detailed Avalerem Tables'!DE218</f>
        <v>18.642605633802816</v>
      </c>
      <c r="AB239" s="6">
        <f>'Detailed Avalerem Tables'!EG25</f>
        <v>10.412499999999998</v>
      </c>
      <c r="AC239" s="6">
        <f>'Detailed Avalerem Tables'!EG74</f>
        <v>10.508333333333333</v>
      </c>
      <c r="AD239" s="6">
        <f>'Detailed Avalerem Tables'!EG122</f>
        <v>10.541666666666666</v>
      </c>
      <c r="AE239" s="6">
        <f>'Detailed Avalerem Tables'!EG170</f>
        <v>10.440789473684212</v>
      </c>
      <c r="AF239" s="325">
        <f>'Detailed Avalerem Tables'!EG218</f>
        <v>10.614130434782611</v>
      </c>
      <c r="AG239" s="257" t="s">
        <v>31</v>
      </c>
      <c r="AH239" s="258"/>
      <c r="AI239" s="259" t="str">
        <f>$AU$125</f>
        <v>Institute</v>
      </c>
      <c r="AJ239" s="260" t="s">
        <v>350</v>
      </c>
      <c r="AU239" s="148"/>
      <c r="AV239" s="148"/>
      <c r="BQ239" s="232"/>
    </row>
    <row r="240" spans="1:69" x14ac:dyDescent="0.2">
      <c r="A240" s="256">
        <v>100</v>
      </c>
      <c r="B240" s="513" t="str">
        <f>$AU$126</f>
        <v>Respond</v>
      </c>
      <c r="C240" s="312">
        <v>4</v>
      </c>
      <c r="D240" s="312">
        <v>2</v>
      </c>
      <c r="E240" s="306">
        <v>1</v>
      </c>
      <c r="F240" s="312" t="str">
        <f t="shared" si="6"/>
        <v>421</v>
      </c>
      <c r="G240" s="325">
        <f t="shared" si="4"/>
        <v>15.839903745332272</v>
      </c>
      <c r="H240" s="6">
        <f>'Detailed Avalerem Tables'!Y26</f>
        <v>18.517857142857142</v>
      </c>
      <c r="I240" s="6">
        <f>'Detailed Avalerem Tables'!Y75</f>
        <v>21.06730769230769</v>
      </c>
      <c r="J240" s="6">
        <f>'Detailed Avalerem Tables'!Y123</f>
        <v>19.50158227848101</v>
      </c>
      <c r="K240" s="6">
        <f>'Detailed Avalerem Tables'!Y171</f>
        <v>19.959615384615383</v>
      </c>
      <c r="L240" s="6">
        <f>'Detailed Avalerem Tables'!Y219</f>
        <v>17.807432432432432</v>
      </c>
      <c r="M240" s="6">
        <f>'Detailed Avalerem Tables'!BA26</f>
        <v>16.213235294117649</v>
      </c>
      <c r="N240" s="6">
        <f>'Detailed Avalerem Tables'!BA75</f>
        <v>17.351190476190474</v>
      </c>
      <c r="O240" s="6">
        <f>'Detailed Avalerem Tables'!BA123</f>
        <v>17.152777777777779</v>
      </c>
      <c r="P240" s="6">
        <f>'Detailed Avalerem Tables'!BA171</f>
        <v>16.607142857142858</v>
      </c>
      <c r="Q240" s="6">
        <f>'Detailed Avalerem Tables'!BA219</f>
        <v>18.407258064516128</v>
      </c>
      <c r="R240" s="6">
        <f>'Detailed Avalerem Tables'!CC26</f>
        <v>18.313461538461539</v>
      </c>
      <c r="S240" s="6">
        <f>'Detailed Avalerem Tables'!CC75</f>
        <v>18.394230769230766</v>
      </c>
      <c r="T240" s="6">
        <f>'Detailed Avalerem Tables'!CC123</f>
        <v>16.639150943396228</v>
      </c>
      <c r="U240" s="6">
        <f>'Detailed Avalerem Tables'!CC171</f>
        <v>17.930555555555557</v>
      </c>
      <c r="V240" s="6">
        <f>'Detailed Avalerem Tables'!CC219</f>
        <v>19.734999999999999</v>
      </c>
      <c r="W240" s="6">
        <f>'Detailed Avalerem Tables'!DE26</f>
        <v>10.454365079365081</v>
      </c>
      <c r="X240" s="6">
        <f>'Detailed Avalerem Tables'!DE75</f>
        <v>10.563405797101451</v>
      </c>
      <c r="Y240" s="6">
        <f>'Detailed Avalerem Tables'!DE123</f>
        <v>10.754310344827587</v>
      </c>
      <c r="Z240" s="6">
        <f>'Detailed Avalerem Tables'!DE171</f>
        <v>10.484090909090908</v>
      </c>
      <c r="AA240" s="6">
        <f>'Detailed Avalerem Tables'!DE219</f>
        <v>10.698943661971832</v>
      </c>
      <c r="AB240" s="6">
        <f>'Detailed Avalerem Tables'!EG26</f>
        <v>13.524999999999999</v>
      </c>
      <c r="AC240" s="6">
        <f>'Detailed Avalerem Tables'!EG75</f>
        <v>13.908333333333333</v>
      </c>
      <c r="AD240" s="6">
        <f>'Detailed Avalerem Tables'!EG123</f>
        <v>14.041666666666666</v>
      </c>
      <c r="AE240" s="6">
        <f>'Detailed Avalerem Tables'!EG171</f>
        <v>13.638157894736844</v>
      </c>
      <c r="AF240" s="325">
        <f>'Detailed Avalerem Tables'!EG219</f>
        <v>14.331521739130437</v>
      </c>
      <c r="AG240" s="257" t="s">
        <v>31</v>
      </c>
      <c r="AH240" s="258"/>
      <c r="AI240" s="259" t="str">
        <f>$AU$126</f>
        <v>Respond</v>
      </c>
      <c r="AJ240" s="260" t="s">
        <v>350</v>
      </c>
      <c r="AU240" s="148"/>
      <c r="AV240" s="148"/>
      <c r="BQ240" s="232"/>
    </row>
    <row r="241" spans="1:69" x14ac:dyDescent="0.2">
      <c r="A241" s="256">
        <v>101</v>
      </c>
      <c r="B241" s="513" t="str">
        <f>$AU$127</f>
        <v>Educate</v>
      </c>
      <c r="C241" s="312">
        <v>5</v>
      </c>
      <c r="D241" s="312">
        <v>2</v>
      </c>
      <c r="E241" s="306">
        <v>1</v>
      </c>
      <c r="F241" s="312" t="str">
        <f t="shared" si="6"/>
        <v>521</v>
      </c>
      <c r="G241" s="325">
        <f t="shared" si="4"/>
        <v>13.435198883827368</v>
      </c>
      <c r="H241" s="6">
        <f>'Detailed Avalerem Tables'!Y27</f>
        <v>14.047619047619047</v>
      </c>
      <c r="I241" s="6">
        <f>'Detailed Avalerem Tables'!Y76</f>
        <v>15.641025641025639</v>
      </c>
      <c r="J241" s="6">
        <f>'Detailed Avalerem Tables'!Y124</f>
        <v>14.662447257383967</v>
      </c>
      <c r="K241" s="6">
        <f>'Detailed Avalerem Tables'!Y172</f>
        <v>14.948717948717947</v>
      </c>
      <c r="L241" s="6">
        <f>'Detailed Avalerem Tables'!Y220</f>
        <v>13.603603603603602</v>
      </c>
      <c r="M241" s="6">
        <f>'Detailed Avalerem Tables'!BA27</f>
        <v>17.906862745098039</v>
      </c>
      <c r="N241" s="6">
        <f>'Detailed Avalerem Tables'!BA76</f>
        <v>19.5</v>
      </c>
      <c r="O241" s="6">
        <f>'Detailed Avalerem Tables'!BA124</f>
        <v>19.222222222222221</v>
      </c>
      <c r="P241" s="6">
        <f>'Detailed Avalerem Tables'!BA172</f>
        <v>18.458333333333332</v>
      </c>
      <c r="Q241" s="6">
        <f>'Detailed Avalerem Tables'!BA220</f>
        <v>20.978494623655912</v>
      </c>
      <c r="R241" s="6">
        <f>'Detailed Avalerem Tables'!CC27</f>
        <v>9.6102564102564116</v>
      </c>
      <c r="S241" s="6">
        <f>'Detailed Avalerem Tables'!CC76</f>
        <v>9.6217948717948705</v>
      </c>
      <c r="T241" s="6">
        <f>'Detailed Avalerem Tables'!CC124</f>
        <v>9.3710691823899364</v>
      </c>
      <c r="U241" s="6">
        <f>'Detailed Avalerem Tables'!CC172</f>
        <v>9.5555555555555536</v>
      </c>
      <c r="V241" s="6">
        <f>'Detailed Avalerem Tables'!CC220</f>
        <v>9.8133333333333326</v>
      </c>
      <c r="W241" s="6">
        <f>'Detailed Avalerem Tables'!DE27</f>
        <v>12.650793650793648</v>
      </c>
      <c r="X241" s="6">
        <f>'Detailed Avalerem Tables'!DE76</f>
        <v>13.086956521739131</v>
      </c>
      <c r="Y241" s="6">
        <f>'Detailed Avalerem Tables'!DE124</f>
        <v>13.850574712643679</v>
      </c>
      <c r="Z241" s="6">
        <f>'Detailed Avalerem Tables'!DE172</f>
        <v>12.76969696969697</v>
      </c>
      <c r="AA241" s="6">
        <f>'Detailed Avalerem Tables'!DE220</f>
        <v>13.629107981220658</v>
      </c>
      <c r="AB241" s="6">
        <f>'Detailed Avalerem Tables'!EG27</f>
        <v>10.408333333333331</v>
      </c>
      <c r="AC241" s="6">
        <f>'Detailed Avalerem Tables'!EG76</f>
        <v>10.599999999999998</v>
      </c>
      <c r="AD241" s="6">
        <f>'Detailed Avalerem Tables'!EG124</f>
        <v>10.666666666666664</v>
      </c>
      <c r="AE241" s="6">
        <f>'Detailed Avalerem Tables'!EG172</f>
        <v>10.464912280701753</v>
      </c>
      <c r="AF241" s="325">
        <f>'Detailed Avalerem Tables'!EG220</f>
        <v>10.811594202898549</v>
      </c>
      <c r="AG241" s="257" t="s">
        <v>31</v>
      </c>
      <c r="AH241" s="258"/>
      <c r="AI241" s="259" t="str">
        <f>$AU$127</f>
        <v>Educate</v>
      </c>
      <c r="AJ241" s="260" t="s">
        <v>350</v>
      </c>
      <c r="AU241" s="148"/>
      <c r="AV241" s="148"/>
      <c r="BQ241" s="232"/>
    </row>
    <row r="242" spans="1:69" x14ac:dyDescent="0.2">
      <c r="A242" s="256">
        <v>102</v>
      </c>
      <c r="B242" s="513" t="str">
        <f>$AU$128</f>
        <v>Eliminate</v>
      </c>
      <c r="C242" s="312">
        <v>6</v>
      </c>
      <c r="D242" s="312">
        <v>2</v>
      </c>
      <c r="E242" s="306">
        <v>1</v>
      </c>
      <c r="F242" s="312" t="str">
        <f t="shared" si="6"/>
        <v>621</v>
      </c>
      <c r="G242" s="325">
        <f t="shared" si="4"/>
        <v>12.652615788962985</v>
      </c>
      <c r="H242" s="6">
        <f>'Detailed Avalerem Tables'!Y28</f>
        <v>15.291666666666668</v>
      </c>
      <c r="I242" s="6">
        <f>'Detailed Avalerem Tables'!Y77</f>
        <v>17.522435897435894</v>
      </c>
      <c r="J242" s="6">
        <f>'Detailed Avalerem Tables'!Y125</f>
        <v>16.152426160337551</v>
      </c>
      <c r="K242" s="6">
        <f>'Detailed Avalerem Tables'!Y173</f>
        <v>16.553205128205128</v>
      </c>
      <c r="L242" s="6">
        <f>'Detailed Avalerem Tables'!Y221</f>
        <v>14.670045045045045</v>
      </c>
      <c r="M242" s="6">
        <f>'Detailed Avalerem Tables'!BA28</f>
        <v>8.6593137254901968</v>
      </c>
      <c r="N242" s="6">
        <f>'Detailed Avalerem Tables'!BA77</f>
        <v>8.886904761904761</v>
      </c>
      <c r="O242" s="6">
        <f>'Detailed Avalerem Tables'!BA125</f>
        <v>8.8472222222222232</v>
      </c>
      <c r="P242" s="6">
        <f>'Detailed Avalerem Tables'!BA173</f>
        <v>8.7380952380952372</v>
      </c>
      <c r="Q242" s="6">
        <f>'Detailed Avalerem Tables'!BA221</f>
        <v>9.0981182795698921</v>
      </c>
      <c r="R242" s="6">
        <f>'Detailed Avalerem Tables'!CC28</f>
        <v>12.399358974358975</v>
      </c>
      <c r="S242" s="6">
        <f>'Detailed Avalerem Tables'!CC77</f>
        <v>12.445512820512819</v>
      </c>
      <c r="T242" s="6">
        <f>'Detailed Avalerem Tables'!CC125</f>
        <v>11.442610062893081</v>
      </c>
      <c r="U242" s="6">
        <f>'Detailed Avalerem Tables'!CC173</f>
        <v>12.180555555555557</v>
      </c>
      <c r="V242" s="6">
        <f>'Detailed Avalerem Tables'!CC221</f>
        <v>13.211666666666666</v>
      </c>
      <c r="W242" s="6">
        <f>'Detailed Avalerem Tables'!DE28</f>
        <v>9.450396825396826</v>
      </c>
      <c r="X242" s="6">
        <f>'Detailed Avalerem Tables'!DE77</f>
        <v>9.6684782608695663</v>
      </c>
      <c r="Y242" s="6">
        <f>'Detailed Avalerem Tables'!DE125</f>
        <v>10.050287356321842</v>
      </c>
      <c r="Z242" s="6">
        <f>'Detailed Avalerem Tables'!DE173</f>
        <v>9.5098484848484848</v>
      </c>
      <c r="AA242" s="6">
        <f>'Detailed Avalerem Tables'!DE221</f>
        <v>9.9395539906103281</v>
      </c>
      <c r="AB242" s="6">
        <f>'Detailed Avalerem Tables'!EG28</f>
        <v>15.591666666666667</v>
      </c>
      <c r="AC242" s="6">
        <f>'Detailed Avalerem Tables'!EG77</f>
        <v>16.358333333333334</v>
      </c>
      <c r="AD242" s="6">
        <f>'Detailed Avalerem Tables'!EG125</f>
        <v>16.625</v>
      </c>
      <c r="AE242" s="6">
        <f>'Detailed Avalerem Tables'!EG173</f>
        <v>15.817982456140353</v>
      </c>
      <c r="AF242" s="325">
        <f>'Detailed Avalerem Tables'!EG221</f>
        <v>17.204710144927535</v>
      </c>
      <c r="AG242" s="257" t="s">
        <v>31</v>
      </c>
      <c r="AH242" s="258"/>
      <c r="AI242" s="259" t="str">
        <f>$AU$128</f>
        <v>Eliminate</v>
      </c>
      <c r="AJ242" s="260" t="s">
        <v>350</v>
      </c>
      <c r="AU242" s="148"/>
      <c r="AV242" s="148"/>
      <c r="BQ242" s="232"/>
    </row>
    <row r="243" spans="1:69" x14ac:dyDescent="0.2">
      <c r="A243" s="256">
        <v>103</v>
      </c>
      <c r="B243" s="513" t="str">
        <f>$AU$129</f>
        <v>Change</v>
      </c>
      <c r="C243" s="312">
        <v>7</v>
      </c>
      <c r="D243" s="312">
        <v>2</v>
      </c>
      <c r="E243" s="306">
        <v>1</v>
      </c>
      <c r="F243" s="312" t="str">
        <f t="shared" si="6"/>
        <v>721</v>
      </c>
      <c r="G243" s="325">
        <f t="shared" si="4"/>
        <v>12.363520434532601</v>
      </c>
      <c r="H243" s="6">
        <f>'Detailed Avalerem Tables'!Y29</f>
        <v>8.434523809523812</v>
      </c>
      <c r="I243" s="6">
        <f>'Detailed Avalerem Tables'!Y78</f>
        <v>8.753205128205126</v>
      </c>
      <c r="J243" s="6">
        <f>'Detailed Avalerem Tables'!Y126</f>
        <v>8.5574894514767941</v>
      </c>
      <c r="K243" s="6">
        <f>'Detailed Avalerem Tables'!Y174</f>
        <v>8.6147435897435898</v>
      </c>
      <c r="L243" s="6">
        <f>'Detailed Avalerem Tables'!Y222</f>
        <v>8.3457207207207205</v>
      </c>
      <c r="M243" s="6">
        <f>'Detailed Avalerem Tables'!BA29</f>
        <v>12.762254901960784</v>
      </c>
      <c r="N243" s="6">
        <f>'Detailed Avalerem Tables'!BA78</f>
        <v>13.672619047619047</v>
      </c>
      <c r="O243" s="6">
        <f>'Detailed Avalerem Tables'!BA126</f>
        <v>13.513888888888889</v>
      </c>
      <c r="P243" s="6">
        <f>'Detailed Avalerem Tables'!BA174</f>
        <v>13.077380952380953</v>
      </c>
      <c r="Q243" s="6">
        <f>'Detailed Avalerem Tables'!BA222</f>
        <v>14.51747311827957</v>
      </c>
      <c r="R243" s="6">
        <f>'Detailed Avalerem Tables'!CC29</f>
        <v>9.8455128205128215</v>
      </c>
      <c r="S243" s="6">
        <f>'Detailed Avalerem Tables'!CC78</f>
        <v>9.8685897435897427</v>
      </c>
      <c r="T243" s="6">
        <f>'Detailed Avalerem Tables'!CC126</f>
        <v>9.3671383647798727</v>
      </c>
      <c r="U243" s="6">
        <f>'Detailed Avalerem Tables'!CC174</f>
        <v>9.7361111111111107</v>
      </c>
      <c r="V243" s="6">
        <f>'Detailed Avalerem Tables'!CC222</f>
        <v>10.251666666666665</v>
      </c>
      <c r="W243" s="6">
        <f>'Detailed Avalerem Tables'!DE29</f>
        <v>15.926587301587301</v>
      </c>
      <c r="X243" s="6">
        <f>'Detailed Avalerem Tables'!DE78</f>
        <v>16.798913043478262</v>
      </c>
      <c r="Y243" s="6">
        <f>'Detailed Avalerem Tables'!DE126</f>
        <v>18.326149425287358</v>
      </c>
      <c r="Z243" s="6">
        <f>'Detailed Avalerem Tables'!DE174</f>
        <v>16.164393939393939</v>
      </c>
      <c r="AA243" s="6">
        <f>'Detailed Avalerem Tables'!DE222</f>
        <v>17.883215962441312</v>
      </c>
      <c r="AB243" s="6">
        <f>'Detailed Avalerem Tables'!EG29</f>
        <v>12.479166666666666</v>
      </c>
      <c r="AC243" s="6">
        <f>'Detailed Avalerem Tables'!EG78</f>
        <v>12.958333333333334</v>
      </c>
      <c r="AD243" s="6">
        <f>'Detailed Avalerem Tables'!EG126</f>
        <v>13.125</v>
      </c>
      <c r="AE243" s="6">
        <f>'Detailed Avalerem Tables'!EG174</f>
        <v>12.620614035087719</v>
      </c>
      <c r="AF243" s="325">
        <f>'Detailed Avalerem Tables'!EG222</f>
        <v>13.487318840579711</v>
      </c>
      <c r="AG243" s="257" t="s">
        <v>31</v>
      </c>
      <c r="AH243" s="258"/>
      <c r="AI243" s="259" t="str">
        <f>$AU$129</f>
        <v>Change</v>
      </c>
      <c r="AJ243" s="260" t="s">
        <v>350</v>
      </c>
      <c r="AU243" s="148"/>
      <c r="AV243" s="148"/>
      <c r="BQ243" s="232"/>
    </row>
    <row r="244" spans="1:69" x14ac:dyDescent="0.2">
      <c r="A244" s="256">
        <v>104</v>
      </c>
      <c r="B244" s="513" t="str">
        <f>$AU$130</f>
        <v>Delegate</v>
      </c>
      <c r="C244" s="312">
        <v>8</v>
      </c>
      <c r="D244" s="312">
        <v>2</v>
      </c>
      <c r="E244" s="306">
        <v>1</v>
      </c>
      <c r="F244" s="312" t="str">
        <f t="shared" si="6"/>
        <v>821</v>
      </c>
      <c r="G244" s="325">
        <f t="shared" si="4"/>
        <v>14.768225296037503</v>
      </c>
      <c r="H244" s="6">
        <f>'Detailed Avalerem Tables'!Y30</f>
        <v>12.904761904761905</v>
      </c>
      <c r="I244" s="6">
        <f>'Detailed Avalerem Tables'!Y79</f>
        <v>14.179487179487179</v>
      </c>
      <c r="J244" s="6">
        <f>'Detailed Avalerem Tables'!Y127</f>
        <v>13.396624472573841</v>
      </c>
      <c r="K244" s="6">
        <f>'Detailed Avalerem Tables'!Y175</f>
        <v>13.625641025641023</v>
      </c>
      <c r="L244" s="6">
        <f>'Detailed Avalerem Tables'!Y223</f>
        <v>12.54954954954955</v>
      </c>
      <c r="M244" s="6">
        <f>'Detailed Avalerem Tables'!BA30</f>
        <v>11.068627450980394</v>
      </c>
      <c r="N244" s="6">
        <f>'Detailed Avalerem Tables'!BA79</f>
        <v>11.523809523809522</v>
      </c>
      <c r="O244" s="6">
        <f>'Detailed Avalerem Tables'!BA127</f>
        <v>11.444444444444443</v>
      </c>
      <c r="P244" s="6">
        <f>'Detailed Avalerem Tables'!BA175</f>
        <v>11.226190476190474</v>
      </c>
      <c r="Q244" s="6">
        <f>'Detailed Avalerem Tables'!BA223</f>
        <v>11.946236559139786</v>
      </c>
      <c r="R244" s="6">
        <f>'Detailed Avalerem Tables'!CC30</f>
        <v>18.54871794871795</v>
      </c>
      <c r="S244" s="6">
        <f>'Detailed Avalerem Tables'!CC79</f>
        <v>18.641025641025639</v>
      </c>
      <c r="T244" s="6">
        <f>'Detailed Avalerem Tables'!CC127</f>
        <v>16.635220125786162</v>
      </c>
      <c r="U244" s="6">
        <f>'Detailed Avalerem Tables'!CC175</f>
        <v>18.111111111111111</v>
      </c>
      <c r="V244" s="6">
        <f>'Detailed Avalerem Tables'!CC223</f>
        <v>20.173333333333332</v>
      </c>
      <c r="W244" s="6">
        <f>'Detailed Avalerem Tables'!DE30</f>
        <v>13.730158730158728</v>
      </c>
      <c r="X244" s="6">
        <f>'Detailed Avalerem Tables'!DE79</f>
        <v>14.275362318840582</v>
      </c>
      <c r="Y244" s="6">
        <f>'Detailed Avalerem Tables'!DE127</f>
        <v>15.229885057471265</v>
      </c>
      <c r="Z244" s="6">
        <f>'Detailed Avalerem Tables'!DE175</f>
        <v>13.878787878787879</v>
      </c>
      <c r="AA244" s="6">
        <f>'Detailed Avalerem Tables'!DE223</f>
        <v>14.953051643192488</v>
      </c>
      <c r="AB244" s="6">
        <f>'Detailed Avalerem Tables'!EG30</f>
        <v>15.595833333333331</v>
      </c>
      <c r="AC244" s="6">
        <f>'Detailed Avalerem Tables'!EG79</f>
        <v>16.266666666666666</v>
      </c>
      <c r="AD244" s="6">
        <f>'Detailed Avalerem Tables'!EG127</f>
        <v>16.5</v>
      </c>
      <c r="AE244" s="6">
        <f>'Detailed Avalerem Tables'!EG175</f>
        <v>15.793859649122806</v>
      </c>
      <c r="AF244" s="325">
        <f>'Detailed Avalerem Tables'!EG223</f>
        <v>17.007246376811594</v>
      </c>
      <c r="AG244" s="257" t="s">
        <v>31</v>
      </c>
      <c r="AH244" s="258"/>
      <c r="AI244" s="259" t="str">
        <f>$AU$130</f>
        <v>Delegate</v>
      </c>
      <c r="AJ244" s="260" t="s">
        <v>350</v>
      </c>
      <c r="AU244" s="148"/>
      <c r="AV244" s="148"/>
      <c r="BQ244" s="232"/>
    </row>
    <row r="245" spans="1:69" x14ac:dyDescent="0.2">
      <c r="A245" s="256">
        <v>105</v>
      </c>
      <c r="B245" s="513" t="str">
        <f>$AU$131</f>
        <v>Scrutinize</v>
      </c>
      <c r="C245" s="312">
        <v>9</v>
      </c>
      <c r="D245" s="312">
        <v>2</v>
      </c>
      <c r="E245" s="306">
        <v>1</v>
      </c>
      <c r="F245" s="312" t="str">
        <f t="shared" si="6"/>
        <v>921</v>
      </c>
      <c r="G245" s="325">
        <f t="shared" si="4"/>
        <v>15.55080839090189</v>
      </c>
      <c r="H245" s="6">
        <f>'Detailed Avalerem Tables'!Y31</f>
        <v>11.660714285714285</v>
      </c>
      <c r="I245" s="6">
        <f>'Detailed Avalerem Tables'!Y80</f>
        <v>12.298076923076922</v>
      </c>
      <c r="J245" s="6">
        <f>'Detailed Avalerem Tables'!Y128</f>
        <v>11.906645569620252</v>
      </c>
      <c r="K245" s="6">
        <f>'Detailed Avalerem Tables'!Y176</f>
        <v>12.021153846153844</v>
      </c>
      <c r="L245" s="6">
        <f>'Detailed Avalerem Tables'!Y224</f>
        <v>11.483108108108107</v>
      </c>
      <c r="M245" s="6">
        <f>'Detailed Avalerem Tables'!BA31</f>
        <v>20.316176470588239</v>
      </c>
      <c r="N245" s="6">
        <f>'Detailed Avalerem Tables'!BA80</f>
        <v>22.136904761904759</v>
      </c>
      <c r="O245" s="6">
        <f>'Detailed Avalerem Tables'!BA128</f>
        <v>21.819444444444446</v>
      </c>
      <c r="P245" s="6">
        <f>'Detailed Avalerem Tables'!BA176</f>
        <v>20.946428571428573</v>
      </c>
      <c r="Q245" s="6">
        <f>'Detailed Avalerem Tables'!BA224</f>
        <v>23.826612903225808</v>
      </c>
      <c r="R245" s="6">
        <f>'Detailed Avalerem Tables'!CC31</f>
        <v>15.759615384615385</v>
      </c>
      <c r="S245" s="6">
        <f>'Detailed Avalerem Tables'!CC80</f>
        <v>15.817307692307693</v>
      </c>
      <c r="T245" s="6">
        <f>'Detailed Avalerem Tables'!CC128</f>
        <v>14.563679245283019</v>
      </c>
      <c r="U245" s="6">
        <f>'Detailed Avalerem Tables'!CC176</f>
        <v>15.486111111111111</v>
      </c>
      <c r="V245" s="6">
        <f>'Detailed Avalerem Tables'!CC224</f>
        <v>16.774999999999999</v>
      </c>
      <c r="W245" s="6">
        <f>'Detailed Avalerem Tables'!DE31</f>
        <v>16.930555555555557</v>
      </c>
      <c r="X245" s="6">
        <f>'Detailed Avalerem Tables'!DE80</f>
        <v>17.693840579710148</v>
      </c>
      <c r="Y245" s="6">
        <f>'Detailed Avalerem Tables'!DE128</f>
        <v>19.030172413793103</v>
      </c>
      <c r="Z245" s="6">
        <f>'Detailed Avalerem Tables'!DE176</f>
        <v>17.138636363636362</v>
      </c>
      <c r="AA245" s="6">
        <f>'Detailed Avalerem Tables'!DE224</f>
        <v>18.642605633802816</v>
      </c>
      <c r="AB245" s="6">
        <f>'Detailed Avalerem Tables'!EG31</f>
        <v>10.412499999999998</v>
      </c>
      <c r="AC245" s="6">
        <f>'Detailed Avalerem Tables'!EG80</f>
        <v>10.508333333333333</v>
      </c>
      <c r="AD245" s="6">
        <f>'Detailed Avalerem Tables'!EG128</f>
        <v>10.541666666666666</v>
      </c>
      <c r="AE245" s="6">
        <f>'Detailed Avalerem Tables'!EG176</f>
        <v>10.440789473684212</v>
      </c>
      <c r="AF245" s="325">
        <f>'Detailed Avalerem Tables'!EG224</f>
        <v>10.614130434782611</v>
      </c>
      <c r="AG245" s="257" t="s">
        <v>31</v>
      </c>
      <c r="AH245" s="258"/>
      <c r="AI245" s="259" t="str">
        <f>$AU$131</f>
        <v>Scrutinize</v>
      </c>
      <c r="AJ245" s="260" t="s">
        <v>350</v>
      </c>
      <c r="AU245" s="148"/>
      <c r="AV245" s="148"/>
      <c r="BQ245" s="232"/>
    </row>
    <row r="246" spans="1:69" x14ac:dyDescent="0.2">
      <c r="A246" s="256">
        <v>106</v>
      </c>
      <c r="B246" s="513" t="str">
        <f>$AU$132</f>
        <v>Facilitate</v>
      </c>
      <c r="C246" s="312">
        <v>10</v>
      </c>
      <c r="D246" s="312">
        <v>2</v>
      </c>
      <c r="E246" s="306">
        <v>1</v>
      </c>
      <c r="F246" s="312" t="str">
        <f t="shared" si="6"/>
        <v>1021</v>
      </c>
      <c r="G246" s="325">
        <f t="shared" si="4"/>
        <v>15.839903745332272</v>
      </c>
      <c r="H246" s="6">
        <f>'Detailed Avalerem Tables'!Y32</f>
        <v>18.517857142857142</v>
      </c>
      <c r="I246" s="6">
        <f>'Detailed Avalerem Tables'!Y81</f>
        <v>21.06730769230769</v>
      </c>
      <c r="J246" s="6">
        <f>'Detailed Avalerem Tables'!Y129</f>
        <v>19.50158227848101</v>
      </c>
      <c r="K246" s="6">
        <f>'Detailed Avalerem Tables'!Y177</f>
        <v>19.959615384615383</v>
      </c>
      <c r="L246" s="6">
        <f>'Detailed Avalerem Tables'!Y225</f>
        <v>17.807432432432432</v>
      </c>
      <c r="M246" s="6">
        <f>'Detailed Avalerem Tables'!BA32</f>
        <v>16.213235294117649</v>
      </c>
      <c r="N246" s="6">
        <f>'Detailed Avalerem Tables'!BA81</f>
        <v>17.351190476190474</v>
      </c>
      <c r="O246" s="6">
        <f>'Detailed Avalerem Tables'!BA129</f>
        <v>17.152777777777779</v>
      </c>
      <c r="P246" s="6">
        <f>'Detailed Avalerem Tables'!BA177</f>
        <v>16.607142857142858</v>
      </c>
      <c r="Q246" s="6">
        <f>'Detailed Avalerem Tables'!BA225</f>
        <v>18.407258064516128</v>
      </c>
      <c r="R246" s="6">
        <f>'Detailed Avalerem Tables'!CC32</f>
        <v>18.313461538461539</v>
      </c>
      <c r="S246" s="6">
        <f>'Detailed Avalerem Tables'!CC81</f>
        <v>18.394230769230766</v>
      </c>
      <c r="T246" s="6">
        <f>'Detailed Avalerem Tables'!CC129</f>
        <v>16.639150943396228</v>
      </c>
      <c r="U246" s="6">
        <f>'Detailed Avalerem Tables'!CC177</f>
        <v>17.930555555555557</v>
      </c>
      <c r="V246" s="6">
        <f>'Detailed Avalerem Tables'!CC225</f>
        <v>19.734999999999999</v>
      </c>
      <c r="W246" s="6">
        <f>'Detailed Avalerem Tables'!DE32</f>
        <v>10.454365079365081</v>
      </c>
      <c r="X246" s="6">
        <f>'Detailed Avalerem Tables'!DE81</f>
        <v>10.563405797101451</v>
      </c>
      <c r="Y246" s="6">
        <f>'Detailed Avalerem Tables'!DE129</f>
        <v>10.754310344827587</v>
      </c>
      <c r="Z246" s="6">
        <f>'Detailed Avalerem Tables'!DE177</f>
        <v>10.484090909090908</v>
      </c>
      <c r="AA246" s="6">
        <f>'Detailed Avalerem Tables'!DE225</f>
        <v>10.698943661971832</v>
      </c>
      <c r="AB246" s="6">
        <f>'Detailed Avalerem Tables'!EG32</f>
        <v>13.524999999999999</v>
      </c>
      <c r="AC246" s="6">
        <f>'Detailed Avalerem Tables'!EG81</f>
        <v>13.908333333333333</v>
      </c>
      <c r="AD246" s="6">
        <f>'Detailed Avalerem Tables'!EG129</f>
        <v>14.041666666666666</v>
      </c>
      <c r="AE246" s="6">
        <f>'Detailed Avalerem Tables'!EG177</f>
        <v>13.638157894736844</v>
      </c>
      <c r="AF246" s="325">
        <f>'Detailed Avalerem Tables'!EG225</f>
        <v>14.331521739130437</v>
      </c>
      <c r="AG246" s="257" t="s">
        <v>31</v>
      </c>
      <c r="AH246" s="258"/>
      <c r="AI246" s="259" t="str">
        <f>$AU$132</f>
        <v>Facilitate</v>
      </c>
      <c r="AJ246" s="260" t="s">
        <v>350</v>
      </c>
      <c r="AU246" s="148"/>
      <c r="AV246" s="148"/>
      <c r="BQ246" s="232"/>
    </row>
    <row r="247" spans="1:69" x14ac:dyDescent="0.2">
      <c r="A247" s="256">
        <v>107</v>
      </c>
      <c r="B247" s="513" t="str">
        <f>$AU$133</f>
        <v>Renovate</v>
      </c>
      <c r="C247" s="312">
        <v>11</v>
      </c>
      <c r="D247" s="312">
        <v>2</v>
      </c>
      <c r="E247" s="306">
        <v>1</v>
      </c>
      <c r="F247" s="312" t="str">
        <f t="shared" si="6"/>
        <v>1121</v>
      </c>
      <c r="G247" s="325">
        <f t="shared" si="4"/>
        <v>13.435198883827368</v>
      </c>
      <c r="H247" s="6">
        <f>'Detailed Avalerem Tables'!Y33</f>
        <v>14.047619047619047</v>
      </c>
      <c r="I247" s="6">
        <f>'Detailed Avalerem Tables'!Y82</f>
        <v>15.641025641025639</v>
      </c>
      <c r="J247" s="6">
        <f>'Detailed Avalerem Tables'!Y130</f>
        <v>14.662447257383967</v>
      </c>
      <c r="K247" s="6">
        <f>'Detailed Avalerem Tables'!Y178</f>
        <v>14.948717948717947</v>
      </c>
      <c r="L247" s="6">
        <f>'Detailed Avalerem Tables'!Y226</f>
        <v>13.603603603603602</v>
      </c>
      <c r="M247" s="6">
        <f>'Detailed Avalerem Tables'!BA33</f>
        <v>17.906862745098039</v>
      </c>
      <c r="N247" s="6">
        <f>'Detailed Avalerem Tables'!BA82</f>
        <v>19.5</v>
      </c>
      <c r="O247" s="6">
        <f>'Detailed Avalerem Tables'!BA130</f>
        <v>19.222222222222221</v>
      </c>
      <c r="P247" s="6">
        <f>'Detailed Avalerem Tables'!BA178</f>
        <v>18.458333333333332</v>
      </c>
      <c r="Q247" s="6">
        <f>'Detailed Avalerem Tables'!BA226</f>
        <v>20.978494623655912</v>
      </c>
      <c r="R247" s="6">
        <f>'Detailed Avalerem Tables'!CC33</f>
        <v>9.6102564102564116</v>
      </c>
      <c r="S247" s="6">
        <f>'Detailed Avalerem Tables'!CC82</f>
        <v>9.6217948717948705</v>
      </c>
      <c r="T247" s="6">
        <f>'Detailed Avalerem Tables'!CC130</f>
        <v>9.3710691823899364</v>
      </c>
      <c r="U247" s="6">
        <f>'Detailed Avalerem Tables'!CC178</f>
        <v>9.5555555555555536</v>
      </c>
      <c r="V247" s="6">
        <f>'Detailed Avalerem Tables'!CC226</f>
        <v>9.8133333333333326</v>
      </c>
      <c r="W247" s="6">
        <f>'Detailed Avalerem Tables'!DE33</f>
        <v>12.650793650793648</v>
      </c>
      <c r="X247" s="6">
        <f>'Detailed Avalerem Tables'!DE82</f>
        <v>13.086956521739131</v>
      </c>
      <c r="Y247" s="6">
        <f>'Detailed Avalerem Tables'!DE130</f>
        <v>13.850574712643679</v>
      </c>
      <c r="Z247" s="6">
        <f>'Detailed Avalerem Tables'!DE178</f>
        <v>12.76969696969697</v>
      </c>
      <c r="AA247" s="6">
        <f>'Detailed Avalerem Tables'!DE226</f>
        <v>13.629107981220658</v>
      </c>
      <c r="AB247" s="6">
        <f>'Detailed Avalerem Tables'!EG33</f>
        <v>10.408333333333331</v>
      </c>
      <c r="AC247" s="6">
        <f>'Detailed Avalerem Tables'!EG82</f>
        <v>10.599999999999998</v>
      </c>
      <c r="AD247" s="6">
        <f>'Detailed Avalerem Tables'!EG130</f>
        <v>10.666666666666664</v>
      </c>
      <c r="AE247" s="6">
        <f>'Detailed Avalerem Tables'!EG178</f>
        <v>10.464912280701753</v>
      </c>
      <c r="AF247" s="325">
        <f>'Detailed Avalerem Tables'!EG226</f>
        <v>10.811594202898549</v>
      </c>
      <c r="AG247" s="257" t="s">
        <v>31</v>
      </c>
      <c r="AH247" s="258"/>
      <c r="AI247" s="259" t="str">
        <f>$AU$133</f>
        <v>Renovate</v>
      </c>
      <c r="AJ247" s="260" t="s">
        <v>350</v>
      </c>
      <c r="AU247" s="148"/>
      <c r="AV247" s="148"/>
      <c r="BQ247" s="232"/>
    </row>
    <row r="248" spans="1:69" x14ac:dyDescent="0.2">
      <c r="A248" s="256">
        <v>108</v>
      </c>
      <c r="B248" s="513" t="str">
        <f>$AU$134</f>
        <v>Modify</v>
      </c>
      <c r="C248" s="312">
        <v>12</v>
      </c>
      <c r="D248" s="312">
        <v>2</v>
      </c>
      <c r="E248" s="306">
        <v>1</v>
      </c>
      <c r="F248" s="312" t="str">
        <f t="shared" si="6"/>
        <v>1221</v>
      </c>
      <c r="G248" s="325">
        <f t="shared" si="4"/>
        <v>12.652615788962985</v>
      </c>
      <c r="H248" s="6">
        <f>'Detailed Avalerem Tables'!Y34</f>
        <v>15.291666666666668</v>
      </c>
      <c r="I248" s="6">
        <f>'Detailed Avalerem Tables'!Y83</f>
        <v>17.522435897435894</v>
      </c>
      <c r="J248" s="6">
        <f>'Detailed Avalerem Tables'!Y131</f>
        <v>16.152426160337551</v>
      </c>
      <c r="K248" s="6">
        <f>'Detailed Avalerem Tables'!Y179</f>
        <v>16.553205128205128</v>
      </c>
      <c r="L248" s="6">
        <f>'Detailed Avalerem Tables'!Y227</f>
        <v>14.670045045045045</v>
      </c>
      <c r="M248" s="6">
        <f>'Detailed Avalerem Tables'!BA34</f>
        <v>8.6593137254901968</v>
      </c>
      <c r="N248" s="6">
        <f>'Detailed Avalerem Tables'!BA83</f>
        <v>8.886904761904761</v>
      </c>
      <c r="O248" s="6">
        <f>'Detailed Avalerem Tables'!BA131</f>
        <v>8.8472222222222232</v>
      </c>
      <c r="P248" s="6">
        <f>'Detailed Avalerem Tables'!BA179</f>
        <v>8.7380952380952372</v>
      </c>
      <c r="Q248" s="6">
        <f>'Detailed Avalerem Tables'!BA227</f>
        <v>9.0981182795698921</v>
      </c>
      <c r="R248" s="6">
        <f>'Detailed Avalerem Tables'!CC34</f>
        <v>12.399358974358975</v>
      </c>
      <c r="S248" s="6">
        <f>'Detailed Avalerem Tables'!CC83</f>
        <v>12.445512820512819</v>
      </c>
      <c r="T248" s="6">
        <f>'Detailed Avalerem Tables'!CC131</f>
        <v>11.442610062893081</v>
      </c>
      <c r="U248" s="6">
        <f>'Detailed Avalerem Tables'!CC179</f>
        <v>12.180555555555557</v>
      </c>
      <c r="V248" s="6">
        <f>'Detailed Avalerem Tables'!CC227</f>
        <v>13.211666666666666</v>
      </c>
      <c r="W248" s="6">
        <f>'Detailed Avalerem Tables'!DE34</f>
        <v>9.450396825396826</v>
      </c>
      <c r="X248" s="6">
        <f>'Detailed Avalerem Tables'!DE83</f>
        <v>9.6684782608695663</v>
      </c>
      <c r="Y248" s="6">
        <f>'Detailed Avalerem Tables'!DE131</f>
        <v>10.050287356321842</v>
      </c>
      <c r="Z248" s="6">
        <f>'Detailed Avalerem Tables'!DE179</f>
        <v>9.5098484848484848</v>
      </c>
      <c r="AA248" s="6">
        <f>'Detailed Avalerem Tables'!DE227</f>
        <v>9.9395539906103281</v>
      </c>
      <c r="AB248" s="6">
        <f>'Detailed Avalerem Tables'!EG34</f>
        <v>15.591666666666667</v>
      </c>
      <c r="AC248" s="6">
        <f>'Detailed Avalerem Tables'!EG83</f>
        <v>16.358333333333334</v>
      </c>
      <c r="AD248" s="6">
        <f>'Detailed Avalerem Tables'!EG131</f>
        <v>16.625</v>
      </c>
      <c r="AE248" s="6">
        <f>'Detailed Avalerem Tables'!EG179</f>
        <v>15.817982456140353</v>
      </c>
      <c r="AF248" s="325">
        <f>'Detailed Avalerem Tables'!EG227</f>
        <v>17.204710144927535</v>
      </c>
      <c r="AG248" s="257" t="s">
        <v>31</v>
      </c>
      <c r="AH248" s="258"/>
      <c r="AI248" s="259" t="str">
        <f>$AU$134</f>
        <v>Modify</v>
      </c>
      <c r="AJ248" s="260" t="s">
        <v>350</v>
      </c>
      <c r="AU248" s="148"/>
      <c r="AV248" s="148"/>
      <c r="BQ248" s="232"/>
    </row>
    <row r="249" spans="1:69" x14ac:dyDescent="0.2">
      <c r="A249" s="256">
        <v>109</v>
      </c>
      <c r="B249" s="513" t="str">
        <f>$AW$123</f>
        <v>Vision</v>
      </c>
      <c r="C249" s="312">
        <v>1</v>
      </c>
      <c r="D249" s="312">
        <v>2</v>
      </c>
      <c r="E249" s="306">
        <v>2</v>
      </c>
      <c r="F249" s="312" t="str">
        <f t="shared" si="6"/>
        <v>122</v>
      </c>
      <c r="G249" s="325">
        <f t="shared" si="4"/>
        <v>28.967409381928206</v>
      </c>
      <c r="H249" s="6">
        <f>'Detailed Avalerem Tables'!Y38</f>
        <v>25.13514651184844</v>
      </c>
      <c r="I249" s="6">
        <f>'Detailed Avalerem Tables'!Y87</f>
        <v>33.014701548737762</v>
      </c>
      <c r="J249" s="6">
        <f>'Detailed Avalerem Tables'!Y135</f>
        <v>29.617949502137066</v>
      </c>
      <c r="K249" s="6">
        <f>'Detailed Avalerem Tables'!Y183</f>
        <v>28.167904954357383</v>
      </c>
      <c r="L249" s="6">
        <f>'Detailed Avalerem Tables'!Z231</f>
        <v>24.107855910468317</v>
      </c>
      <c r="M249" s="6">
        <f>'Detailed Avalerem Tables'!BA38</f>
        <v>31.154308448219812</v>
      </c>
      <c r="N249" s="6">
        <f>'Detailed Avalerem Tables'!BA87</f>
        <v>33.078948923882841</v>
      </c>
      <c r="O249" s="6">
        <f>'Detailed Avalerem Tables'!BA135</f>
        <v>31.655919534704868</v>
      </c>
      <c r="P249" s="6">
        <f>'Detailed Avalerem Tables'!BA183</f>
        <v>30.667963900029317</v>
      </c>
      <c r="Q249" s="6">
        <f>'Detailed Avalerem Tables'!BA231</f>
        <v>35.74342610207384</v>
      </c>
      <c r="R249" s="6">
        <f>'Detailed Avalerem Tables'!CC38</f>
        <v>29.012229730689693</v>
      </c>
      <c r="S249" s="6">
        <f>'Detailed Avalerem Tables'!CC87</f>
        <v>29.459298021762784</v>
      </c>
      <c r="T249" s="6">
        <f>'Detailed Avalerem Tables'!CC135</f>
        <v>23.565369868180532</v>
      </c>
      <c r="U249" s="6">
        <f>'Detailed Avalerem Tables'!CC183</f>
        <v>27.96140692850333</v>
      </c>
      <c r="V249" s="6">
        <f>'Detailed Avalerem Tables'!CC231</f>
        <v>31.708485531800591</v>
      </c>
      <c r="W249" s="6">
        <f>'Detailed Avalerem Tables'!DE38</f>
        <v>23.9580638029284</v>
      </c>
      <c r="X249" s="6">
        <f>'Detailed Avalerem Tables'!DE87</f>
        <v>28.302461378021547</v>
      </c>
      <c r="Y249" s="6">
        <f>'Detailed Avalerem Tables'!DE135</f>
        <v>32.433165782561332</v>
      </c>
      <c r="Z249" s="6">
        <f>'Detailed Avalerem Tables'!DE183</f>
        <v>25.936299211279248</v>
      </c>
      <c r="AA249" s="6">
        <f>'Detailed Avalerem Tables'!DE231</f>
        <v>29.705319506883871</v>
      </c>
      <c r="AB249" s="6">
        <f>'Detailed Avalerem Tables'!EG38</f>
        <v>30.644191745783587</v>
      </c>
      <c r="AC249" s="6">
        <f>'Detailed Avalerem Tables'!EG87</f>
        <v>27.736597031600539</v>
      </c>
      <c r="AD249" s="6">
        <f>'Detailed Avalerem Tables'!EG135</f>
        <v>27.219953647342805</v>
      </c>
      <c r="AE249" s="6">
        <f>'Detailed Avalerem Tables'!EG183</f>
        <v>25.594871794871796</v>
      </c>
      <c r="AF249" s="325">
        <f>'Detailed Avalerem Tables'!EG231</f>
        <v>28.603395229535501</v>
      </c>
      <c r="AG249" s="257" t="s">
        <v>31</v>
      </c>
      <c r="AH249" s="258"/>
      <c r="AI249" s="259" t="str">
        <f>$AW$123</f>
        <v>Vision</v>
      </c>
      <c r="AJ249" s="260" t="s">
        <v>350</v>
      </c>
      <c r="AU249" s="148"/>
      <c r="AV249" s="148"/>
      <c r="BQ249" s="232"/>
    </row>
    <row r="250" spans="1:69" x14ac:dyDescent="0.2">
      <c r="A250" s="256">
        <v>110</v>
      </c>
      <c r="B250" s="513" t="str">
        <f>$AW$124</f>
        <v>Adjust</v>
      </c>
      <c r="C250" s="312">
        <v>2</v>
      </c>
      <c r="D250" s="312">
        <v>2</v>
      </c>
      <c r="E250" s="306">
        <v>2</v>
      </c>
      <c r="F250" s="312" t="str">
        <f t="shared" si="6"/>
        <v>222</v>
      </c>
      <c r="G250" s="325">
        <f t="shared" si="4"/>
        <v>30.250677387590471</v>
      </c>
      <c r="H250" s="6">
        <f>'Detailed Avalerem Tables'!Y39</f>
        <v>26.285146511848438</v>
      </c>
      <c r="I250" s="6">
        <f>'Detailed Avalerem Tables'!Y88</f>
        <v>34.524905630370412</v>
      </c>
      <c r="J250" s="6">
        <f>'Detailed Avalerem Tables'!Y136</f>
        <v>30.966434350621917</v>
      </c>
      <c r="K250" s="6">
        <f>'Detailed Avalerem Tables'!Y184</f>
        <v>29.186772878885684</v>
      </c>
      <c r="L250" s="6">
        <f>'Detailed Avalerem Tables'!Z232</f>
        <v>25.397710982932086</v>
      </c>
      <c r="M250" s="6">
        <f>'Detailed Avalerem Tables'!BA39</f>
        <v>32.498570743301777</v>
      </c>
      <c r="N250" s="6">
        <f>'Detailed Avalerem Tables'!BA88</f>
        <v>34.213564308498228</v>
      </c>
      <c r="O250" s="6">
        <f>'Detailed Avalerem Tables'!BA136</f>
        <v>32.718419534704864</v>
      </c>
      <c r="P250" s="6">
        <f>'Detailed Avalerem Tables'!BA184</f>
        <v>31.78160026366568</v>
      </c>
      <c r="Q250" s="6">
        <f>'Detailed Avalerem Tables'!BA232</f>
        <v>37.012082818491756</v>
      </c>
      <c r="R250" s="6">
        <f>'Detailed Avalerem Tables'!CC39</f>
        <v>30.253609041034522</v>
      </c>
      <c r="S250" s="6">
        <f>'Detailed Avalerem Tables'!CC88</f>
        <v>30.8141367314402</v>
      </c>
      <c r="T250" s="6">
        <f>'Detailed Avalerem Tables'!CC136</f>
        <v>24.665369868180534</v>
      </c>
      <c r="U250" s="6">
        <f>'Detailed Avalerem Tables'!CC184</f>
        <v>29.215138271786913</v>
      </c>
      <c r="V250" s="6">
        <f>'Detailed Avalerem Tables'!CC232</f>
        <v>32.962722819936182</v>
      </c>
      <c r="W250" s="6">
        <f>'Detailed Avalerem Tables'!DE39</f>
        <v>24.990321867444525</v>
      </c>
      <c r="X250" s="6">
        <f>'Detailed Avalerem Tables'!DE88</f>
        <v>29.672831748391921</v>
      </c>
      <c r="Y250" s="6">
        <f>'Detailed Avalerem Tables'!DE136</f>
        <v>33.966499115894671</v>
      </c>
      <c r="Z250" s="6">
        <f>'Detailed Avalerem Tables'!DE184</f>
        <v>27.192113164767619</v>
      </c>
      <c r="AA250" s="6">
        <f>'Detailed Avalerem Tables'!DE232</f>
        <v>30.959864961429325</v>
      </c>
      <c r="AB250" s="6">
        <f>'Detailed Avalerem Tables'!EG39</f>
        <v>32.68767000665315</v>
      </c>
      <c r="AC250" s="6">
        <f>'Detailed Avalerem Tables'!EG88</f>
        <v>29.116597031600534</v>
      </c>
      <c r="AD250" s="6">
        <f>'Detailed Avalerem Tables'!EG136</f>
        <v>28.475272796278979</v>
      </c>
      <c r="AE250" s="6">
        <f>'Detailed Avalerem Tables'!EG184</f>
        <v>26.851282051282055</v>
      </c>
      <c r="AF250" s="325">
        <f>'Detailed Avalerem Tables'!EG232</f>
        <v>29.858297190319814</v>
      </c>
      <c r="AG250" s="257" t="s">
        <v>31</v>
      </c>
      <c r="AH250" s="258" t="s">
        <v>373</v>
      </c>
      <c r="AI250" s="259" t="str">
        <f>$AW$124</f>
        <v>Adjust</v>
      </c>
      <c r="AJ250" s="260" t="s">
        <v>350</v>
      </c>
      <c r="AU250" s="148"/>
      <c r="AV250" s="148"/>
      <c r="BQ250" s="232"/>
    </row>
    <row r="251" spans="1:69" x14ac:dyDescent="0.2">
      <c r="A251" s="256">
        <v>111</v>
      </c>
      <c r="B251" s="513" t="str">
        <f>$AW$125</f>
        <v>Cultivate</v>
      </c>
      <c r="C251" s="312">
        <v>3</v>
      </c>
      <c r="D251" s="312">
        <v>2</v>
      </c>
      <c r="E251" s="306">
        <v>2</v>
      </c>
      <c r="F251" s="312" t="str">
        <f t="shared" si="6"/>
        <v>322</v>
      </c>
      <c r="G251" s="325">
        <f t="shared" si="4"/>
        <v>31.533945393252733</v>
      </c>
      <c r="H251" s="6">
        <f>'Detailed Avalerem Tables'!Y40</f>
        <v>27.435146511848437</v>
      </c>
      <c r="I251" s="6">
        <f>'Detailed Avalerem Tables'!Y89</f>
        <v>36.035109712003063</v>
      </c>
      <c r="J251" s="6">
        <f>'Detailed Avalerem Tables'!Y137</f>
        <v>32.314919199106761</v>
      </c>
      <c r="K251" s="6">
        <f>'Detailed Avalerem Tables'!Y185</f>
        <v>30.205640803413985</v>
      </c>
      <c r="L251" s="6">
        <f>'Detailed Avalerem Tables'!Z233</f>
        <v>26.687566055395855</v>
      </c>
      <c r="M251" s="6">
        <f>'Detailed Avalerem Tables'!BA40</f>
        <v>33.842833038383745</v>
      </c>
      <c r="N251" s="6">
        <f>'Detailed Avalerem Tables'!BA89</f>
        <v>35.348179693113615</v>
      </c>
      <c r="O251" s="6">
        <f>'Detailed Avalerem Tables'!BA137</f>
        <v>33.780919534704864</v>
      </c>
      <c r="P251" s="6">
        <f>'Detailed Avalerem Tables'!BA185</f>
        <v>32.89523662730204</v>
      </c>
      <c r="Q251" s="6">
        <f>'Detailed Avalerem Tables'!BA233</f>
        <v>38.280739534909664</v>
      </c>
      <c r="R251" s="6">
        <f>'Detailed Avalerem Tables'!CC40</f>
        <v>31.494988351379348</v>
      </c>
      <c r="S251" s="6">
        <f>'Detailed Avalerem Tables'!CC89</f>
        <v>32.168975441117624</v>
      </c>
      <c r="T251" s="6">
        <f>'Detailed Avalerem Tables'!CC137</f>
        <v>25.765369868180535</v>
      </c>
      <c r="U251" s="6">
        <f>'Detailed Avalerem Tables'!CC185</f>
        <v>30.468869615070496</v>
      </c>
      <c r="V251" s="6">
        <f>'Detailed Avalerem Tables'!CC233</f>
        <v>34.216960108071781</v>
      </c>
      <c r="W251" s="6">
        <f>'Detailed Avalerem Tables'!DE40</f>
        <v>26.022579931960657</v>
      </c>
      <c r="X251" s="6">
        <f>'Detailed Avalerem Tables'!DE89</f>
        <v>31.043202118762288</v>
      </c>
      <c r="Y251" s="6">
        <f>'Detailed Avalerem Tables'!DE137</f>
        <v>35.499832449228002</v>
      </c>
      <c r="Z251" s="6">
        <f>'Detailed Avalerem Tables'!DE185</f>
        <v>28.447927118255997</v>
      </c>
      <c r="AA251" s="6">
        <f>'Detailed Avalerem Tables'!DE233</f>
        <v>32.214410415974783</v>
      </c>
      <c r="AB251" s="6">
        <f>'Detailed Avalerem Tables'!EG40</f>
        <v>34.731148267522713</v>
      </c>
      <c r="AC251" s="6">
        <f>'Detailed Avalerem Tables'!EG89</f>
        <v>30.496597031600537</v>
      </c>
      <c r="AD251" s="6">
        <f>'Detailed Avalerem Tables'!EG137</f>
        <v>29.730591945215146</v>
      </c>
      <c r="AE251" s="6">
        <f>'Detailed Avalerem Tables'!EG185</f>
        <v>28.107692307692311</v>
      </c>
      <c r="AF251" s="325">
        <f>'Detailed Avalerem Tables'!EG233</f>
        <v>31.113199151104126</v>
      </c>
      <c r="AG251" s="257" t="s">
        <v>31</v>
      </c>
      <c r="AH251" s="258"/>
      <c r="AI251" s="259" t="str">
        <f>$AW$125</f>
        <v>Cultivate</v>
      </c>
      <c r="AJ251" s="260" t="s">
        <v>350</v>
      </c>
      <c r="AU251" s="148"/>
      <c r="AV251" s="148"/>
      <c r="BQ251" s="232"/>
    </row>
    <row r="252" spans="1:69" x14ac:dyDescent="0.2">
      <c r="A252" s="256">
        <v>112</v>
      </c>
      <c r="B252" s="513" t="str">
        <f>$AW$126</f>
        <v>React</v>
      </c>
      <c r="C252" s="312">
        <v>4</v>
      </c>
      <c r="D252" s="312">
        <v>2</v>
      </c>
      <c r="E252" s="306">
        <v>2</v>
      </c>
      <c r="F252" s="312" t="str">
        <f t="shared" si="6"/>
        <v>422</v>
      </c>
      <c r="G252" s="325">
        <f t="shared" si="4"/>
        <v>31.533945393252733</v>
      </c>
      <c r="H252" s="6">
        <f>'Detailed Avalerem Tables'!Y41</f>
        <v>27.435146511848437</v>
      </c>
      <c r="I252" s="6">
        <f>'Detailed Avalerem Tables'!Y90</f>
        <v>36.035109712003063</v>
      </c>
      <c r="J252" s="6">
        <f>'Detailed Avalerem Tables'!Y138</f>
        <v>32.314919199106761</v>
      </c>
      <c r="K252" s="6">
        <f>'Detailed Avalerem Tables'!Y186</f>
        <v>30.205640803413985</v>
      </c>
      <c r="L252" s="6">
        <f>'Detailed Avalerem Tables'!Z234</f>
        <v>26.687566055395855</v>
      </c>
      <c r="M252" s="6">
        <f>'Detailed Avalerem Tables'!BA41</f>
        <v>33.842833038383745</v>
      </c>
      <c r="N252" s="6">
        <f>'Detailed Avalerem Tables'!BA90</f>
        <v>35.348179693113607</v>
      </c>
      <c r="O252" s="6">
        <f>'Detailed Avalerem Tables'!BA138</f>
        <v>33.780919534704864</v>
      </c>
      <c r="P252" s="6">
        <f>'Detailed Avalerem Tables'!BA186</f>
        <v>32.89523662730204</v>
      </c>
      <c r="Q252" s="6">
        <f>'Detailed Avalerem Tables'!BA234</f>
        <v>38.280739534909657</v>
      </c>
      <c r="R252" s="6">
        <f>'Detailed Avalerem Tables'!CC41</f>
        <v>31.494988351379344</v>
      </c>
      <c r="S252" s="6">
        <f>'Detailed Avalerem Tables'!CC90</f>
        <v>32.168975441117624</v>
      </c>
      <c r="T252" s="6">
        <f>'Detailed Avalerem Tables'!CC138</f>
        <v>25.765369868180528</v>
      </c>
      <c r="U252" s="6">
        <f>'Detailed Avalerem Tables'!CC186</f>
        <v>30.468869615070496</v>
      </c>
      <c r="V252" s="6">
        <f>'Detailed Avalerem Tables'!CC234</f>
        <v>34.216960108071774</v>
      </c>
      <c r="W252" s="6">
        <f>'Detailed Avalerem Tables'!DE41</f>
        <v>26.022579931960657</v>
      </c>
      <c r="X252" s="6">
        <f>'Detailed Avalerem Tables'!DE90</f>
        <v>31.043202118762288</v>
      </c>
      <c r="Y252" s="6">
        <f>'Detailed Avalerem Tables'!DE138</f>
        <v>35.499832449228002</v>
      </c>
      <c r="Z252" s="6">
        <f>'Detailed Avalerem Tables'!DE186</f>
        <v>28.447927118255997</v>
      </c>
      <c r="AA252" s="6">
        <f>'Detailed Avalerem Tables'!DE234</f>
        <v>32.214410415974783</v>
      </c>
      <c r="AB252" s="6">
        <f>'Detailed Avalerem Tables'!EG41</f>
        <v>34.731148267522713</v>
      </c>
      <c r="AC252" s="6">
        <f>'Detailed Avalerem Tables'!EG90</f>
        <v>30.496597031600537</v>
      </c>
      <c r="AD252" s="6">
        <f>'Detailed Avalerem Tables'!EG138</f>
        <v>29.730591945215146</v>
      </c>
      <c r="AE252" s="6">
        <f>'Detailed Avalerem Tables'!EG186</f>
        <v>28.107692307692311</v>
      </c>
      <c r="AF252" s="325">
        <f>'Detailed Avalerem Tables'!EG234</f>
        <v>31.113199151104126</v>
      </c>
      <c r="AG252" s="257" t="s">
        <v>31</v>
      </c>
      <c r="AH252" s="258"/>
      <c r="AI252" s="259" t="str">
        <f>$AW$126</f>
        <v>React</v>
      </c>
      <c r="AJ252" s="260" t="s">
        <v>350</v>
      </c>
      <c r="AU252" s="148"/>
      <c r="AV252" s="148"/>
      <c r="BQ252" s="232"/>
    </row>
    <row r="253" spans="1:69" x14ac:dyDescent="0.2">
      <c r="A253" s="256">
        <v>113</v>
      </c>
      <c r="B253" s="513" t="str">
        <f>$AW$127</f>
        <v>Coach</v>
      </c>
      <c r="C253" s="312">
        <v>5</v>
      </c>
      <c r="D253" s="312">
        <v>2</v>
      </c>
      <c r="E253" s="306">
        <v>2</v>
      </c>
      <c r="F253" s="312" t="str">
        <f t="shared" si="6"/>
        <v>522</v>
      </c>
      <c r="G253" s="325">
        <f t="shared" si="4"/>
        <v>30.250677387590471</v>
      </c>
      <c r="H253" s="6">
        <f>'Detailed Avalerem Tables'!Y42</f>
        <v>26.285146511848438</v>
      </c>
      <c r="I253" s="6">
        <f>'Detailed Avalerem Tables'!Y91</f>
        <v>34.524905630370412</v>
      </c>
      <c r="J253" s="6">
        <f>'Detailed Avalerem Tables'!Y139</f>
        <v>30.966434350621917</v>
      </c>
      <c r="K253" s="6">
        <f>'Detailed Avalerem Tables'!Y187</f>
        <v>29.186772878885691</v>
      </c>
      <c r="L253" s="6">
        <f>'Detailed Avalerem Tables'!Z235</f>
        <v>25.397710982932082</v>
      </c>
      <c r="M253" s="6">
        <f>'Detailed Avalerem Tables'!BA42</f>
        <v>32.498570743301777</v>
      </c>
      <c r="N253" s="6">
        <f>'Detailed Avalerem Tables'!BA91</f>
        <v>34.213564308498228</v>
      </c>
      <c r="O253" s="6">
        <f>'Detailed Avalerem Tables'!BA139</f>
        <v>32.718419534704864</v>
      </c>
      <c r="P253" s="6">
        <f>'Detailed Avalerem Tables'!BA187</f>
        <v>31.78160026366568</v>
      </c>
      <c r="Q253" s="6">
        <f>'Detailed Avalerem Tables'!BA235</f>
        <v>37.012082818491756</v>
      </c>
      <c r="R253" s="6">
        <f>'Detailed Avalerem Tables'!CC42</f>
        <v>30.253609041034522</v>
      </c>
      <c r="S253" s="6">
        <f>'Detailed Avalerem Tables'!CC91</f>
        <v>30.8141367314402</v>
      </c>
      <c r="T253" s="6">
        <f>'Detailed Avalerem Tables'!CC139</f>
        <v>24.665369868180534</v>
      </c>
      <c r="U253" s="6">
        <f>'Detailed Avalerem Tables'!CC187</f>
        <v>29.215138271786913</v>
      </c>
      <c r="V253" s="6">
        <f>'Detailed Avalerem Tables'!CC235</f>
        <v>32.962722819936182</v>
      </c>
      <c r="W253" s="6">
        <f>'Detailed Avalerem Tables'!DE42</f>
        <v>24.990321867444528</v>
      </c>
      <c r="X253" s="6">
        <f>'Detailed Avalerem Tables'!DE91</f>
        <v>29.672831748391921</v>
      </c>
      <c r="Y253" s="6">
        <f>'Detailed Avalerem Tables'!DE139</f>
        <v>33.966499115894663</v>
      </c>
      <c r="Z253" s="6">
        <f>'Detailed Avalerem Tables'!DE187</f>
        <v>27.192113164767623</v>
      </c>
      <c r="AA253" s="6">
        <f>'Detailed Avalerem Tables'!DE235</f>
        <v>30.959864961429325</v>
      </c>
      <c r="AB253" s="6">
        <f>'Detailed Avalerem Tables'!EG42</f>
        <v>32.68767000665315</v>
      </c>
      <c r="AC253" s="6">
        <f>'Detailed Avalerem Tables'!EG91</f>
        <v>29.116597031600538</v>
      </c>
      <c r="AD253" s="6">
        <f>'Detailed Avalerem Tables'!EG139</f>
        <v>28.475272796278976</v>
      </c>
      <c r="AE253" s="6">
        <f>'Detailed Avalerem Tables'!EG187</f>
        <v>26.851282051282052</v>
      </c>
      <c r="AF253" s="325">
        <f>'Detailed Avalerem Tables'!EG235</f>
        <v>29.858297190319814</v>
      </c>
      <c r="AG253" s="257" t="s">
        <v>31</v>
      </c>
      <c r="AH253" s="258"/>
      <c r="AI253" s="259" t="str">
        <f>$AW$127</f>
        <v>Coach</v>
      </c>
      <c r="AJ253" s="260" t="s">
        <v>350</v>
      </c>
      <c r="AU253" s="148"/>
      <c r="AV253" s="148"/>
      <c r="BQ253" s="232"/>
    </row>
    <row r="254" spans="1:69" x14ac:dyDescent="0.2">
      <c r="A254" s="256">
        <v>114</v>
      </c>
      <c r="B254" s="513" t="str">
        <f>$AW$128</f>
        <v>Abolish</v>
      </c>
      <c r="C254" s="312">
        <v>6</v>
      </c>
      <c r="D254" s="312">
        <v>2</v>
      </c>
      <c r="E254" s="306">
        <v>2</v>
      </c>
      <c r="F254" s="312" t="str">
        <f t="shared" si="6"/>
        <v>622</v>
      </c>
      <c r="G254" s="325">
        <f t="shared" si="4"/>
        <v>28.967409381928206</v>
      </c>
      <c r="H254" s="6">
        <f>'Detailed Avalerem Tables'!Y43</f>
        <v>25.13514651184844</v>
      </c>
      <c r="I254" s="6">
        <f>'Detailed Avalerem Tables'!Y92</f>
        <v>33.014701548737762</v>
      </c>
      <c r="J254" s="6">
        <f>'Detailed Avalerem Tables'!Y140</f>
        <v>29.617949502137073</v>
      </c>
      <c r="K254" s="6">
        <f>'Detailed Avalerem Tables'!Y188</f>
        <v>28.167904954357379</v>
      </c>
      <c r="L254" s="6">
        <f>'Detailed Avalerem Tables'!Z236</f>
        <v>24.107855910468317</v>
      </c>
      <c r="M254" s="6">
        <f>'Detailed Avalerem Tables'!BA43</f>
        <v>31.154308448219812</v>
      </c>
      <c r="N254" s="6">
        <f>'Detailed Avalerem Tables'!BA92</f>
        <v>33.078948923882841</v>
      </c>
      <c r="O254" s="6">
        <f>'Detailed Avalerem Tables'!BA140</f>
        <v>31.655919534704868</v>
      </c>
      <c r="P254" s="6">
        <f>'Detailed Avalerem Tables'!BA188</f>
        <v>30.667963900029317</v>
      </c>
      <c r="Q254" s="6">
        <f>'Detailed Avalerem Tables'!BA236</f>
        <v>35.74342610207384</v>
      </c>
      <c r="R254" s="6">
        <f>'Detailed Avalerem Tables'!CC43</f>
        <v>29.012229730689693</v>
      </c>
      <c r="S254" s="6">
        <f>'Detailed Avalerem Tables'!CC92</f>
        <v>29.459298021762784</v>
      </c>
      <c r="T254" s="6">
        <f>'Detailed Avalerem Tables'!CC140</f>
        <v>23.565369868180532</v>
      </c>
      <c r="U254" s="6">
        <f>'Detailed Avalerem Tables'!CC188</f>
        <v>27.96140692850333</v>
      </c>
      <c r="V254" s="6">
        <f>'Detailed Avalerem Tables'!CC236</f>
        <v>31.708485531800591</v>
      </c>
      <c r="W254" s="6">
        <f>'Detailed Avalerem Tables'!DE43</f>
        <v>23.9580638029284</v>
      </c>
      <c r="X254" s="6">
        <f>'Detailed Avalerem Tables'!DE92</f>
        <v>28.302461378021547</v>
      </c>
      <c r="Y254" s="6">
        <f>'Detailed Avalerem Tables'!DE140</f>
        <v>32.433165782561332</v>
      </c>
      <c r="Z254" s="6">
        <f>'Detailed Avalerem Tables'!DE188</f>
        <v>25.936299211279248</v>
      </c>
      <c r="AA254" s="6">
        <f>'Detailed Avalerem Tables'!DE236</f>
        <v>29.705319506883871</v>
      </c>
      <c r="AB254" s="6">
        <f>'Detailed Avalerem Tables'!EG43</f>
        <v>30.644191745783587</v>
      </c>
      <c r="AC254" s="6">
        <f>'Detailed Avalerem Tables'!EG92</f>
        <v>27.736597031600539</v>
      </c>
      <c r="AD254" s="6">
        <f>'Detailed Avalerem Tables'!EG140</f>
        <v>27.219953647342805</v>
      </c>
      <c r="AE254" s="6">
        <f>'Detailed Avalerem Tables'!EG188</f>
        <v>25.594871794871796</v>
      </c>
      <c r="AF254" s="325">
        <f>'Detailed Avalerem Tables'!EG236</f>
        <v>28.603395229535501</v>
      </c>
      <c r="AG254" s="257" t="s">
        <v>31</v>
      </c>
      <c r="AH254" s="258"/>
      <c r="AI254" s="259" t="str">
        <f>$AW$128</f>
        <v>Abolish</v>
      </c>
      <c r="AJ254" s="260" t="s">
        <v>350</v>
      </c>
      <c r="AU254" s="148"/>
      <c r="AV254" s="148"/>
      <c r="BQ254" s="232"/>
    </row>
    <row r="255" spans="1:69" x14ac:dyDescent="0.2">
      <c r="A255" s="256">
        <v>115</v>
      </c>
      <c r="B255" s="513" t="str">
        <f>$AW$129</f>
        <v>Transform</v>
      </c>
      <c r="C255" s="312">
        <v>7</v>
      </c>
      <c r="D255" s="312">
        <v>2</v>
      </c>
      <c r="E255" s="306">
        <v>2</v>
      </c>
      <c r="F255" s="312" t="str">
        <f t="shared" si="6"/>
        <v>722</v>
      </c>
      <c r="G255" s="325">
        <f t="shared" si="4"/>
        <v>28.967409381928206</v>
      </c>
      <c r="H255" s="6">
        <f>'Detailed Avalerem Tables'!Y44</f>
        <v>25.13514651184844</v>
      </c>
      <c r="I255" s="6">
        <f>'Detailed Avalerem Tables'!Y93</f>
        <v>33.014701548737762</v>
      </c>
      <c r="J255" s="6">
        <f>'Detailed Avalerem Tables'!Y141</f>
        <v>29.617949502137066</v>
      </c>
      <c r="K255" s="6">
        <f>'Detailed Avalerem Tables'!Y189</f>
        <v>28.167904954357383</v>
      </c>
      <c r="L255" s="6">
        <f>'Detailed Avalerem Tables'!Z237</f>
        <v>24.107855910468317</v>
      </c>
      <c r="M255" s="6">
        <f>'Detailed Avalerem Tables'!BA44</f>
        <v>31.154308448219812</v>
      </c>
      <c r="N255" s="6">
        <f>'Detailed Avalerem Tables'!BA93</f>
        <v>33.078948923882841</v>
      </c>
      <c r="O255" s="6">
        <f>'Detailed Avalerem Tables'!BA141</f>
        <v>31.655919534704868</v>
      </c>
      <c r="P255" s="6">
        <f>'Detailed Avalerem Tables'!BA189</f>
        <v>30.667963900029317</v>
      </c>
      <c r="Q255" s="6">
        <f>'Detailed Avalerem Tables'!BA237</f>
        <v>35.74342610207384</v>
      </c>
      <c r="R255" s="6">
        <f>'Detailed Avalerem Tables'!CC44</f>
        <v>29.012229730689693</v>
      </c>
      <c r="S255" s="6">
        <f>'Detailed Avalerem Tables'!CC93</f>
        <v>29.459298021762784</v>
      </c>
      <c r="T255" s="6">
        <f>'Detailed Avalerem Tables'!CC141</f>
        <v>23.565369868180532</v>
      </c>
      <c r="U255" s="6">
        <f>'Detailed Avalerem Tables'!CC189</f>
        <v>27.96140692850333</v>
      </c>
      <c r="V255" s="6">
        <f>'Detailed Avalerem Tables'!CC237</f>
        <v>31.708485531800591</v>
      </c>
      <c r="W255" s="6">
        <f>'Detailed Avalerem Tables'!DE44</f>
        <v>23.9580638029284</v>
      </c>
      <c r="X255" s="6">
        <f>'Detailed Avalerem Tables'!DE93</f>
        <v>28.302461378021547</v>
      </c>
      <c r="Y255" s="6">
        <f>'Detailed Avalerem Tables'!DE141</f>
        <v>32.433165782561332</v>
      </c>
      <c r="Z255" s="6">
        <f>'Detailed Avalerem Tables'!DE189</f>
        <v>25.936299211279248</v>
      </c>
      <c r="AA255" s="6">
        <f>'Detailed Avalerem Tables'!DE237</f>
        <v>29.705319506883871</v>
      </c>
      <c r="AB255" s="6">
        <f>'Detailed Avalerem Tables'!EG44</f>
        <v>30.644191745783587</v>
      </c>
      <c r="AC255" s="6">
        <f>'Detailed Avalerem Tables'!EG93</f>
        <v>27.736597031600539</v>
      </c>
      <c r="AD255" s="6">
        <f>'Detailed Avalerem Tables'!EG141</f>
        <v>27.219953647342805</v>
      </c>
      <c r="AE255" s="6">
        <f>'Detailed Avalerem Tables'!EG189</f>
        <v>25.594871794871796</v>
      </c>
      <c r="AF255" s="325">
        <f>'Detailed Avalerem Tables'!EG237</f>
        <v>28.603395229535501</v>
      </c>
      <c r="AG255" s="257" t="s">
        <v>31</v>
      </c>
      <c r="AH255" s="258"/>
      <c r="AI255" s="259" t="str">
        <f>$AW$129</f>
        <v>Transform</v>
      </c>
      <c r="AJ255" s="260" t="s">
        <v>350</v>
      </c>
      <c r="AU255" s="148"/>
      <c r="AV255" s="148"/>
      <c r="BQ255" s="232"/>
    </row>
    <row r="256" spans="1:69" x14ac:dyDescent="0.2">
      <c r="A256" s="256">
        <v>116</v>
      </c>
      <c r="B256" s="513" t="str">
        <f>$AW$130</f>
        <v>Assign</v>
      </c>
      <c r="C256" s="312">
        <v>8</v>
      </c>
      <c r="D256" s="312">
        <v>2</v>
      </c>
      <c r="E256" s="306">
        <v>2</v>
      </c>
      <c r="F256" s="312" t="str">
        <f t="shared" si="6"/>
        <v>822</v>
      </c>
      <c r="G256" s="325">
        <f t="shared" si="4"/>
        <v>30.250677387590471</v>
      </c>
      <c r="H256" s="6">
        <f>'Detailed Avalerem Tables'!Y45</f>
        <v>26.285146511848438</v>
      </c>
      <c r="I256" s="6">
        <f>'Detailed Avalerem Tables'!Y94</f>
        <v>34.524905630370412</v>
      </c>
      <c r="J256" s="6">
        <f>'Detailed Avalerem Tables'!Y142</f>
        <v>30.966434350621917</v>
      </c>
      <c r="K256" s="6">
        <f>'Detailed Avalerem Tables'!Y190</f>
        <v>29.186772878885684</v>
      </c>
      <c r="L256" s="6">
        <f>'Detailed Avalerem Tables'!Z238</f>
        <v>25.397710982932086</v>
      </c>
      <c r="M256" s="6">
        <f>'Detailed Avalerem Tables'!BA45</f>
        <v>32.498570743301777</v>
      </c>
      <c r="N256" s="6">
        <f>'Detailed Avalerem Tables'!BA94</f>
        <v>34.213564308498228</v>
      </c>
      <c r="O256" s="6">
        <f>'Detailed Avalerem Tables'!BA142</f>
        <v>32.718419534704864</v>
      </c>
      <c r="P256" s="6">
        <f>'Detailed Avalerem Tables'!BA190</f>
        <v>31.78160026366568</v>
      </c>
      <c r="Q256" s="6">
        <f>'Detailed Avalerem Tables'!BA238</f>
        <v>37.012082818491756</v>
      </c>
      <c r="R256" s="6">
        <f>'Detailed Avalerem Tables'!CC45</f>
        <v>30.253609041034522</v>
      </c>
      <c r="S256" s="6">
        <f>'Detailed Avalerem Tables'!CC94</f>
        <v>30.8141367314402</v>
      </c>
      <c r="T256" s="6">
        <f>'Detailed Avalerem Tables'!CC142</f>
        <v>24.665369868180534</v>
      </c>
      <c r="U256" s="6">
        <f>'Detailed Avalerem Tables'!CC190</f>
        <v>29.215138271786913</v>
      </c>
      <c r="V256" s="6">
        <f>'Detailed Avalerem Tables'!CC238</f>
        <v>32.962722819936182</v>
      </c>
      <c r="W256" s="6">
        <f>'Detailed Avalerem Tables'!DE45</f>
        <v>24.990321867444525</v>
      </c>
      <c r="X256" s="6">
        <f>'Detailed Avalerem Tables'!DE94</f>
        <v>29.672831748391921</v>
      </c>
      <c r="Y256" s="6">
        <f>'Detailed Avalerem Tables'!DE142</f>
        <v>33.966499115894671</v>
      </c>
      <c r="Z256" s="6">
        <f>'Detailed Avalerem Tables'!DE190</f>
        <v>27.192113164767619</v>
      </c>
      <c r="AA256" s="6">
        <f>'Detailed Avalerem Tables'!DE238</f>
        <v>30.959864961429325</v>
      </c>
      <c r="AB256" s="6">
        <f>'Detailed Avalerem Tables'!EG45</f>
        <v>32.68767000665315</v>
      </c>
      <c r="AC256" s="6">
        <f>'Detailed Avalerem Tables'!EG94</f>
        <v>29.116597031600534</v>
      </c>
      <c r="AD256" s="6">
        <f>'Detailed Avalerem Tables'!EG142</f>
        <v>28.475272796278979</v>
      </c>
      <c r="AE256" s="6">
        <f>'Detailed Avalerem Tables'!EG190</f>
        <v>26.851282051282055</v>
      </c>
      <c r="AF256" s="325">
        <f>'Detailed Avalerem Tables'!EG238</f>
        <v>29.858297190319814</v>
      </c>
      <c r="AG256" s="257" t="s">
        <v>31</v>
      </c>
      <c r="AH256" s="258"/>
      <c r="AI256" s="259" t="str">
        <f>$AW$130</f>
        <v>Assign</v>
      </c>
      <c r="AJ256" s="260" t="s">
        <v>350</v>
      </c>
      <c r="AU256" s="148"/>
      <c r="AV256" s="148"/>
      <c r="BQ256" s="232"/>
    </row>
    <row r="257" spans="1:69" x14ac:dyDescent="0.2">
      <c r="A257" s="256">
        <v>117</v>
      </c>
      <c r="B257" s="513" t="str">
        <f>$AW$131</f>
        <v>Survey</v>
      </c>
      <c r="C257" s="312">
        <v>9</v>
      </c>
      <c r="D257" s="312">
        <v>2</v>
      </c>
      <c r="E257" s="306">
        <v>2</v>
      </c>
      <c r="F257" s="312" t="str">
        <f t="shared" si="6"/>
        <v>922</v>
      </c>
      <c r="G257" s="325">
        <f t="shared" si="4"/>
        <v>31.533945393252733</v>
      </c>
      <c r="H257" s="6">
        <f>'Detailed Avalerem Tables'!Y46</f>
        <v>27.435146511848437</v>
      </c>
      <c r="I257" s="6">
        <f>'Detailed Avalerem Tables'!Y95</f>
        <v>36.035109712003063</v>
      </c>
      <c r="J257" s="6">
        <f>'Detailed Avalerem Tables'!Y143</f>
        <v>32.314919199106761</v>
      </c>
      <c r="K257" s="6">
        <f>'Detailed Avalerem Tables'!Y191</f>
        <v>30.205640803413985</v>
      </c>
      <c r="L257" s="6">
        <f>'Detailed Avalerem Tables'!Z239</f>
        <v>26.687566055395855</v>
      </c>
      <c r="M257" s="6">
        <f>'Detailed Avalerem Tables'!BA46</f>
        <v>33.842833038383745</v>
      </c>
      <c r="N257" s="6">
        <f>'Detailed Avalerem Tables'!BA95</f>
        <v>35.348179693113615</v>
      </c>
      <c r="O257" s="6">
        <f>'Detailed Avalerem Tables'!BA143</f>
        <v>33.780919534704864</v>
      </c>
      <c r="P257" s="6">
        <f>'Detailed Avalerem Tables'!BA191</f>
        <v>32.89523662730204</v>
      </c>
      <c r="Q257" s="6">
        <f>'Detailed Avalerem Tables'!BA239</f>
        <v>38.280739534909664</v>
      </c>
      <c r="R257" s="6">
        <f>'Detailed Avalerem Tables'!CC46</f>
        <v>31.494988351379348</v>
      </c>
      <c r="S257" s="6">
        <f>'Detailed Avalerem Tables'!CC95</f>
        <v>32.168975441117624</v>
      </c>
      <c r="T257" s="6">
        <f>'Detailed Avalerem Tables'!CC143</f>
        <v>25.765369868180535</v>
      </c>
      <c r="U257" s="6">
        <f>'Detailed Avalerem Tables'!CC191</f>
        <v>30.468869615070496</v>
      </c>
      <c r="V257" s="6">
        <f>'Detailed Avalerem Tables'!CC239</f>
        <v>34.216960108071781</v>
      </c>
      <c r="W257" s="6">
        <f>'Detailed Avalerem Tables'!DE46</f>
        <v>26.022579931960657</v>
      </c>
      <c r="X257" s="6">
        <f>'Detailed Avalerem Tables'!DE95</f>
        <v>31.043202118762288</v>
      </c>
      <c r="Y257" s="6">
        <f>'Detailed Avalerem Tables'!DE143</f>
        <v>35.499832449228002</v>
      </c>
      <c r="Z257" s="6">
        <f>'Detailed Avalerem Tables'!DE191</f>
        <v>28.447927118255997</v>
      </c>
      <c r="AA257" s="6">
        <f>'Detailed Avalerem Tables'!DE239</f>
        <v>32.214410415974783</v>
      </c>
      <c r="AB257" s="6">
        <f>'Detailed Avalerem Tables'!EG46</f>
        <v>34.731148267522713</v>
      </c>
      <c r="AC257" s="6">
        <f>'Detailed Avalerem Tables'!EG95</f>
        <v>30.496597031600537</v>
      </c>
      <c r="AD257" s="6">
        <f>'Detailed Avalerem Tables'!EG143</f>
        <v>29.730591945215146</v>
      </c>
      <c r="AE257" s="6">
        <f>'Detailed Avalerem Tables'!EG191</f>
        <v>28.107692307692311</v>
      </c>
      <c r="AF257" s="325">
        <f>'Detailed Avalerem Tables'!EG239</f>
        <v>31.113199151104126</v>
      </c>
      <c r="AG257" s="257" t="s">
        <v>31</v>
      </c>
      <c r="AH257" s="258" t="s">
        <v>328</v>
      </c>
      <c r="AI257" s="259" t="str">
        <f>$AW$131</f>
        <v>Survey</v>
      </c>
      <c r="AJ257" s="260" t="s">
        <v>350</v>
      </c>
      <c r="AU257" s="148"/>
      <c r="AV257" s="148"/>
      <c r="BQ257" s="232"/>
    </row>
    <row r="258" spans="1:69" x14ac:dyDescent="0.2">
      <c r="A258" s="256">
        <v>118</v>
      </c>
      <c r="B258" s="513" t="str">
        <f>$AW$132</f>
        <v>Support</v>
      </c>
      <c r="C258" s="312">
        <v>10</v>
      </c>
      <c r="D258" s="312">
        <v>2</v>
      </c>
      <c r="E258" s="306">
        <v>2</v>
      </c>
      <c r="F258" s="312" t="str">
        <f t="shared" si="6"/>
        <v>1022</v>
      </c>
      <c r="G258" s="325">
        <f t="shared" si="4"/>
        <v>31.533945393252733</v>
      </c>
      <c r="H258" s="6">
        <f>'Detailed Avalerem Tables'!Y47</f>
        <v>27.435146511848437</v>
      </c>
      <c r="I258" s="6">
        <f>'Detailed Avalerem Tables'!Y96</f>
        <v>36.035109712003063</v>
      </c>
      <c r="J258" s="6">
        <f>'Detailed Avalerem Tables'!Y144</f>
        <v>32.314919199106761</v>
      </c>
      <c r="K258" s="6">
        <f>'Detailed Avalerem Tables'!Y192</f>
        <v>30.205640803413985</v>
      </c>
      <c r="L258" s="6">
        <f>'Detailed Avalerem Tables'!Z240</f>
        <v>26.687566055395855</v>
      </c>
      <c r="M258" s="6">
        <f>'Detailed Avalerem Tables'!BA47</f>
        <v>33.842833038383745</v>
      </c>
      <c r="N258" s="6">
        <f>'Detailed Avalerem Tables'!BA96</f>
        <v>35.348179693113607</v>
      </c>
      <c r="O258" s="6">
        <f>'Detailed Avalerem Tables'!BA144</f>
        <v>33.780919534704864</v>
      </c>
      <c r="P258" s="6">
        <f>'Detailed Avalerem Tables'!BA192</f>
        <v>32.89523662730204</v>
      </c>
      <c r="Q258" s="6">
        <f>'Detailed Avalerem Tables'!BA240</f>
        <v>38.280739534909657</v>
      </c>
      <c r="R258" s="6">
        <f>'Detailed Avalerem Tables'!CC47</f>
        <v>31.494988351379344</v>
      </c>
      <c r="S258" s="6">
        <f>'Detailed Avalerem Tables'!CC96</f>
        <v>32.168975441117624</v>
      </c>
      <c r="T258" s="6">
        <f>'Detailed Avalerem Tables'!CC144</f>
        <v>25.765369868180528</v>
      </c>
      <c r="U258" s="6">
        <f>'Detailed Avalerem Tables'!CC192</f>
        <v>30.468869615070496</v>
      </c>
      <c r="V258" s="6">
        <f>'Detailed Avalerem Tables'!CC240</f>
        <v>34.216960108071774</v>
      </c>
      <c r="W258" s="6">
        <f>'Detailed Avalerem Tables'!DE47</f>
        <v>26.022579931960657</v>
      </c>
      <c r="X258" s="6">
        <f>'Detailed Avalerem Tables'!DE96</f>
        <v>31.043202118762288</v>
      </c>
      <c r="Y258" s="6">
        <f>'Detailed Avalerem Tables'!DE144</f>
        <v>35.499832449228002</v>
      </c>
      <c r="Z258" s="6">
        <f>'Detailed Avalerem Tables'!DE192</f>
        <v>28.447927118255997</v>
      </c>
      <c r="AA258" s="6">
        <f>'Detailed Avalerem Tables'!DE240</f>
        <v>32.214410415974783</v>
      </c>
      <c r="AB258" s="6">
        <f>'Detailed Avalerem Tables'!EG47</f>
        <v>34.731148267522713</v>
      </c>
      <c r="AC258" s="6">
        <f>'Detailed Avalerem Tables'!EG96</f>
        <v>30.496597031600537</v>
      </c>
      <c r="AD258" s="6">
        <f>'Detailed Avalerem Tables'!EG144</f>
        <v>29.730591945215146</v>
      </c>
      <c r="AE258" s="6">
        <f>'Detailed Avalerem Tables'!EG192</f>
        <v>28.107692307692311</v>
      </c>
      <c r="AF258" s="325">
        <f>'Detailed Avalerem Tables'!EG240</f>
        <v>31.113199151104126</v>
      </c>
      <c r="AG258" s="257" t="s">
        <v>31</v>
      </c>
      <c r="AH258" s="258"/>
      <c r="AI258" s="259" t="str">
        <f>$AW$132</f>
        <v>Support</v>
      </c>
      <c r="AJ258" s="260" t="s">
        <v>350</v>
      </c>
      <c r="AU258" s="148"/>
      <c r="AV258" s="148"/>
      <c r="BQ258" s="232"/>
    </row>
    <row r="259" spans="1:69" ht="15" thickBot="1" x14ac:dyDescent="0.25">
      <c r="A259" s="256">
        <v>119</v>
      </c>
      <c r="B259" s="513" t="str">
        <f>$AW$133</f>
        <v xml:space="preserve">Repair </v>
      </c>
      <c r="C259" s="312">
        <v>11</v>
      </c>
      <c r="D259" s="312">
        <v>2</v>
      </c>
      <c r="E259" s="306">
        <v>2</v>
      </c>
      <c r="F259" s="312" t="str">
        <f t="shared" si="6"/>
        <v>1122</v>
      </c>
      <c r="G259" s="325">
        <f t="shared" si="4"/>
        <v>30.250677387590471</v>
      </c>
      <c r="H259" s="6">
        <f>'Detailed Avalerem Tables'!Y48</f>
        <v>26.285146511848438</v>
      </c>
      <c r="I259" s="6">
        <f>'Detailed Avalerem Tables'!Y97</f>
        <v>34.524905630370412</v>
      </c>
      <c r="J259" s="6">
        <f>'Detailed Avalerem Tables'!Y145</f>
        <v>30.966434350621917</v>
      </c>
      <c r="K259" s="6">
        <f>'Detailed Avalerem Tables'!Y193</f>
        <v>29.186772878885691</v>
      </c>
      <c r="L259" s="6">
        <f>'Detailed Avalerem Tables'!Z241</f>
        <v>25.397710982932082</v>
      </c>
      <c r="M259" s="6">
        <f>'Detailed Avalerem Tables'!BA48</f>
        <v>32.498570743301777</v>
      </c>
      <c r="N259" s="6">
        <f>'Detailed Avalerem Tables'!BA97</f>
        <v>34.213564308498228</v>
      </c>
      <c r="O259" s="6">
        <f>'Detailed Avalerem Tables'!BA145</f>
        <v>32.718419534704864</v>
      </c>
      <c r="P259" s="6">
        <f>'Detailed Avalerem Tables'!BA193</f>
        <v>31.78160026366568</v>
      </c>
      <c r="Q259" s="6">
        <f>'Detailed Avalerem Tables'!BA241</f>
        <v>37.012082818491756</v>
      </c>
      <c r="R259" s="6">
        <f>'Detailed Avalerem Tables'!CC48</f>
        <v>30.253609041034522</v>
      </c>
      <c r="S259" s="6">
        <f>'Detailed Avalerem Tables'!CC97</f>
        <v>30.8141367314402</v>
      </c>
      <c r="T259" s="6">
        <f>'Detailed Avalerem Tables'!CC145</f>
        <v>24.665369868180534</v>
      </c>
      <c r="U259" s="6">
        <f>'Detailed Avalerem Tables'!CC193</f>
        <v>29.215138271786913</v>
      </c>
      <c r="V259" s="6">
        <f>'Detailed Avalerem Tables'!CC241</f>
        <v>32.962722819936182</v>
      </c>
      <c r="W259" s="6">
        <f>'Detailed Avalerem Tables'!DE48</f>
        <v>24.990321867444528</v>
      </c>
      <c r="X259" s="6">
        <f>'Detailed Avalerem Tables'!DE97</f>
        <v>29.672831748391921</v>
      </c>
      <c r="Y259" s="6">
        <f>'Detailed Avalerem Tables'!DE145</f>
        <v>33.966499115894663</v>
      </c>
      <c r="Z259" s="6">
        <f>'Detailed Avalerem Tables'!DE193</f>
        <v>27.192113164767623</v>
      </c>
      <c r="AA259" s="6">
        <f>'Detailed Avalerem Tables'!DE241</f>
        <v>30.959864961429325</v>
      </c>
      <c r="AB259" s="6">
        <f>'Detailed Avalerem Tables'!EG48</f>
        <v>32.68767000665315</v>
      </c>
      <c r="AC259" s="6">
        <f>'Detailed Avalerem Tables'!EG97</f>
        <v>29.116597031600538</v>
      </c>
      <c r="AD259" s="6">
        <f>'Detailed Avalerem Tables'!EG145</f>
        <v>28.475272796278976</v>
      </c>
      <c r="AE259" s="6">
        <f>'Detailed Avalerem Tables'!EG193</f>
        <v>26.851282051282052</v>
      </c>
      <c r="AF259" s="325">
        <f>'Detailed Avalerem Tables'!EG241</f>
        <v>29.858297190319814</v>
      </c>
      <c r="AG259" s="257" t="s">
        <v>31</v>
      </c>
      <c r="AH259" s="258"/>
      <c r="AI259" s="259" t="str">
        <f>$AW$133</f>
        <v xml:space="preserve">Repair </v>
      </c>
      <c r="AJ259" s="260" t="s">
        <v>350</v>
      </c>
      <c r="AU259" s="148"/>
      <c r="AV259" s="148"/>
      <c r="BQ259" s="232"/>
    </row>
    <row r="260" spans="1:69" ht="15" thickBot="1" x14ac:dyDescent="0.25">
      <c r="A260" s="282">
        <v>120</v>
      </c>
      <c r="B260" s="514" t="str">
        <f>$AW$134</f>
        <v>Revise</v>
      </c>
      <c r="C260" s="317">
        <v>12</v>
      </c>
      <c r="D260" s="312">
        <v>2</v>
      </c>
      <c r="E260" s="306">
        <v>2</v>
      </c>
      <c r="F260" s="317" t="str">
        <f t="shared" si="6"/>
        <v>1222</v>
      </c>
      <c r="G260" s="325">
        <f t="shared" si="4"/>
        <v>28.967409381928206</v>
      </c>
      <c r="H260" s="6">
        <f>'Detailed Avalerem Tables'!Y49</f>
        <v>25.13514651184844</v>
      </c>
      <c r="I260" s="6">
        <f>'Detailed Avalerem Tables'!Y98</f>
        <v>33.014701548737762</v>
      </c>
      <c r="J260" s="6">
        <f>'Detailed Avalerem Tables'!Y146</f>
        <v>29.617949502137073</v>
      </c>
      <c r="K260" s="6">
        <f>'Detailed Avalerem Tables'!Y194</f>
        <v>28.167904954357379</v>
      </c>
      <c r="L260" s="6">
        <f>'Detailed Avalerem Tables'!Z242</f>
        <v>24.107855910468317</v>
      </c>
      <c r="M260" s="6">
        <f>'Detailed Avalerem Tables'!BA49</f>
        <v>31.154308448219812</v>
      </c>
      <c r="N260" s="6">
        <f>'Detailed Avalerem Tables'!BA98</f>
        <v>33.078948923882841</v>
      </c>
      <c r="O260" s="6">
        <f>'Detailed Avalerem Tables'!BA146</f>
        <v>31.655919534704868</v>
      </c>
      <c r="P260" s="6">
        <f>'Detailed Avalerem Tables'!BA194</f>
        <v>30.667963900029317</v>
      </c>
      <c r="Q260" s="6">
        <f>'Detailed Avalerem Tables'!BA242</f>
        <v>35.74342610207384</v>
      </c>
      <c r="R260" s="6">
        <f>'Detailed Avalerem Tables'!CC49</f>
        <v>29.012229730689693</v>
      </c>
      <c r="S260" s="6">
        <f>'Detailed Avalerem Tables'!CC98</f>
        <v>29.459298021762784</v>
      </c>
      <c r="T260" s="6">
        <f>'Detailed Avalerem Tables'!CC146</f>
        <v>23.565369868180532</v>
      </c>
      <c r="U260" s="6">
        <f>'Detailed Avalerem Tables'!CC194</f>
        <v>27.96140692850333</v>
      </c>
      <c r="V260" s="6">
        <f>'Detailed Avalerem Tables'!CC242</f>
        <v>31.708485531800591</v>
      </c>
      <c r="W260" s="6">
        <f>'Detailed Avalerem Tables'!DE49</f>
        <v>23.9580638029284</v>
      </c>
      <c r="X260" s="6">
        <f>'Detailed Avalerem Tables'!DE98</f>
        <v>28.302461378021547</v>
      </c>
      <c r="Y260" s="6">
        <f>'Detailed Avalerem Tables'!DE146</f>
        <v>32.433165782561332</v>
      </c>
      <c r="Z260" s="6">
        <f>'Detailed Avalerem Tables'!DE194</f>
        <v>25.936299211279248</v>
      </c>
      <c r="AA260" s="6">
        <f>'Detailed Avalerem Tables'!DE242</f>
        <v>29.705319506883871</v>
      </c>
      <c r="AB260" s="6">
        <f>'Detailed Avalerem Tables'!EG49</f>
        <v>30.644191745783587</v>
      </c>
      <c r="AC260" s="6">
        <f>'Detailed Avalerem Tables'!EG98</f>
        <v>27.736597031600539</v>
      </c>
      <c r="AD260" s="6">
        <f>'Detailed Avalerem Tables'!EG146</f>
        <v>27.219953647342805</v>
      </c>
      <c r="AE260" s="6">
        <f>'Detailed Avalerem Tables'!EG194</f>
        <v>25.594871794871796</v>
      </c>
      <c r="AF260" s="327">
        <f>'Detailed Avalerem Tables'!EG242</f>
        <v>28.603395229535501</v>
      </c>
      <c r="AG260" s="300" t="s">
        <v>31</v>
      </c>
      <c r="AH260" s="301"/>
      <c r="AI260" s="302" t="str">
        <f>$AW$134</f>
        <v>Revise</v>
      </c>
      <c r="AJ260" s="303" t="s">
        <v>350</v>
      </c>
      <c r="AK260" s="238">
        <f>SUM(AK140:AK259)</f>
        <v>100</v>
      </c>
      <c r="AU260" s="148"/>
      <c r="AV260" s="148"/>
      <c r="BQ260" s="232"/>
    </row>
    <row r="261" spans="1:69" ht="18" customHeight="1" x14ac:dyDescent="0.35">
      <c r="AF261" s="231"/>
      <c r="AK261" s="283" t="s">
        <v>1</v>
      </c>
      <c r="AL261" s="283"/>
      <c r="AM261" s="284" t="s">
        <v>455</v>
      </c>
      <c r="AR261" s="283" t="s">
        <v>2</v>
      </c>
      <c r="AS261" s="284" t="s">
        <v>456</v>
      </c>
      <c r="AT261" s="284"/>
      <c r="AU261" s="148"/>
      <c r="AV261" s="148"/>
      <c r="AY261" s="283" t="s">
        <v>3</v>
      </c>
      <c r="AZ261" s="219" t="s">
        <v>457</v>
      </c>
      <c r="BF261" s="283" t="s">
        <v>4</v>
      </c>
      <c r="BG261" s="219" t="s">
        <v>458</v>
      </c>
      <c r="BK261" s="283" t="s">
        <v>5</v>
      </c>
      <c r="BL261" s="219" t="s">
        <v>459</v>
      </c>
      <c r="BQ261" s="232"/>
    </row>
    <row r="262" spans="1:69" x14ac:dyDescent="0.2">
      <c r="AF262" s="231"/>
      <c r="AK262" s="219" t="s">
        <v>460</v>
      </c>
      <c r="AL262" s="219"/>
      <c r="AR262" s="219" t="s">
        <v>460</v>
      </c>
      <c r="AU262" s="148"/>
      <c r="AV262" s="148"/>
      <c r="AY262" s="219" t="s">
        <v>460</v>
      </c>
      <c r="BF262" s="219" t="s">
        <v>460</v>
      </c>
      <c r="BK262" s="219" t="s">
        <v>460</v>
      </c>
      <c r="BQ262" s="232"/>
    </row>
    <row r="263" spans="1:69" x14ac:dyDescent="0.2">
      <c r="AF263" s="231"/>
      <c r="AI263" t="str">
        <f>AS123</f>
        <v>Exdysivity</v>
      </c>
      <c r="AK263" s="285" t="s">
        <v>182</v>
      </c>
      <c r="AL263" s="285"/>
      <c r="AM263" s="286" t="s">
        <v>461</v>
      </c>
      <c r="AP263" t="str">
        <f>AI126</f>
        <v>Anxergy</v>
      </c>
      <c r="AR263" s="285" t="s">
        <v>137</v>
      </c>
      <c r="AS263" s="287" t="s">
        <v>462</v>
      </c>
      <c r="AT263" s="287"/>
      <c r="AU263" s="148"/>
      <c r="AV263" s="148"/>
      <c r="AX263" t="str">
        <f>AS113</f>
        <v>Atammayata</v>
      </c>
      <c r="AY263" s="285" t="s">
        <v>155</v>
      </c>
      <c r="AZ263" s="287" t="s">
        <v>463</v>
      </c>
      <c r="BD263" s="57" t="str">
        <f>AI118</f>
        <v>Avalremy</v>
      </c>
      <c r="BE263" s="57"/>
      <c r="BF263" s="285" t="s">
        <v>198</v>
      </c>
      <c r="BG263" s="288" t="s">
        <v>464</v>
      </c>
      <c r="BJ263" t="e">
        <f>#REF!</f>
        <v>#REF!</v>
      </c>
      <c r="BK263" s="285" t="s">
        <v>161</v>
      </c>
      <c r="BL263" s="287" t="s">
        <v>465</v>
      </c>
      <c r="BQ263" s="232"/>
    </row>
    <row r="264" spans="1:69" ht="15" thickBot="1" x14ac:dyDescent="0.25">
      <c r="AF264" s="231"/>
      <c r="AI264" t="str">
        <f>AS124</f>
        <v>Exdysivity</v>
      </c>
      <c r="AK264" s="285" t="s">
        <v>158</v>
      </c>
      <c r="AL264" s="285"/>
      <c r="AM264" s="288" t="s">
        <v>466</v>
      </c>
      <c r="AP264" t="str">
        <f>AI113</f>
        <v>Avalremy</v>
      </c>
      <c r="AR264" s="285" t="s">
        <v>172</v>
      </c>
      <c r="AS264" s="287" t="s">
        <v>467</v>
      </c>
      <c r="AT264" s="287"/>
      <c r="AU264" s="148"/>
      <c r="AV264" s="148"/>
      <c r="AX264" t="str">
        <f>BB116</f>
        <v>Dexterience</v>
      </c>
      <c r="AY264" s="285" t="s">
        <v>184</v>
      </c>
      <c r="AZ264" s="287" t="s">
        <v>468</v>
      </c>
      <c r="BD264" t="str">
        <f>BB120</f>
        <v>Dexterience</v>
      </c>
      <c r="BF264" s="285" t="s">
        <v>135</v>
      </c>
      <c r="BG264" s="287" t="s">
        <v>469</v>
      </c>
      <c r="BJ264" t="e">
        <f>#REF!</f>
        <v>#REF!</v>
      </c>
      <c r="BK264" s="285" t="s">
        <v>162</v>
      </c>
      <c r="BL264" s="287" t="s">
        <v>470</v>
      </c>
      <c r="BQ264" s="232"/>
    </row>
    <row r="265" spans="1:69" ht="15" thickBot="1" x14ac:dyDescent="0.25">
      <c r="AF265" s="231"/>
      <c r="AG265" s="289" t="s">
        <v>232</v>
      </c>
      <c r="AH265" s="289"/>
      <c r="AI265" t="str">
        <f>AS109</f>
        <v>Atammayata</v>
      </c>
      <c r="AK265" s="290" t="s">
        <v>232</v>
      </c>
      <c r="AL265" s="291"/>
      <c r="AM265" s="288" t="s">
        <v>471</v>
      </c>
      <c r="AP265" t="str">
        <f>BB111</f>
        <v>Dexterience</v>
      </c>
      <c r="AR265" s="285" t="s">
        <v>205</v>
      </c>
      <c r="AS265" s="287" t="s">
        <v>472</v>
      </c>
      <c r="AT265" s="287"/>
      <c r="AU265" s="148"/>
      <c r="AV265" s="148"/>
      <c r="AX265" t="str">
        <f>AI116</f>
        <v>Avalremy</v>
      </c>
      <c r="AY265" s="285" t="s">
        <v>203</v>
      </c>
      <c r="AZ265" s="287" t="s">
        <v>473</v>
      </c>
      <c r="BB265" s="292" t="s">
        <v>168</v>
      </c>
      <c r="BC265" s="292"/>
      <c r="BD265" t="str">
        <f>AS130</f>
        <v>Exdysivity</v>
      </c>
      <c r="BF265" s="293" t="s">
        <v>168</v>
      </c>
      <c r="BG265" s="287" t="s">
        <v>474</v>
      </c>
      <c r="BJ265" t="e">
        <f>#REF!</f>
        <v>#REF!</v>
      </c>
      <c r="BK265" s="285" t="s">
        <v>153</v>
      </c>
      <c r="BL265" s="287" t="s">
        <v>475</v>
      </c>
      <c r="BQ265" s="232"/>
    </row>
    <row r="266" spans="1:69" x14ac:dyDescent="0.2">
      <c r="AF266" s="231"/>
      <c r="AU266" s="148"/>
      <c r="AV266" s="148"/>
      <c r="BQ266" s="232"/>
    </row>
    <row r="267" spans="1:69" ht="16.5" customHeight="1" x14ac:dyDescent="0.35">
      <c r="AF267" s="231"/>
      <c r="AK267" s="283" t="s">
        <v>14</v>
      </c>
      <c r="AL267" s="283"/>
      <c r="AM267" s="284" t="s">
        <v>455</v>
      </c>
      <c r="AR267" s="283" t="s">
        <v>10</v>
      </c>
      <c r="AS267" s="284" t="s">
        <v>456</v>
      </c>
      <c r="AT267" s="284"/>
      <c r="AU267" s="148"/>
      <c r="AV267" s="148"/>
      <c r="AY267" s="283" t="s">
        <v>16</v>
      </c>
      <c r="AZ267" s="219" t="s">
        <v>457</v>
      </c>
      <c r="BF267" s="283" t="s">
        <v>6</v>
      </c>
      <c r="BG267" s="219" t="s">
        <v>458</v>
      </c>
      <c r="BK267" s="283" t="s">
        <v>17</v>
      </c>
      <c r="BL267" s="219" t="s">
        <v>459</v>
      </c>
      <c r="BQ267" s="232"/>
    </row>
    <row r="268" spans="1:69" ht="15" thickBot="1" x14ac:dyDescent="0.25">
      <c r="AF268" s="231"/>
      <c r="AK268" s="219" t="s">
        <v>476</v>
      </c>
      <c r="AL268" s="219"/>
      <c r="AR268" s="219" t="s">
        <v>476</v>
      </c>
      <c r="AU268" s="148"/>
      <c r="AV268" s="148"/>
      <c r="AY268" s="219" t="s">
        <v>476</v>
      </c>
      <c r="BF268" s="219" t="s">
        <v>476</v>
      </c>
      <c r="BK268" s="219" t="s">
        <v>476</v>
      </c>
      <c r="BQ268" s="232"/>
    </row>
    <row r="269" spans="1:69" ht="15" thickBot="1" x14ac:dyDescent="0.25">
      <c r="AF269" s="231"/>
      <c r="AI269" t="str">
        <f>AI109</f>
        <v>Avalremy</v>
      </c>
      <c r="AK269" s="285" t="s">
        <v>138</v>
      </c>
      <c r="AL269" s="285"/>
      <c r="AM269" s="288" t="s">
        <v>477</v>
      </c>
      <c r="AO269" s="292" t="s">
        <v>204</v>
      </c>
      <c r="AP269" t="str">
        <f>BB112</f>
        <v>Dexterience</v>
      </c>
      <c r="AR269" s="293" t="s">
        <v>183</v>
      </c>
      <c r="AS269" s="287" t="s">
        <v>478</v>
      </c>
      <c r="AT269" s="287"/>
      <c r="AU269" s="148"/>
      <c r="AV269" s="148"/>
      <c r="AW269" s="289" t="s">
        <v>183</v>
      </c>
      <c r="AX269" t="str">
        <f>BB117</f>
        <v>Dexterience</v>
      </c>
      <c r="AY269" s="293" t="s">
        <v>183</v>
      </c>
      <c r="AZ269" s="287" t="s">
        <v>479</v>
      </c>
      <c r="BD269" t="e">
        <f>#REF!</f>
        <v>#REF!</v>
      </c>
      <c r="BF269" s="285" t="s">
        <v>185</v>
      </c>
      <c r="BG269" s="287" t="s">
        <v>480</v>
      </c>
      <c r="BJ269" t="str">
        <f>AS120</f>
        <v>Atammayata</v>
      </c>
      <c r="BK269" s="285" t="s">
        <v>169</v>
      </c>
      <c r="BL269" s="287" t="s">
        <v>481</v>
      </c>
      <c r="BQ269" s="232"/>
    </row>
    <row r="270" spans="1:69" x14ac:dyDescent="0.2">
      <c r="AF270" s="231"/>
      <c r="AI270" t="str">
        <f>BB109</f>
        <v>Dexterience</v>
      </c>
      <c r="AK270" s="285" t="s">
        <v>222</v>
      </c>
      <c r="AL270" s="285"/>
      <c r="AM270" s="286" t="s">
        <v>482</v>
      </c>
      <c r="AP270" t="str">
        <f>AI127</f>
        <v>Anxergy</v>
      </c>
      <c r="AR270" s="285" t="s">
        <v>227</v>
      </c>
      <c r="AS270" s="287" t="s">
        <v>483</v>
      </c>
      <c r="AT270" s="287"/>
      <c r="AU270" s="148"/>
      <c r="AV270" s="148"/>
      <c r="AX270" t="str">
        <f>AI130</f>
        <v>Anxergy</v>
      </c>
      <c r="AY270" s="285" t="s">
        <v>143</v>
      </c>
      <c r="AZ270" s="287" t="s">
        <v>484</v>
      </c>
      <c r="BD270" t="str">
        <f>AI119</f>
        <v>Avalremy</v>
      </c>
      <c r="BF270" s="285" t="s">
        <v>197</v>
      </c>
      <c r="BG270" s="287" t="s">
        <v>485</v>
      </c>
      <c r="BJ270" t="e">
        <f>#REF!</f>
        <v>#REF!</v>
      </c>
      <c r="BK270" s="285" t="s">
        <v>147</v>
      </c>
      <c r="BL270" s="287" t="s">
        <v>486</v>
      </c>
      <c r="BQ270" s="232"/>
    </row>
    <row r="271" spans="1:69" x14ac:dyDescent="0.2">
      <c r="AF271" s="231"/>
      <c r="AI271" t="str">
        <f>AI123</f>
        <v>Anxergy</v>
      </c>
      <c r="AK271" s="285" t="s">
        <v>151</v>
      </c>
      <c r="AL271" s="285"/>
      <c r="AM271" s="288" t="s">
        <v>487</v>
      </c>
      <c r="AP271" t="str">
        <f>AI114</f>
        <v>Avalremy</v>
      </c>
      <c r="AR271" s="285" t="s">
        <v>178</v>
      </c>
      <c r="AS271" s="287" t="s">
        <v>488</v>
      </c>
      <c r="AT271" s="287"/>
      <c r="AU271" s="148"/>
      <c r="AV271" s="148"/>
      <c r="AX271" t="str">
        <f>AS114</f>
        <v>Atammayata</v>
      </c>
      <c r="AY271" s="285" t="s">
        <v>174</v>
      </c>
      <c r="AZ271" s="287" t="s">
        <v>489</v>
      </c>
      <c r="BD271" t="str">
        <f>AI134</f>
        <v>Anxergy</v>
      </c>
      <c r="BF271" s="285" t="s">
        <v>132</v>
      </c>
      <c r="BG271" s="287" t="s">
        <v>490</v>
      </c>
      <c r="BJ271" t="e">
        <f>#REF!</f>
        <v>#REF!</v>
      </c>
      <c r="BK271" s="285" t="s">
        <v>206</v>
      </c>
      <c r="BL271" s="287" t="s">
        <v>491</v>
      </c>
      <c r="BQ271" s="232"/>
    </row>
    <row r="272" spans="1:69" x14ac:dyDescent="0.2">
      <c r="AF272" s="231"/>
      <c r="AU272" s="148"/>
      <c r="AV272" s="148"/>
      <c r="BQ272" s="232"/>
    </row>
    <row r="273" spans="32:69" ht="16.5" customHeight="1" x14ac:dyDescent="0.35">
      <c r="AF273" s="231"/>
      <c r="AK273" s="283" t="s">
        <v>8</v>
      </c>
      <c r="AL273" s="283"/>
      <c r="AM273" s="284" t="s">
        <v>455</v>
      </c>
      <c r="AR273" s="283" t="s">
        <v>18</v>
      </c>
      <c r="AS273" s="284" t="s">
        <v>456</v>
      </c>
      <c r="AT273" s="284"/>
      <c r="AU273" s="148"/>
      <c r="AV273" s="148"/>
      <c r="AY273" s="283" t="s">
        <v>19</v>
      </c>
      <c r="AZ273" s="219" t="s">
        <v>457</v>
      </c>
      <c r="BF273" s="283" t="s">
        <v>20</v>
      </c>
      <c r="BG273" s="219" t="s">
        <v>458</v>
      </c>
      <c r="BK273" s="283" t="s">
        <v>21</v>
      </c>
      <c r="BL273" s="219" t="s">
        <v>459</v>
      </c>
      <c r="BQ273" s="232"/>
    </row>
    <row r="274" spans="32:69" x14ac:dyDescent="0.2">
      <c r="AF274" s="231"/>
      <c r="AK274" s="219" t="s">
        <v>492</v>
      </c>
      <c r="AL274" s="219"/>
      <c r="AM274" s="294"/>
      <c r="AR274" s="219" t="s">
        <v>492</v>
      </c>
      <c r="AU274" s="148"/>
      <c r="AV274" s="148"/>
      <c r="AY274" s="219" t="s">
        <v>492</v>
      </c>
      <c r="BF274" s="219" t="s">
        <v>492</v>
      </c>
      <c r="BK274" s="219" t="s">
        <v>492</v>
      </c>
      <c r="BQ274" s="232"/>
    </row>
    <row r="275" spans="32:69" x14ac:dyDescent="0.2">
      <c r="AF275" s="231"/>
      <c r="AI275" t="str">
        <f>AS110</f>
        <v>Atammayata</v>
      </c>
      <c r="AK275" s="285" t="s">
        <v>193</v>
      </c>
      <c r="AL275" s="285"/>
      <c r="AM275" s="288" t="s">
        <v>493</v>
      </c>
      <c r="AN275" s="158"/>
      <c r="AP275" t="str">
        <f>BB113</f>
        <v>Dexterience</v>
      </c>
      <c r="AR275" s="285" t="s">
        <v>199</v>
      </c>
      <c r="AS275" s="287" t="s">
        <v>494</v>
      </c>
      <c r="AT275" s="287"/>
      <c r="AU275" s="148"/>
      <c r="AV275" s="148"/>
      <c r="AX275" t="str">
        <f>AI117</f>
        <v>Avalremy</v>
      </c>
      <c r="AY275" s="285" t="s">
        <v>144</v>
      </c>
      <c r="AZ275" s="287" t="s">
        <v>495</v>
      </c>
      <c r="BD275" t="str">
        <f>AS116</f>
        <v>Atammayata</v>
      </c>
      <c r="BF275" s="285" t="s">
        <v>187</v>
      </c>
      <c r="BG275" s="287" t="s">
        <v>496</v>
      </c>
      <c r="BJ275" s="57" t="str">
        <f>AS132</f>
        <v>Exdysivity</v>
      </c>
      <c r="BK275" s="285" t="s">
        <v>229</v>
      </c>
      <c r="BL275" s="287" t="s">
        <v>497</v>
      </c>
      <c r="BQ275" s="232"/>
    </row>
    <row r="276" spans="32:69" ht="15" thickBot="1" x14ac:dyDescent="0.25">
      <c r="AF276" s="231"/>
      <c r="AI276" t="str">
        <f>AI124</f>
        <v>Anxergy</v>
      </c>
      <c r="AK276" s="285" t="s">
        <v>173</v>
      </c>
      <c r="AL276" s="285"/>
      <c r="AM276" s="288" t="s">
        <v>498</v>
      </c>
      <c r="AN276" s="158"/>
      <c r="AP276" t="str">
        <f>AI128</f>
        <v>Anxergy</v>
      </c>
      <c r="AR276" s="285" t="s">
        <v>234</v>
      </c>
      <c r="AS276" s="287" t="s">
        <v>499</v>
      </c>
      <c r="AT276" s="287"/>
      <c r="AU276" s="148"/>
      <c r="AV276" s="148"/>
      <c r="AX276" t="str">
        <f>AI131</f>
        <v>Anxergy</v>
      </c>
      <c r="AY276" s="285" t="s">
        <v>163</v>
      </c>
      <c r="AZ276" s="287" t="s">
        <v>500</v>
      </c>
      <c r="BD276" t="e">
        <f>#REF!</f>
        <v>#REF!</v>
      </c>
      <c r="BF276" s="285" t="s">
        <v>202</v>
      </c>
      <c r="BG276" s="287" t="s">
        <v>501</v>
      </c>
      <c r="BJ276" t="str">
        <f>AS133</f>
        <v>Exdysivity</v>
      </c>
      <c r="BK276" s="285" t="s">
        <v>211</v>
      </c>
      <c r="BL276" s="287" t="s">
        <v>474</v>
      </c>
      <c r="BQ276" s="232"/>
    </row>
    <row r="277" spans="32:69" ht="15" thickBot="1" x14ac:dyDescent="0.25">
      <c r="AF277" s="231"/>
      <c r="AG277" s="292" t="s">
        <v>136</v>
      </c>
      <c r="AH277" s="292"/>
      <c r="AI277" t="str">
        <f>AI110</f>
        <v>Avalremy</v>
      </c>
      <c r="AK277" s="293" t="s">
        <v>232</v>
      </c>
      <c r="AL277" s="295"/>
      <c r="AM277" s="288" t="s">
        <v>502</v>
      </c>
      <c r="AN277" s="158"/>
      <c r="AP277" t="str">
        <f>BB114</f>
        <v>Dexterience</v>
      </c>
      <c r="AR277" s="285" t="s">
        <v>213</v>
      </c>
      <c r="AS277" s="287" t="s">
        <v>503</v>
      </c>
      <c r="AT277" s="287"/>
      <c r="AU277" s="148"/>
      <c r="AV277" s="148"/>
      <c r="AX277" t="str">
        <f>AS128</f>
        <v>Exdysivity</v>
      </c>
      <c r="AY277" s="285" t="s">
        <v>151</v>
      </c>
      <c r="AZ277" s="287" t="s">
        <v>504</v>
      </c>
      <c r="BD277" t="str">
        <f>AS117</f>
        <v>Atammayata</v>
      </c>
      <c r="BF277" s="285" t="s">
        <v>171</v>
      </c>
      <c r="BG277" s="287" t="s">
        <v>505</v>
      </c>
      <c r="BJ277" t="e">
        <f>#REF!</f>
        <v>#REF!</v>
      </c>
      <c r="BK277" s="285" t="s">
        <v>146</v>
      </c>
      <c r="BL277" s="287" t="s">
        <v>506</v>
      </c>
      <c r="BQ277" s="232"/>
    </row>
    <row r="278" spans="32:69" x14ac:dyDescent="0.2">
      <c r="AF278" s="231"/>
      <c r="AK278" s="288"/>
      <c r="AL278" s="288"/>
      <c r="AM278" s="288"/>
      <c r="AN278" s="158"/>
      <c r="AU278" s="148"/>
      <c r="AV278" s="148"/>
      <c r="BQ278" s="232"/>
    </row>
    <row r="279" spans="32:69" ht="16.5" customHeight="1" x14ac:dyDescent="0.35">
      <c r="AF279" s="231"/>
      <c r="AK279" s="283" t="s">
        <v>22</v>
      </c>
      <c r="AL279" s="283"/>
      <c r="AM279" s="284" t="s">
        <v>455</v>
      </c>
      <c r="AN279" s="158"/>
      <c r="AR279" s="283" t="s">
        <v>9</v>
      </c>
      <c r="AS279" s="284" t="s">
        <v>456</v>
      </c>
      <c r="AT279" s="284"/>
      <c r="AU279" s="148"/>
      <c r="AV279" s="148"/>
      <c r="AY279" s="283" t="s">
        <v>23</v>
      </c>
      <c r="AZ279" s="219" t="s">
        <v>457</v>
      </c>
      <c r="BF279" s="283" t="s">
        <v>7</v>
      </c>
      <c r="BG279" s="219" t="s">
        <v>458</v>
      </c>
      <c r="BK279" s="283" t="s">
        <v>13</v>
      </c>
      <c r="BL279" s="219" t="s">
        <v>459</v>
      </c>
      <c r="BQ279" s="232"/>
    </row>
    <row r="280" spans="32:69" x14ac:dyDescent="0.2">
      <c r="AF280" s="231"/>
      <c r="AK280" s="219" t="s">
        <v>507</v>
      </c>
      <c r="AL280" s="219"/>
      <c r="AM280" s="294"/>
      <c r="AR280" s="219" t="s">
        <v>507</v>
      </c>
      <c r="AU280" s="148"/>
      <c r="AV280" s="148"/>
      <c r="AY280" s="219" t="s">
        <v>507</v>
      </c>
      <c r="BF280" s="219" t="s">
        <v>507</v>
      </c>
      <c r="BK280" s="219" t="s">
        <v>507</v>
      </c>
      <c r="BQ280" s="232"/>
    </row>
    <row r="281" spans="32:69" x14ac:dyDescent="0.2">
      <c r="AF281" s="231"/>
      <c r="AI281" t="str">
        <f>AS125</f>
        <v>Exdysivity</v>
      </c>
      <c r="AK281" s="285" t="s">
        <v>156</v>
      </c>
      <c r="AL281" s="285"/>
      <c r="AM281" s="288" t="s">
        <v>508</v>
      </c>
      <c r="AN281" s="158"/>
      <c r="AP281" t="str">
        <f>AS126</f>
        <v>Exdysivity</v>
      </c>
      <c r="AR281" s="285" t="s">
        <v>171</v>
      </c>
      <c r="AS281" s="287" t="s">
        <v>509</v>
      </c>
      <c r="AT281" s="287"/>
      <c r="AU281" s="148"/>
      <c r="AV281" s="148"/>
      <c r="AX281" s="57" t="str">
        <f>AI132</f>
        <v>Anxergy</v>
      </c>
      <c r="AY281" s="285" t="s">
        <v>196</v>
      </c>
      <c r="AZ281" s="287" t="s">
        <v>510</v>
      </c>
      <c r="BD281" t="str">
        <f>AI120</f>
        <v>Avalremy</v>
      </c>
      <c r="BF281" s="285" t="s">
        <v>149</v>
      </c>
      <c r="BG281" s="287" t="s">
        <v>511</v>
      </c>
      <c r="BJ281" t="e">
        <f>#REF!</f>
        <v>#REF!</v>
      </c>
      <c r="BK281" s="285" t="s">
        <v>209</v>
      </c>
      <c r="BL281" s="287" t="s">
        <v>512</v>
      </c>
      <c r="BQ281" s="232"/>
    </row>
    <row r="282" spans="32:69" ht="15" thickBot="1" x14ac:dyDescent="0.25">
      <c r="AF282" s="231"/>
      <c r="AI282" t="str">
        <f>AI125</f>
        <v>Anxergy</v>
      </c>
      <c r="AK282" s="285" t="s">
        <v>142</v>
      </c>
      <c r="AL282" s="285"/>
      <c r="AM282" s="288" t="s">
        <v>513</v>
      </c>
      <c r="AN282" s="158"/>
      <c r="AP282" t="str">
        <f>BB115</f>
        <v>Dexterience</v>
      </c>
      <c r="AR282" s="285" t="s">
        <v>207</v>
      </c>
      <c r="AS282" s="287" t="s">
        <v>514</v>
      </c>
      <c r="AT282" s="287"/>
      <c r="AU282" s="148"/>
      <c r="AV282" s="148"/>
      <c r="AX282" s="57" t="str">
        <f>BB118</f>
        <v>Dexterience</v>
      </c>
      <c r="AY282" s="285" t="s">
        <v>170</v>
      </c>
      <c r="AZ282" s="287" t="s">
        <v>515</v>
      </c>
      <c r="BD282" s="57" t="str">
        <f>AS118</f>
        <v>Atammayata</v>
      </c>
      <c r="BE282" s="57"/>
      <c r="BF282" s="285" t="s">
        <v>129</v>
      </c>
      <c r="BG282" s="287" t="s">
        <v>516</v>
      </c>
      <c r="BJ282" t="str">
        <f>AS134</f>
        <v>Exdysivity</v>
      </c>
      <c r="BK282" s="285" t="s">
        <v>176</v>
      </c>
      <c r="BL282" s="287" t="s">
        <v>517</v>
      </c>
      <c r="BQ282" s="232"/>
    </row>
    <row r="283" spans="32:69" ht="15" thickBot="1" x14ac:dyDescent="0.25">
      <c r="AF283" s="231"/>
      <c r="AG283" s="292" t="s">
        <v>191</v>
      </c>
      <c r="AH283" s="292"/>
      <c r="AI283" t="str">
        <f>AI111</f>
        <v>Avalremy</v>
      </c>
      <c r="AK283" s="293" t="s">
        <v>190</v>
      </c>
      <c r="AL283" s="295"/>
      <c r="AM283" s="288" t="s">
        <v>518</v>
      </c>
      <c r="AN283" s="158"/>
      <c r="AP283" t="str">
        <f>AI129</f>
        <v>Anxergy</v>
      </c>
      <c r="AR283" s="285" t="s">
        <v>218</v>
      </c>
      <c r="AS283" s="287" t="s">
        <v>519</v>
      </c>
      <c r="AT283" s="287"/>
      <c r="AU283" s="148"/>
      <c r="AV283" s="148"/>
      <c r="AX283" t="str">
        <f>AS129</f>
        <v>Exdysivity</v>
      </c>
      <c r="AY283" s="285" t="s">
        <v>167</v>
      </c>
      <c r="AZ283" s="287" t="s">
        <v>520</v>
      </c>
      <c r="BD283" t="e">
        <f>#REF!</f>
        <v>#REF!</v>
      </c>
      <c r="BF283" s="285" t="s">
        <v>186</v>
      </c>
      <c r="BG283" s="287" t="s">
        <v>521</v>
      </c>
      <c r="BJ283" t="e">
        <f>#REF!</f>
        <v>#REF!</v>
      </c>
      <c r="BK283" s="285" t="s">
        <v>175</v>
      </c>
      <c r="BL283" s="287" t="s">
        <v>522</v>
      </c>
      <c r="BQ283" s="232"/>
    </row>
    <row r="284" spans="32:69" x14ac:dyDescent="0.2">
      <c r="AF284" s="231"/>
      <c r="AU284" s="148"/>
      <c r="AV284" s="148"/>
      <c r="BQ284" s="232"/>
    </row>
    <row r="285" spans="32:69" ht="15.75" customHeight="1" x14ac:dyDescent="0.35">
      <c r="AF285" s="231"/>
      <c r="AK285" s="283" t="s">
        <v>24</v>
      </c>
      <c r="AL285" s="283"/>
      <c r="AM285" s="284" t="s">
        <v>455</v>
      </c>
      <c r="AR285" s="283" t="s">
        <v>25</v>
      </c>
      <c r="AS285" s="284" t="s">
        <v>456</v>
      </c>
      <c r="AT285" s="284"/>
      <c r="AU285" s="148"/>
      <c r="AV285" s="148"/>
      <c r="AY285" s="283" t="s">
        <v>26</v>
      </c>
      <c r="AZ285" s="219" t="s">
        <v>457</v>
      </c>
      <c r="BF285" s="283" t="s">
        <v>27</v>
      </c>
      <c r="BG285" s="219" t="s">
        <v>458</v>
      </c>
      <c r="BK285" s="283" t="s">
        <v>28</v>
      </c>
      <c r="BL285" s="219" t="s">
        <v>459</v>
      </c>
      <c r="BQ285" s="232"/>
    </row>
    <row r="286" spans="32:69" x14ac:dyDescent="0.2">
      <c r="AF286" s="231"/>
      <c r="AK286" s="219" t="s">
        <v>31</v>
      </c>
      <c r="AL286" s="219"/>
      <c r="AM286" s="294"/>
      <c r="AR286" s="219" t="s">
        <v>31</v>
      </c>
      <c r="AU286" s="148"/>
      <c r="AV286" s="148"/>
      <c r="AY286" s="219" t="s">
        <v>31</v>
      </c>
      <c r="BF286" s="219" t="s">
        <v>31</v>
      </c>
      <c r="BK286" s="219" t="s">
        <v>31</v>
      </c>
      <c r="BQ286" s="232"/>
    </row>
    <row r="287" spans="32:69" x14ac:dyDescent="0.2">
      <c r="AF287" s="231"/>
      <c r="AI287" t="str">
        <f>BB110</f>
        <v>Dexterience</v>
      </c>
      <c r="AK287" s="285" t="s">
        <v>212</v>
      </c>
      <c r="AL287" s="285"/>
      <c r="AM287" s="288" t="s">
        <v>523</v>
      </c>
      <c r="AP287" t="str">
        <f>AS112</f>
        <v>Atammayata</v>
      </c>
      <c r="AR287" s="285" t="s">
        <v>180</v>
      </c>
      <c r="AS287" s="287" t="s">
        <v>524</v>
      </c>
      <c r="AT287" s="287"/>
      <c r="AU287" s="148"/>
      <c r="AV287" s="148"/>
      <c r="AX287" t="str">
        <f>AI133</f>
        <v>Anxergy</v>
      </c>
      <c r="AY287" s="285" t="s">
        <v>201</v>
      </c>
      <c r="AZ287" s="287" t="s">
        <v>525</v>
      </c>
      <c r="BD287" t="str">
        <f>AS131</f>
        <v>Exdysivity</v>
      </c>
      <c r="BF287" s="285" t="s">
        <v>145</v>
      </c>
      <c r="BG287" s="287" t="s">
        <v>526</v>
      </c>
      <c r="BJ287" t="e">
        <f>#REF!</f>
        <v>#REF!</v>
      </c>
      <c r="BK287" s="285" t="s">
        <v>208</v>
      </c>
      <c r="BL287" s="287" t="s">
        <v>527</v>
      </c>
      <c r="BQ287" s="232"/>
    </row>
    <row r="288" spans="32:69" ht="15" thickBot="1" x14ac:dyDescent="0.25">
      <c r="AF288" s="231"/>
      <c r="AI288" t="str">
        <f>AS111</f>
        <v>Atammayata</v>
      </c>
      <c r="AK288" s="285" t="s">
        <v>224</v>
      </c>
      <c r="AL288" s="285"/>
      <c r="AM288" s="288" t="s">
        <v>528</v>
      </c>
      <c r="AP288" t="str">
        <f>AI115</f>
        <v>Avalremy</v>
      </c>
      <c r="AR288" s="285" t="s">
        <v>189</v>
      </c>
      <c r="AS288" s="287" t="s">
        <v>529</v>
      </c>
      <c r="AT288" s="287"/>
      <c r="AU288" s="148"/>
      <c r="AV288" s="148"/>
      <c r="AX288" t="str">
        <f>AS115</f>
        <v>Atammayata</v>
      </c>
      <c r="AY288" s="285" t="s">
        <v>214</v>
      </c>
      <c r="AZ288" s="287" t="s">
        <v>530</v>
      </c>
      <c r="BD288" t="e">
        <f>#REF!</f>
        <v>#REF!</v>
      </c>
      <c r="BF288" s="285" t="s">
        <v>133</v>
      </c>
      <c r="BG288" s="287" t="s">
        <v>531</v>
      </c>
      <c r="BJ288" t="e">
        <f>#REF!</f>
        <v>#REF!</v>
      </c>
      <c r="BK288" s="285" t="s">
        <v>200</v>
      </c>
      <c r="BL288" s="287" t="s">
        <v>532</v>
      </c>
      <c r="BM288" s="287"/>
      <c r="BQ288" s="232"/>
    </row>
    <row r="289" spans="32:69" ht="15" thickBot="1" x14ac:dyDescent="0.25">
      <c r="AF289" s="231"/>
      <c r="AG289" s="292" t="s">
        <v>190</v>
      </c>
      <c r="AH289" s="292"/>
      <c r="AI289" t="str">
        <f>AI112</f>
        <v>Avalremy</v>
      </c>
      <c r="AK289" s="293" t="s">
        <v>190</v>
      </c>
      <c r="AL289" s="295"/>
      <c r="AM289" s="288" t="s">
        <v>533</v>
      </c>
      <c r="AP289" t="str">
        <f>AS127</f>
        <v>Exdysivity</v>
      </c>
      <c r="AR289" s="285" t="s">
        <v>210</v>
      </c>
      <c r="AS289" s="287" t="s">
        <v>534</v>
      </c>
      <c r="AT289" s="287"/>
      <c r="AU289" s="148"/>
      <c r="AV289" s="148"/>
      <c r="AX289" t="str">
        <f>BB119</f>
        <v>Dexterience</v>
      </c>
      <c r="AY289" s="285" t="s">
        <v>188</v>
      </c>
      <c r="AZ289" s="287" t="s">
        <v>535</v>
      </c>
      <c r="BB289" s="292" t="s">
        <v>128</v>
      </c>
      <c r="BC289" s="292"/>
      <c r="BD289" t="str">
        <f>AS119</f>
        <v>Atammayata</v>
      </c>
      <c r="BF289" s="293" t="s">
        <v>168</v>
      </c>
      <c r="BG289" s="287" t="s">
        <v>536</v>
      </c>
      <c r="BJ289" t="e">
        <f>#REF!</f>
        <v>#REF!</v>
      </c>
      <c r="BK289" s="285" t="s">
        <v>154</v>
      </c>
      <c r="BL289" s="287" t="s">
        <v>537</v>
      </c>
      <c r="BQ289" s="232"/>
    </row>
    <row r="290" spans="32:69" ht="15" thickBot="1" x14ac:dyDescent="0.25">
      <c r="AF290" s="296"/>
      <c r="AG290" s="297"/>
      <c r="AH290" s="297"/>
      <c r="AI290" s="297"/>
      <c r="AJ290" s="297"/>
      <c r="AK290" s="297"/>
      <c r="AL290" s="297"/>
      <c r="AM290" s="297"/>
      <c r="AN290" s="297"/>
      <c r="AO290" s="297"/>
      <c r="AP290" s="297"/>
      <c r="AQ290" s="297"/>
      <c r="AR290" s="297"/>
      <c r="AS290" s="297"/>
      <c r="AT290" s="297"/>
      <c r="AU290" s="298"/>
      <c r="AV290" s="298"/>
      <c r="AW290" s="297"/>
      <c r="AX290" s="297"/>
      <c r="AY290" s="297"/>
      <c r="AZ290" s="297"/>
      <c r="BA290" s="297"/>
      <c r="BB290" s="297"/>
      <c r="BC290" s="297"/>
      <c r="BD290" s="297"/>
      <c r="BE290" s="297"/>
      <c r="BF290" s="297"/>
      <c r="BG290" s="297"/>
      <c r="BH290" s="297"/>
      <c r="BI290" s="297"/>
      <c r="BJ290" s="297"/>
      <c r="BK290" s="297"/>
      <c r="BL290" s="297"/>
      <c r="BM290" s="297"/>
      <c r="BN290" s="297"/>
      <c r="BO290" s="297"/>
      <c r="BP290" s="297"/>
      <c r="BQ290" s="299"/>
    </row>
    <row r="292" spans="32:69" x14ac:dyDescent="0.2">
      <c r="AK292" t="s">
        <v>539</v>
      </c>
    </row>
  </sheetData>
  <sortState xmlns:xlrd2="http://schemas.microsoft.com/office/spreadsheetml/2017/richdata2" ref="C237:AJ260">
    <sortCondition ref="E237:E260"/>
  </sortState>
  <mergeCells count="1">
    <mergeCell ref="F139:G139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7CC4-1A4D-46C7-915A-248A8D25E277}">
  <sheetPr>
    <pageSetUpPr fitToPage="1"/>
  </sheetPr>
  <dimension ref="A5:AV292"/>
  <sheetViews>
    <sheetView topLeftCell="A138" zoomScale="120" zoomScaleNormal="120" workbookViewId="0">
      <pane xSplit="5" ySplit="3" topLeftCell="L141" activePane="bottomRight" state="frozen"/>
      <selection activeCell="A138" sqref="A138"/>
      <selection pane="topRight" activeCell="F138" sqref="F138"/>
      <selection pane="bottomLeft" activeCell="A141" sqref="A141"/>
      <selection pane="bottomRight" activeCell="A138" sqref="A1:XFD1048576"/>
    </sheetView>
  </sheetViews>
  <sheetFormatPr defaultRowHeight="14.25" x14ac:dyDescent="0.2"/>
  <cols>
    <col min="2" max="2" width="9" style="148"/>
    <col min="3" max="3" width="13.25" style="148" bestFit="1" customWidth="1"/>
    <col min="4" max="4" width="9" style="148"/>
    <col min="5" max="5" width="10.75" style="148" customWidth="1"/>
    <col min="6" max="9" width="10.25" style="148" customWidth="1"/>
    <col min="10" max="10" width="10.125" style="148" customWidth="1"/>
    <col min="11" max="11" width="13.875" customWidth="1"/>
    <col min="12" max="12" width="20.75" bestFit="1" customWidth="1"/>
    <col min="13" max="13" width="20.75" customWidth="1"/>
    <col min="14" max="14" width="14" customWidth="1"/>
    <col min="15" max="15" width="16.125" bestFit="1" customWidth="1"/>
    <col min="16" max="16" width="15.5" bestFit="1" customWidth="1"/>
    <col min="17" max="17" width="11.375" customWidth="1"/>
    <col min="18" max="18" width="21.5" customWidth="1"/>
    <col min="19" max="19" width="16.25" customWidth="1"/>
    <col min="20" max="20" width="15.75" customWidth="1"/>
    <col min="21" max="21" width="14.625" customWidth="1"/>
    <col min="22" max="22" width="14.75" customWidth="1"/>
    <col min="23" max="23" width="16.5" customWidth="1"/>
    <col min="24" max="24" width="16.625" customWidth="1"/>
    <col min="25" max="25" width="10" customWidth="1"/>
    <col min="26" max="26" width="16.125" customWidth="1"/>
    <col min="27" max="27" width="10.5" customWidth="1"/>
    <col min="28" max="28" width="13.625" customWidth="1"/>
    <col min="29" max="29" width="11.25" customWidth="1"/>
    <col min="30" max="30" width="12.625" customWidth="1"/>
    <col min="33" max="33" width="14.125" customWidth="1"/>
    <col min="34" max="34" width="8.75" customWidth="1"/>
    <col min="35" max="35" width="17.75" customWidth="1"/>
    <col min="36" max="36" width="10.25" customWidth="1"/>
    <col min="37" max="37" width="15.75" customWidth="1"/>
    <col min="39" max="39" width="12.75" bestFit="1" customWidth="1"/>
    <col min="42" max="42" width="20.125" customWidth="1"/>
  </cols>
  <sheetData>
    <row r="5" spans="11:19" hidden="1" x14ac:dyDescent="0.2">
      <c r="K5" t="s">
        <v>127</v>
      </c>
    </row>
    <row r="6" spans="11:19" hidden="1" x14ac:dyDescent="0.2">
      <c r="R6" s="148" t="s">
        <v>128</v>
      </c>
      <c r="S6" s="213" t="s">
        <v>34</v>
      </c>
    </row>
    <row r="7" spans="11:19" hidden="1" x14ac:dyDescent="0.2">
      <c r="K7" t="s">
        <v>129</v>
      </c>
      <c r="L7" t="s">
        <v>130</v>
      </c>
      <c r="N7" t="s">
        <v>131</v>
      </c>
      <c r="P7" s="214"/>
      <c r="Q7" s="214"/>
      <c r="R7" s="215" t="s">
        <v>129</v>
      </c>
      <c r="S7" s="216" t="s">
        <v>34</v>
      </c>
    </row>
    <row r="8" spans="11:19" hidden="1" x14ac:dyDescent="0.2">
      <c r="R8" s="148" t="s">
        <v>132</v>
      </c>
      <c r="S8" s="149" t="s">
        <v>30</v>
      </c>
    </row>
    <row r="9" spans="11:19" hidden="1" x14ac:dyDescent="0.2">
      <c r="R9" s="148" t="s">
        <v>133</v>
      </c>
      <c r="S9" s="217" t="s">
        <v>32</v>
      </c>
    </row>
    <row r="10" spans="11:19" hidden="1" x14ac:dyDescent="0.2">
      <c r="R10" s="218" t="s">
        <v>134</v>
      </c>
      <c r="S10" s="219" t="s">
        <v>33</v>
      </c>
    </row>
    <row r="11" spans="11:19" hidden="1" x14ac:dyDescent="0.2">
      <c r="R11" s="148" t="s">
        <v>135</v>
      </c>
      <c r="S11" s="217" t="s">
        <v>32</v>
      </c>
    </row>
    <row r="12" spans="11:19" hidden="1" x14ac:dyDescent="0.2">
      <c r="R12" s="148" t="s">
        <v>136</v>
      </c>
      <c r="S12" s="219" t="s">
        <v>33</v>
      </c>
    </row>
    <row r="13" spans="11:19" hidden="1" x14ac:dyDescent="0.2">
      <c r="R13" s="148" t="s">
        <v>137</v>
      </c>
      <c r="S13" s="149" t="s">
        <v>30</v>
      </c>
    </row>
    <row r="14" spans="11:19" hidden="1" x14ac:dyDescent="0.2">
      <c r="R14" s="148" t="s">
        <v>138</v>
      </c>
      <c r="S14" s="219" t="s">
        <v>33</v>
      </c>
    </row>
    <row r="15" spans="11:19" hidden="1" x14ac:dyDescent="0.2">
      <c r="R15" s="218" t="s">
        <v>139</v>
      </c>
      <c r="S15" s="219"/>
    </row>
    <row r="16" spans="11:19" hidden="1" x14ac:dyDescent="0.2">
      <c r="R16" s="217" t="s">
        <v>140</v>
      </c>
      <c r="S16" s="220" t="s">
        <v>141</v>
      </c>
    </row>
    <row r="17" spans="11:19" hidden="1" x14ac:dyDescent="0.2">
      <c r="K17" t="s">
        <v>142</v>
      </c>
      <c r="L17" t="s">
        <v>130</v>
      </c>
      <c r="N17" t="s">
        <v>143</v>
      </c>
      <c r="P17" s="214"/>
      <c r="Q17" s="214"/>
      <c r="R17" s="215" t="s">
        <v>142</v>
      </c>
      <c r="S17" s="221" t="s">
        <v>30</v>
      </c>
    </row>
    <row r="18" spans="11:19" hidden="1" x14ac:dyDescent="0.2">
      <c r="K18" t="s">
        <v>144</v>
      </c>
      <c r="L18" t="s">
        <v>130</v>
      </c>
      <c r="N18" t="s">
        <v>138</v>
      </c>
      <c r="P18" s="214"/>
      <c r="Q18" s="214"/>
      <c r="R18" s="215" t="s">
        <v>144</v>
      </c>
      <c r="S18" s="222" t="s">
        <v>33</v>
      </c>
    </row>
    <row r="19" spans="11:19" hidden="1" x14ac:dyDescent="0.2">
      <c r="R19" s="148" t="s">
        <v>145</v>
      </c>
      <c r="S19" s="223" t="s">
        <v>31</v>
      </c>
    </row>
    <row r="20" spans="11:19" hidden="1" x14ac:dyDescent="0.2">
      <c r="R20" s="148" t="s">
        <v>146</v>
      </c>
      <c r="S20" s="149" t="s">
        <v>30</v>
      </c>
    </row>
    <row r="21" spans="11:19" hidden="1" x14ac:dyDescent="0.2">
      <c r="K21" t="s">
        <v>147</v>
      </c>
      <c r="L21" t="s">
        <v>130</v>
      </c>
      <c r="N21" t="s">
        <v>148</v>
      </c>
      <c r="P21" s="214"/>
      <c r="Q21" s="214"/>
      <c r="R21" s="215" t="s">
        <v>147</v>
      </c>
      <c r="S21" s="216" t="s">
        <v>34</v>
      </c>
    </row>
    <row r="22" spans="11:19" hidden="1" x14ac:dyDescent="0.2">
      <c r="R22" s="148" t="s">
        <v>149</v>
      </c>
      <c r="S22" s="219" t="s">
        <v>33</v>
      </c>
    </row>
    <row r="23" spans="11:19" hidden="1" x14ac:dyDescent="0.2">
      <c r="R23" s="218" t="s">
        <v>150</v>
      </c>
      <c r="S23" s="219" t="s">
        <v>33</v>
      </c>
    </row>
    <row r="24" spans="11:19" hidden="1" x14ac:dyDescent="0.2">
      <c r="P24" s="214"/>
      <c r="Q24" s="214"/>
      <c r="R24" s="215" t="s">
        <v>151</v>
      </c>
      <c r="S24" s="221" t="s">
        <v>30</v>
      </c>
    </row>
    <row r="25" spans="11:19" hidden="1" x14ac:dyDescent="0.2">
      <c r="K25" t="s">
        <v>151</v>
      </c>
      <c r="L25" t="s">
        <v>130</v>
      </c>
      <c r="N25" t="s">
        <v>152</v>
      </c>
      <c r="P25" s="214"/>
      <c r="Q25" s="214"/>
      <c r="R25" s="215" t="s">
        <v>151</v>
      </c>
      <c r="S25" s="224" t="s">
        <v>31</v>
      </c>
    </row>
    <row r="26" spans="11:19" hidden="1" x14ac:dyDescent="0.2">
      <c r="R26" s="148" t="s">
        <v>153</v>
      </c>
      <c r="S26" s="219" t="s">
        <v>33</v>
      </c>
    </row>
    <row r="27" spans="11:19" hidden="1" x14ac:dyDescent="0.2">
      <c r="K27" t="s">
        <v>154</v>
      </c>
      <c r="L27" t="s">
        <v>130</v>
      </c>
      <c r="N27" t="s">
        <v>155</v>
      </c>
      <c r="R27" s="148" t="s">
        <v>154</v>
      </c>
      <c r="S27" s="223" t="s">
        <v>31</v>
      </c>
    </row>
    <row r="28" spans="11:19" hidden="1" x14ac:dyDescent="0.2">
      <c r="R28" s="148" t="s">
        <v>156</v>
      </c>
      <c r="S28" s="223" t="s">
        <v>31</v>
      </c>
    </row>
    <row r="29" spans="11:19" hidden="1" x14ac:dyDescent="0.2">
      <c r="R29" s="218" t="s">
        <v>157</v>
      </c>
      <c r="S29" s="223" t="s">
        <v>31</v>
      </c>
    </row>
    <row r="30" spans="11:19" hidden="1" x14ac:dyDescent="0.2">
      <c r="R30" s="148" t="s">
        <v>158</v>
      </c>
      <c r="S30" s="223" t="s">
        <v>31</v>
      </c>
    </row>
    <row r="31" spans="11:19" hidden="1" x14ac:dyDescent="0.2">
      <c r="K31" t="s">
        <v>159</v>
      </c>
      <c r="L31" t="s">
        <v>160</v>
      </c>
      <c r="R31" s="225" t="s">
        <v>161</v>
      </c>
      <c r="S31" s="219" t="s">
        <v>33</v>
      </c>
    </row>
    <row r="32" spans="11:19" hidden="1" x14ac:dyDescent="0.2">
      <c r="R32" s="148" t="s">
        <v>162</v>
      </c>
      <c r="S32" s="217" t="s">
        <v>32</v>
      </c>
    </row>
    <row r="33" spans="11:19" hidden="1" x14ac:dyDescent="0.2">
      <c r="R33" s="148" t="s">
        <v>163</v>
      </c>
      <c r="S33" s="149" t="s">
        <v>30</v>
      </c>
    </row>
    <row r="34" spans="11:19" hidden="1" x14ac:dyDescent="0.2">
      <c r="R34" s="217" t="s">
        <v>164</v>
      </c>
      <c r="S34" s="220" t="s">
        <v>141</v>
      </c>
    </row>
    <row r="35" spans="11:19" hidden="1" x14ac:dyDescent="0.2">
      <c r="R35" s="217" t="s">
        <v>165</v>
      </c>
      <c r="S35" s="220" t="s">
        <v>141</v>
      </c>
    </row>
    <row r="36" spans="11:19" hidden="1" x14ac:dyDescent="0.2">
      <c r="R36" s="217" t="s">
        <v>166</v>
      </c>
      <c r="S36" s="220" t="s">
        <v>141</v>
      </c>
    </row>
    <row r="37" spans="11:19" hidden="1" x14ac:dyDescent="0.2">
      <c r="R37" s="148" t="s">
        <v>167</v>
      </c>
      <c r="S37" s="223" t="s">
        <v>31</v>
      </c>
    </row>
    <row r="38" spans="11:19" hidden="1" x14ac:dyDescent="0.2">
      <c r="R38" s="148" t="s">
        <v>168</v>
      </c>
      <c r="S38" s="223" t="s">
        <v>31</v>
      </c>
    </row>
    <row r="39" spans="11:19" hidden="1" x14ac:dyDescent="0.2">
      <c r="K39" t="s">
        <v>169</v>
      </c>
      <c r="L39" t="s">
        <v>130</v>
      </c>
      <c r="N39" t="s">
        <v>170</v>
      </c>
      <c r="P39" s="214"/>
      <c r="Q39" s="214"/>
      <c r="R39" s="215" t="s">
        <v>169</v>
      </c>
      <c r="S39" s="216" t="s">
        <v>34</v>
      </c>
    </row>
    <row r="40" spans="11:19" hidden="1" x14ac:dyDescent="0.2">
      <c r="P40" s="214"/>
      <c r="Q40" s="214"/>
      <c r="R40" s="215" t="s">
        <v>171</v>
      </c>
      <c r="S40" s="216" t="s">
        <v>34</v>
      </c>
    </row>
    <row r="41" spans="11:19" hidden="1" x14ac:dyDescent="0.2">
      <c r="K41" t="s">
        <v>171</v>
      </c>
      <c r="L41" t="s">
        <v>130</v>
      </c>
      <c r="N41" t="s">
        <v>152</v>
      </c>
      <c r="P41" s="214"/>
      <c r="Q41" s="214"/>
      <c r="R41" s="215" t="s">
        <v>171</v>
      </c>
      <c r="S41" s="224" t="s">
        <v>31</v>
      </c>
    </row>
    <row r="42" spans="11:19" hidden="1" x14ac:dyDescent="0.2">
      <c r="K42" t="s">
        <v>155</v>
      </c>
      <c r="L42" t="s">
        <v>130</v>
      </c>
      <c r="N42" t="s">
        <v>172</v>
      </c>
      <c r="P42" s="214"/>
      <c r="Q42" s="214"/>
      <c r="R42" s="215" t="s">
        <v>155</v>
      </c>
      <c r="S42" s="216" t="s">
        <v>34</v>
      </c>
    </row>
    <row r="43" spans="11:19" hidden="1" x14ac:dyDescent="0.2">
      <c r="R43" s="148" t="s">
        <v>173</v>
      </c>
      <c r="S43" s="149" t="s">
        <v>30</v>
      </c>
    </row>
    <row r="44" spans="11:19" hidden="1" x14ac:dyDescent="0.2">
      <c r="R44" s="148" t="s">
        <v>174</v>
      </c>
      <c r="S44" s="213" t="s">
        <v>34</v>
      </c>
    </row>
    <row r="45" spans="11:19" hidden="1" x14ac:dyDescent="0.2">
      <c r="R45" s="148" t="s">
        <v>175</v>
      </c>
      <c r="S45" s="213" t="s">
        <v>34</v>
      </c>
    </row>
    <row r="46" spans="11:19" hidden="1" x14ac:dyDescent="0.2">
      <c r="R46" s="148" t="s">
        <v>176</v>
      </c>
      <c r="S46" s="223" t="s">
        <v>31</v>
      </c>
    </row>
    <row r="47" spans="11:19" hidden="1" x14ac:dyDescent="0.2">
      <c r="R47" s="217" t="s">
        <v>177</v>
      </c>
      <c r="S47" s="220" t="s">
        <v>141</v>
      </c>
    </row>
    <row r="48" spans="11:19" hidden="1" x14ac:dyDescent="0.2">
      <c r="K48" t="s">
        <v>178</v>
      </c>
      <c r="L48" t="s">
        <v>179</v>
      </c>
      <c r="N48" t="s">
        <v>150</v>
      </c>
      <c r="P48" s="214"/>
      <c r="Q48" s="214"/>
      <c r="R48" s="215" t="s">
        <v>178</v>
      </c>
      <c r="S48" s="222" t="s">
        <v>33</v>
      </c>
    </row>
    <row r="49" spans="11:19" hidden="1" x14ac:dyDescent="0.2">
      <c r="R49" s="148" t="s">
        <v>143</v>
      </c>
      <c r="S49" s="149" t="s">
        <v>30</v>
      </c>
    </row>
    <row r="50" spans="11:19" hidden="1" x14ac:dyDescent="0.2">
      <c r="R50" s="148" t="s">
        <v>180</v>
      </c>
      <c r="S50" s="213" t="s">
        <v>34</v>
      </c>
    </row>
    <row r="51" spans="11:19" hidden="1" x14ac:dyDescent="0.2">
      <c r="R51" s="217" t="s">
        <v>181</v>
      </c>
      <c r="S51" s="220" t="s">
        <v>141</v>
      </c>
    </row>
    <row r="52" spans="11:19" hidden="1" x14ac:dyDescent="0.2">
      <c r="R52" s="148" t="s">
        <v>182</v>
      </c>
      <c r="S52" s="223" t="s">
        <v>31</v>
      </c>
    </row>
    <row r="53" spans="11:19" hidden="1" x14ac:dyDescent="0.2">
      <c r="R53" s="148" t="s">
        <v>183</v>
      </c>
      <c r="S53" s="217" t="s">
        <v>32</v>
      </c>
    </row>
    <row r="54" spans="11:19" hidden="1" x14ac:dyDescent="0.2">
      <c r="R54" s="148" t="s">
        <v>184</v>
      </c>
      <c r="S54" s="217" t="s">
        <v>32</v>
      </c>
    </row>
    <row r="55" spans="11:19" hidden="1" x14ac:dyDescent="0.2">
      <c r="R55" s="148" t="s">
        <v>185</v>
      </c>
      <c r="S55" s="217" t="s">
        <v>32</v>
      </c>
    </row>
    <row r="56" spans="11:19" hidden="1" x14ac:dyDescent="0.2">
      <c r="R56" s="148" t="s">
        <v>186</v>
      </c>
      <c r="S56" s="219" t="s">
        <v>33</v>
      </c>
    </row>
    <row r="57" spans="11:19" hidden="1" x14ac:dyDescent="0.2">
      <c r="R57" s="148" t="s">
        <v>187</v>
      </c>
      <c r="S57" s="213" t="s">
        <v>34</v>
      </c>
    </row>
    <row r="58" spans="11:19" hidden="1" x14ac:dyDescent="0.2">
      <c r="R58" s="148" t="s">
        <v>188</v>
      </c>
      <c r="S58" s="217" t="s">
        <v>32</v>
      </c>
    </row>
    <row r="59" spans="11:19" hidden="1" x14ac:dyDescent="0.2">
      <c r="R59" s="148" t="s">
        <v>189</v>
      </c>
      <c r="S59" s="219" t="s">
        <v>33</v>
      </c>
    </row>
    <row r="60" spans="11:19" hidden="1" x14ac:dyDescent="0.2">
      <c r="K60" t="s">
        <v>190</v>
      </c>
      <c r="L60" t="s">
        <v>130</v>
      </c>
      <c r="N60" t="s">
        <v>191</v>
      </c>
      <c r="P60" s="214"/>
      <c r="Q60" s="214"/>
      <c r="R60" s="215" t="s">
        <v>190</v>
      </c>
      <c r="S60" s="222" t="s">
        <v>33</v>
      </c>
    </row>
    <row r="61" spans="11:19" hidden="1" x14ac:dyDescent="0.2">
      <c r="R61" s="217" t="s">
        <v>192</v>
      </c>
      <c r="S61" s="220" t="s">
        <v>141</v>
      </c>
    </row>
    <row r="62" spans="11:19" hidden="1" x14ac:dyDescent="0.2">
      <c r="R62" s="148" t="s">
        <v>193</v>
      </c>
      <c r="S62" s="213" t="s">
        <v>34</v>
      </c>
    </row>
    <row r="63" spans="11:19" hidden="1" x14ac:dyDescent="0.2">
      <c r="R63" s="217" t="s">
        <v>194</v>
      </c>
      <c r="S63" s="220" t="s">
        <v>141</v>
      </c>
    </row>
    <row r="64" spans="11:19" hidden="1" x14ac:dyDescent="0.2">
      <c r="R64" s="217" t="s">
        <v>195</v>
      </c>
      <c r="S64" s="220" t="s">
        <v>141</v>
      </c>
    </row>
    <row r="65" spans="11:19" hidden="1" x14ac:dyDescent="0.2">
      <c r="R65" s="148" t="s">
        <v>196</v>
      </c>
      <c r="S65" s="149" t="s">
        <v>30</v>
      </c>
    </row>
    <row r="66" spans="11:19" hidden="1" x14ac:dyDescent="0.2">
      <c r="K66" t="s">
        <v>197</v>
      </c>
      <c r="L66" t="s">
        <v>130</v>
      </c>
      <c r="N66" t="s">
        <v>198</v>
      </c>
      <c r="P66" s="214"/>
      <c r="Q66" s="214"/>
      <c r="R66" s="215" t="s">
        <v>197</v>
      </c>
      <c r="S66" s="222" t="s">
        <v>33</v>
      </c>
    </row>
    <row r="67" spans="11:19" hidden="1" x14ac:dyDescent="0.2">
      <c r="R67" s="148" t="s">
        <v>199</v>
      </c>
      <c r="S67" s="217" t="s">
        <v>32</v>
      </c>
    </row>
    <row r="68" spans="11:19" hidden="1" x14ac:dyDescent="0.2">
      <c r="R68" s="148" t="s">
        <v>200</v>
      </c>
      <c r="S68" s="223" t="s">
        <v>31</v>
      </c>
    </row>
    <row r="69" spans="11:19" hidden="1" x14ac:dyDescent="0.2">
      <c r="R69" s="148" t="s">
        <v>201</v>
      </c>
      <c r="S69" s="149" t="s">
        <v>30</v>
      </c>
    </row>
    <row r="70" spans="11:19" hidden="1" x14ac:dyDescent="0.2">
      <c r="K70" t="s">
        <v>202</v>
      </c>
      <c r="L70" t="s">
        <v>130</v>
      </c>
      <c r="N70" t="s">
        <v>201</v>
      </c>
      <c r="R70" s="148" t="s">
        <v>202</v>
      </c>
      <c r="S70" s="149" t="s">
        <v>30</v>
      </c>
    </row>
    <row r="71" spans="11:19" hidden="1" x14ac:dyDescent="0.2">
      <c r="R71" s="148" t="s">
        <v>203</v>
      </c>
      <c r="S71" s="219" t="s">
        <v>33</v>
      </c>
    </row>
    <row r="72" spans="11:19" hidden="1" x14ac:dyDescent="0.2">
      <c r="R72" s="148" t="s">
        <v>191</v>
      </c>
      <c r="S72" s="219" t="s">
        <v>33</v>
      </c>
    </row>
    <row r="73" spans="11:19" hidden="1" x14ac:dyDescent="0.2">
      <c r="R73" s="148" t="s">
        <v>198</v>
      </c>
      <c r="S73" s="219" t="s">
        <v>33</v>
      </c>
    </row>
    <row r="74" spans="11:19" hidden="1" x14ac:dyDescent="0.2">
      <c r="R74" s="148" t="s">
        <v>204</v>
      </c>
      <c r="S74" s="217" t="s">
        <v>32</v>
      </c>
    </row>
    <row r="75" spans="11:19" hidden="1" x14ac:dyDescent="0.2">
      <c r="R75" s="148" t="s">
        <v>205</v>
      </c>
      <c r="S75" s="217" t="s">
        <v>32</v>
      </c>
    </row>
    <row r="76" spans="11:19" hidden="1" x14ac:dyDescent="0.2">
      <c r="K76" t="s">
        <v>206</v>
      </c>
      <c r="L76" t="s">
        <v>130</v>
      </c>
      <c r="N76" t="s">
        <v>171</v>
      </c>
      <c r="P76" s="214"/>
      <c r="Q76" s="214"/>
      <c r="R76" s="215" t="s">
        <v>206</v>
      </c>
      <c r="S76" s="221" t="s">
        <v>30</v>
      </c>
    </row>
    <row r="77" spans="11:19" hidden="1" x14ac:dyDescent="0.2">
      <c r="K77" t="s">
        <v>207</v>
      </c>
      <c r="L77" t="s">
        <v>130</v>
      </c>
      <c r="N77" t="s">
        <v>204</v>
      </c>
      <c r="P77" s="214"/>
      <c r="Q77" s="214"/>
      <c r="R77" s="215" t="s">
        <v>207</v>
      </c>
      <c r="S77" s="226" t="s">
        <v>32</v>
      </c>
    </row>
    <row r="78" spans="11:19" hidden="1" x14ac:dyDescent="0.2">
      <c r="R78" s="148" t="s">
        <v>208</v>
      </c>
      <c r="S78" s="223" t="s">
        <v>31</v>
      </c>
    </row>
    <row r="79" spans="11:19" hidden="1" x14ac:dyDescent="0.2">
      <c r="R79" s="148" t="s">
        <v>209</v>
      </c>
      <c r="S79" s="213" t="s">
        <v>34</v>
      </c>
    </row>
    <row r="80" spans="11:19" hidden="1" x14ac:dyDescent="0.2">
      <c r="R80" s="148" t="s">
        <v>210</v>
      </c>
      <c r="S80" s="223" t="s">
        <v>31</v>
      </c>
    </row>
    <row r="81" spans="11:25" hidden="1" x14ac:dyDescent="0.2">
      <c r="R81" s="148" t="s">
        <v>211</v>
      </c>
      <c r="S81" s="223" t="s">
        <v>31</v>
      </c>
    </row>
    <row r="82" spans="11:25" hidden="1" x14ac:dyDescent="0.2">
      <c r="K82" t="s">
        <v>212</v>
      </c>
      <c r="L82" t="s">
        <v>130</v>
      </c>
      <c r="N82" t="s">
        <v>213</v>
      </c>
      <c r="P82" s="214"/>
      <c r="Q82" s="214"/>
      <c r="R82" s="215" t="s">
        <v>212</v>
      </c>
      <c r="S82" s="226" t="s">
        <v>32</v>
      </c>
    </row>
    <row r="83" spans="11:25" hidden="1" x14ac:dyDescent="0.2">
      <c r="R83" s="148" t="s">
        <v>214</v>
      </c>
      <c r="S83" s="213" t="s">
        <v>34</v>
      </c>
      <c r="X83" t="s">
        <v>215</v>
      </c>
    </row>
    <row r="84" spans="11:25" hidden="1" x14ac:dyDescent="0.2">
      <c r="R84" s="217" t="s">
        <v>216</v>
      </c>
      <c r="S84" s="220" t="s">
        <v>141</v>
      </c>
      <c r="X84" t="s">
        <v>217</v>
      </c>
    </row>
    <row r="85" spans="11:25" hidden="1" x14ac:dyDescent="0.2">
      <c r="R85" s="148" t="s">
        <v>172</v>
      </c>
      <c r="S85" s="219" t="s">
        <v>33</v>
      </c>
      <c r="X85" t="s">
        <v>157</v>
      </c>
    </row>
    <row r="86" spans="11:25" hidden="1" x14ac:dyDescent="0.2">
      <c r="R86" s="148" t="s">
        <v>218</v>
      </c>
      <c r="S86" s="149" t="s">
        <v>30</v>
      </c>
      <c r="X86" t="s">
        <v>219</v>
      </c>
    </row>
    <row r="87" spans="11:25" hidden="1" x14ac:dyDescent="0.2">
      <c r="R87" s="217" t="s">
        <v>220</v>
      </c>
      <c r="S87" s="220" t="s">
        <v>141</v>
      </c>
      <c r="X87" t="s">
        <v>221</v>
      </c>
    </row>
    <row r="88" spans="11:25" hidden="1" x14ac:dyDescent="0.2">
      <c r="R88" s="148" t="s">
        <v>222</v>
      </c>
      <c r="S88" s="217" t="s">
        <v>32</v>
      </c>
      <c r="X88" t="s">
        <v>223</v>
      </c>
    </row>
    <row r="89" spans="11:25" hidden="1" x14ac:dyDescent="0.2">
      <c r="R89" s="148" t="s">
        <v>224</v>
      </c>
      <c r="S89" s="213" t="s">
        <v>34</v>
      </c>
      <c r="X89" t="s">
        <v>225</v>
      </c>
    </row>
    <row r="90" spans="11:25" hidden="1" x14ac:dyDescent="0.2">
      <c r="R90" s="217" t="s">
        <v>226</v>
      </c>
      <c r="S90" s="220" t="s">
        <v>141</v>
      </c>
    </row>
    <row r="91" spans="11:25" hidden="1" x14ac:dyDescent="0.2">
      <c r="K91" t="s">
        <v>227</v>
      </c>
      <c r="L91" t="s">
        <v>130</v>
      </c>
      <c r="N91" t="s">
        <v>176</v>
      </c>
      <c r="P91" s="214"/>
      <c r="Q91" s="214"/>
      <c r="R91" s="215" t="s">
        <v>227</v>
      </c>
      <c r="S91" s="221" t="s">
        <v>30</v>
      </c>
      <c r="X91" t="s">
        <v>223</v>
      </c>
    </row>
    <row r="92" spans="11:25" hidden="1" x14ac:dyDescent="0.2">
      <c r="R92" s="148" t="s">
        <v>213</v>
      </c>
      <c r="S92" s="217" t="s">
        <v>32</v>
      </c>
      <c r="X92" t="s">
        <v>228</v>
      </c>
    </row>
    <row r="93" spans="11:25" hidden="1" x14ac:dyDescent="0.2">
      <c r="K93" t="s">
        <v>229</v>
      </c>
      <c r="L93" t="s">
        <v>130</v>
      </c>
      <c r="N93" t="s">
        <v>146</v>
      </c>
      <c r="P93" s="214"/>
      <c r="Q93" s="214"/>
      <c r="R93" s="215" t="s">
        <v>229</v>
      </c>
      <c r="S93" s="224" t="s">
        <v>31</v>
      </c>
    </row>
    <row r="94" spans="11:25" hidden="1" x14ac:dyDescent="0.2">
      <c r="R94" s="217" t="s">
        <v>230</v>
      </c>
      <c r="S94" s="220" t="s">
        <v>141</v>
      </c>
    </row>
    <row r="95" spans="11:25" hidden="1" x14ac:dyDescent="0.2">
      <c r="R95" s="148" t="s">
        <v>170</v>
      </c>
      <c r="S95" s="217" t="s">
        <v>32</v>
      </c>
      <c r="X95" s="217" t="s">
        <v>231</v>
      </c>
      <c r="Y95" s="217"/>
    </row>
    <row r="96" spans="11:25" hidden="1" x14ac:dyDescent="0.2">
      <c r="K96" t="s">
        <v>232</v>
      </c>
      <c r="N96" t="s">
        <v>233</v>
      </c>
      <c r="P96" s="214"/>
      <c r="Q96" s="214"/>
      <c r="R96" s="215" t="s">
        <v>232</v>
      </c>
      <c r="S96" s="216" t="s">
        <v>34</v>
      </c>
    </row>
    <row r="97" spans="11:48" hidden="1" x14ac:dyDescent="0.2">
      <c r="R97" s="148" t="s">
        <v>234</v>
      </c>
      <c r="S97" s="149" t="s">
        <v>30</v>
      </c>
    </row>
    <row r="98" spans="11:48" hidden="1" x14ac:dyDescent="0.2">
      <c r="R98" s="217" t="s">
        <v>235</v>
      </c>
      <c r="S98" s="220" t="s">
        <v>141</v>
      </c>
    </row>
    <row r="99" spans="11:48" hidden="1" x14ac:dyDescent="0.2">
      <c r="R99" s="217" t="s">
        <v>236</v>
      </c>
      <c r="S99" s="220" t="s">
        <v>141</v>
      </c>
    </row>
    <row r="100" spans="11:48" hidden="1" x14ac:dyDescent="0.2"/>
    <row r="103" spans="11:48" ht="15" thickBot="1" x14ac:dyDescent="0.25"/>
    <row r="104" spans="11:48" ht="18" x14ac:dyDescent="0.25">
      <c r="K104" s="227" t="s">
        <v>237</v>
      </c>
      <c r="L104" s="228"/>
      <c r="M104" s="228"/>
      <c r="N104" s="228"/>
      <c r="O104" s="228"/>
      <c r="P104" s="228"/>
      <c r="Q104" s="228"/>
      <c r="R104" s="228"/>
      <c r="S104" s="228"/>
      <c r="T104" s="228"/>
      <c r="U104" s="228"/>
      <c r="V104" s="228"/>
      <c r="W104" s="228"/>
      <c r="X104" s="228"/>
      <c r="Y104" s="228"/>
      <c r="Z104" s="229"/>
      <c r="AA104" s="229"/>
      <c r="AB104" s="228"/>
      <c r="AC104" s="228"/>
      <c r="AD104" s="228"/>
      <c r="AE104" s="228"/>
      <c r="AF104" s="228"/>
      <c r="AG104" s="228"/>
      <c r="AH104" s="228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30"/>
    </row>
    <row r="105" spans="11:48" x14ac:dyDescent="0.2">
      <c r="K105" s="231"/>
      <c r="Z105" s="148"/>
      <c r="AA105" s="148"/>
      <c r="AN105" s="141" t="s">
        <v>238</v>
      </c>
      <c r="AV105" s="232"/>
    </row>
    <row r="106" spans="11:48" ht="18" x14ac:dyDescent="0.25">
      <c r="K106" s="231"/>
      <c r="L106" s="233" t="s">
        <v>239</v>
      </c>
      <c r="M106" s="233"/>
      <c r="Z106" s="148"/>
      <c r="AA106" s="148"/>
      <c r="AN106" s="234" t="s">
        <v>240</v>
      </c>
      <c r="AO106" s="148">
        <v>1</v>
      </c>
      <c r="AP106" s="217" t="s">
        <v>164</v>
      </c>
      <c r="AQ106" s="148" t="s">
        <v>241</v>
      </c>
      <c r="AS106" s="235" t="s">
        <v>242</v>
      </c>
      <c r="AV106" s="232"/>
    </row>
    <row r="107" spans="11:48" ht="15" thickBot="1" x14ac:dyDescent="0.25">
      <c r="K107" s="231"/>
      <c r="R107" s="236" t="s">
        <v>243</v>
      </c>
      <c r="Z107" s="148"/>
      <c r="AA107" s="148"/>
      <c r="AN107" s="141">
        <v>22</v>
      </c>
      <c r="AO107" s="148">
        <v>2</v>
      </c>
      <c r="AP107" s="217" t="s">
        <v>244</v>
      </c>
      <c r="AQ107" s="148" t="s">
        <v>241</v>
      </c>
      <c r="AS107" s="235" t="s">
        <v>245</v>
      </c>
      <c r="AV107" s="232"/>
    </row>
    <row r="108" spans="11:48" ht="15" thickBot="1" x14ac:dyDescent="0.25">
      <c r="K108" s="231"/>
      <c r="L108" s="219">
        <v>1</v>
      </c>
      <c r="M108" s="219"/>
      <c r="N108" s="219" t="s">
        <v>33</v>
      </c>
      <c r="O108" s="237"/>
      <c r="P108" s="237"/>
      <c r="Q108" s="237"/>
      <c r="R108" s="237"/>
      <c r="S108" s="237"/>
      <c r="T108" s="238" t="s">
        <v>246</v>
      </c>
      <c r="W108" s="219">
        <v>3</v>
      </c>
      <c r="X108" s="219" t="s">
        <v>34</v>
      </c>
      <c r="Y108" s="215"/>
      <c r="Z108" s="215"/>
      <c r="AA108" s="215"/>
      <c r="AB108" s="215"/>
      <c r="AC108" s="215"/>
      <c r="AD108" s="238" t="s">
        <v>246</v>
      </c>
      <c r="AF108" s="219">
        <v>5</v>
      </c>
      <c r="AG108" s="219" t="s">
        <v>32</v>
      </c>
      <c r="AH108" s="239"/>
      <c r="AI108" s="239"/>
      <c r="AJ108" s="239"/>
      <c r="AK108" s="239"/>
      <c r="AL108" s="239"/>
      <c r="AM108" s="238" t="s">
        <v>246</v>
      </c>
      <c r="AN108" s="141">
        <v>33</v>
      </c>
      <c r="AO108" s="148">
        <v>3</v>
      </c>
      <c r="AP108" s="217" t="s">
        <v>247</v>
      </c>
      <c r="AQ108" s="148" t="s">
        <v>241</v>
      </c>
      <c r="AS108" s="235" t="s">
        <v>248</v>
      </c>
      <c r="AV108" s="232"/>
    </row>
    <row r="109" spans="11:48" x14ac:dyDescent="0.2">
      <c r="K109" s="231"/>
      <c r="N109" s="219" t="s">
        <v>33</v>
      </c>
      <c r="O109" s="240">
        <v>1</v>
      </c>
      <c r="P109" s="240" t="s">
        <v>138</v>
      </c>
      <c r="Q109" s="240" t="s">
        <v>249</v>
      </c>
      <c r="R109" s="215" t="s">
        <v>197</v>
      </c>
      <c r="S109" s="240" t="s">
        <v>250</v>
      </c>
      <c r="T109" t="str">
        <f>T142</f>
        <v>กำแพงเมือง</v>
      </c>
      <c r="X109" s="219" t="s">
        <v>34</v>
      </c>
      <c r="Y109" s="240">
        <v>1</v>
      </c>
      <c r="Z109" s="240" t="s">
        <v>193</v>
      </c>
      <c r="AA109" s="240" t="s">
        <v>249</v>
      </c>
      <c r="AB109" s="240" t="s">
        <v>251</v>
      </c>
      <c r="AC109" s="240" t="s">
        <v>252</v>
      </c>
      <c r="AD109" t="str">
        <f>T145</f>
        <v>ดาวในจักรวาล</v>
      </c>
      <c r="AG109" s="219" t="s">
        <v>32</v>
      </c>
      <c r="AH109" s="240">
        <v>1</v>
      </c>
      <c r="AI109" s="240" t="s">
        <v>222</v>
      </c>
      <c r="AJ109" s="240" t="s">
        <v>249</v>
      </c>
      <c r="AK109" s="240" t="s">
        <v>253</v>
      </c>
      <c r="AL109" s="240" t="s">
        <v>254</v>
      </c>
      <c r="AM109" t="str">
        <f>T141</f>
        <v>ใช้ขวานผ่าฟืน</v>
      </c>
      <c r="AN109" s="141">
        <v>44</v>
      </c>
      <c r="AO109" s="148">
        <v>4</v>
      </c>
      <c r="AP109" s="217" t="s">
        <v>255</v>
      </c>
      <c r="AQ109" s="148" t="s">
        <v>241</v>
      </c>
      <c r="AS109" s="235" t="s">
        <v>256</v>
      </c>
      <c r="AV109" s="232"/>
    </row>
    <row r="110" spans="11:48" x14ac:dyDescent="0.2">
      <c r="K110" s="231"/>
      <c r="N110" s="219" t="s">
        <v>33</v>
      </c>
      <c r="O110" s="240">
        <v>2</v>
      </c>
      <c r="P110" s="241" t="s">
        <v>257</v>
      </c>
      <c r="Q110" s="240" t="s">
        <v>249</v>
      </c>
      <c r="R110" s="240" t="s">
        <v>173</v>
      </c>
      <c r="S110" s="240" t="s">
        <v>250</v>
      </c>
      <c r="T110" t="str">
        <f>U142</f>
        <v>ยานอวกาศ</v>
      </c>
      <c r="X110" s="219" t="s">
        <v>34</v>
      </c>
      <c r="Y110" s="240">
        <v>2</v>
      </c>
      <c r="Z110" s="240" t="s">
        <v>224</v>
      </c>
      <c r="AA110" s="240" t="s">
        <v>249</v>
      </c>
      <c r="AB110" s="240" t="s">
        <v>258</v>
      </c>
      <c r="AC110" s="240" t="s">
        <v>252</v>
      </c>
      <c r="AD110" t="str">
        <f>U145</f>
        <v>คลื่นทะเล</v>
      </c>
      <c r="AG110" s="219" t="s">
        <v>32</v>
      </c>
      <c r="AH110" s="240">
        <v>2</v>
      </c>
      <c r="AI110" s="240" t="s">
        <v>205</v>
      </c>
      <c r="AJ110" s="240" t="s">
        <v>249</v>
      </c>
      <c r="AK110" s="240" t="s">
        <v>259</v>
      </c>
      <c r="AL110" s="240" t="s">
        <v>254</v>
      </c>
      <c r="AM110" t="str">
        <f>U141</f>
        <v>เข็มเย็บผ้า</v>
      </c>
      <c r="AN110" s="141">
        <v>55</v>
      </c>
      <c r="AO110" s="148">
        <v>5</v>
      </c>
      <c r="AP110" s="217" t="s">
        <v>260</v>
      </c>
      <c r="AQ110" s="148" t="s">
        <v>241</v>
      </c>
      <c r="AS110" s="235" t="s">
        <v>261</v>
      </c>
      <c r="AV110" s="232"/>
    </row>
    <row r="111" spans="11:48" x14ac:dyDescent="0.2">
      <c r="K111" s="231"/>
      <c r="N111" s="219" t="s">
        <v>33</v>
      </c>
      <c r="O111" s="240">
        <v>3</v>
      </c>
      <c r="P111" s="240" t="s">
        <v>191</v>
      </c>
      <c r="Q111" s="240" t="s">
        <v>249</v>
      </c>
      <c r="R111" s="242" t="s">
        <v>262</v>
      </c>
      <c r="S111" s="240" t="s">
        <v>250</v>
      </c>
      <c r="T111" t="str">
        <f>V142</f>
        <v>ปิรามิด</v>
      </c>
      <c r="X111" s="219" t="s">
        <v>34</v>
      </c>
      <c r="Y111" s="240">
        <v>3</v>
      </c>
      <c r="Z111" s="240" t="s">
        <v>180</v>
      </c>
      <c r="AA111" s="240" t="s">
        <v>249</v>
      </c>
      <c r="AB111" s="240" t="s">
        <v>263</v>
      </c>
      <c r="AC111" s="240" t="s">
        <v>252</v>
      </c>
      <c r="AD111" t="str">
        <f>V145</f>
        <v>ดวงอาทิตย์</v>
      </c>
      <c r="AG111" s="219" t="s">
        <v>32</v>
      </c>
      <c r="AH111" s="240">
        <v>3</v>
      </c>
      <c r="AI111" s="240" t="s">
        <v>204</v>
      </c>
      <c r="AJ111" s="240" t="s">
        <v>249</v>
      </c>
      <c r="AK111" s="240" t="s">
        <v>264</v>
      </c>
      <c r="AL111" s="240" t="s">
        <v>254</v>
      </c>
      <c r="AM111" s="214" t="str">
        <f>V141</f>
        <v>ลูกกุญแจ</v>
      </c>
      <c r="AN111" s="141">
        <v>66</v>
      </c>
      <c r="AO111" s="148">
        <v>6</v>
      </c>
      <c r="AP111" s="217" t="s">
        <v>265</v>
      </c>
      <c r="AQ111" s="148" t="s">
        <v>241</v>
      </c>
      <c r="AS111" s="235" t="s">
        <v>266</v>
      </c>
      <c r="AV111" s="232"/>
    </row>
    <row r="112" spans="11:48" x14ac:dyDescent="0.2">
      <c r="K112" s="231"/>
      <c r="N112" s="219" t="s">
        <v>33</v>
      </c>
      <c r="O112" s="240">
        <v>4</v>
      </c>
      <c r="P112" s="240" t="s">
        <v>134</v>
      </c>
      <c r="Q112" s="240" t="s">
        <v>249</v>
      </c>
      <c r="R112" s="240" t="s">
        <v>267</v>
      </c>
      <c r="S112" s="240" t="s">
        <v>250</v>
      </c>
      <c r="T112" t="str">
        <f>W142</f>
        <v>เขื่อนกั้นน้ำ</v>
      </c>
      <c r="X112" s="219" t="s">
        <v>34</v>
      </c>
      <c r="Y112" s="240">
        <v>4</v>
      </c>
      <c r="Z112" s="240" t="s">
        <v>174</v>
      </c>
      <c r="AA112" s="240" t="s">
        <v>249</v>
      </c>
      <c r="AB112" s="240" t="s">
        <v>268</v>
      </c>
      <c r="AC112" s="240" t="s">
        <v>252</v>
      </c>
      <c r="AD112" t="str">
        <f>W145</f>
        <v>พระจันทร์</v>
      </c>
      <c r="AG112" s="219" t="s">
        <v>32</v>
      </c>
      <c r="AH112" s="240">
        <v>4</v>
      </c>
      <c r="AI112" s="240" t="s">
        <v>199</v>
      </c>
      <c r="AJ112" s="240" t="s">
        <v>249</v>
      </c>
      <c r="AK112" s="242" t="s">
        <v>269</v>
      </c>
      <c r="AL112" s="240" t="s">
        <v>254</v>
      </c>
      <c r="AM112" t="str">
        <f>W141</f>
        <v>ค้อนตอกตะปู</v>
      </c>
      <c r="AN112" s="141">
        <v>77</v>
      </c>
      <c r="AO112" s="148">
        <v>7</v>
      </c>
      <c r="AP112" s="217" t="s">
        <v>270</v>
      </c>
      <c r="AQ112" s="148" t="s">
        <v>241</v>
      </c>
      <c r="AS112" s="235" t="s">
        <v>271</v>
      </c>
      <c r="AV112" s="232"/>
    </row>
    <row r="113" spans="11:48" x14ac:dyDescent="0.2">
      <c r="K113" s="231"/>
      <c r="N113" s="219" t="s">
        <v>33</v>
      </c>
      <c r="O113" s="240">
        <v>5</v>
      </c>
      <c r="P113" s="240" t="s">
        <v>172</v>
      </c>
      <c r="Q113" s="240" t="s">
        <v>249</v>
      </c>
      <c r="R113" s="242" t="s">
        <v>272</v>
      </c>
      <c r="S113" s="240" t="s">
        <v>250</v>
      </c>
      <c r="T113" t="str">
        <f>T143</f>
        <v>วงล้อบนเกวียน</v>
      </c>
      <c r="X113" s="219" t="s">
        <v>34</v>
      </c>
      <c r="Y113" s="240">
        <v>5</v>
      </c>
      <c r="Z113" s="240" t="s">
        <v>212</v>
      </c>
      <c r="AA113" s="240" t="s">
        <v>249</v>
      </c>
      <c r="AB113" s="240" t="s">
        <v>273</v>
      </c>
      <c r="AC113" s="240" t="s">
        <v>252</v>
      </c>
      <c r="AD113" t="str">
        <f>T153</f>
        <v>จิตกรวาดภาพ</v>
      </c>
      <c r="AG113" s="219" t="s">
        <v>32</v>
      </c>
      <c r="AH113" s="240">
        <v>5</v>
      </c>
      <c r="AI113" s="242" t="s">
        <v>274</v>
      </c>
      <c r="AJ113" s="240" t="s">
        <v>249</v>
      </c>
      <c r="AK113" s="242" t="s">
        <v>221</v>
      </c>
      <c r="AL113" s="240" t="s">
        <v>254</v>
      </c>
      <c r="AM113" t="str">
        <f>T146</f>
        <v>งานปั้นหม้อ</v>
      </c>
      <c r="AN113" s="141">
        <v>88</v>
      </c>
      <c r="AO113" s="148">
        <v>8</v>
      </c>
      <c r="AP113" s="217" t="s">
        <v>140</v>
      </c>
      <c r="AQ113" s="148" t="s">
        <v>241</v>
      </c>
      <c r="AS113" s="235" t="s">
        <v>275</v>
      </c>
      <c r="AV113" s="232"/>
    </row>
    <row r="114" spans="11:48" x14ac:dyDescent="0.2">
      <c r="K114" s="231"/>
      <c r="N114" s="219" t="s">
        <v>33</v>
      </c>
      <c r="O114" s="240">
        <v>6</v>
      </c>
      <c r="P114" s="240" t="s">
        <v>150</v>
      </c>
      <c r="Q114" s="240" t="s">
        <v>249</v>
      </c>
      <c r="R114" s="240" t="s">
        <v>276</v>
      </c>
      <c r="S114" s="240" t="s">
        <v>250</v>
      </c>
      <c r="T114" t="str">
        <f>U143</f>
        <v>บันไดทางขึ้น</v>
      </c>
      <c r="X114" s="219" t="s">
        <v>34</v>
      </c>
      <c r="Y114" s="240">
        <v>6</v>
      </c>
      <c r="Z114" s="240" t="s">
        <v>159</v>
      </c>
      <c r="AA114" s="240" t="s">
        <v>249</v>
      </c>
      <c r="AB114" s="240" t="s">
        <v>161</v>
      </c>
      <c r="AC114" s="240" t="s">
        <v>252</v>
      </c>
      <c r="AD114" t="str">
        <f>U153</f>
        <v>ช่างปั้นรูปปั้น</v>
      </c>
      <c r="AG114" s="219" t="s">
        <v>32</v>
      </c>
      <c r="AH114" s="240">
        <v>6</v>
      </c>
      <c r="AI114" s="240" t="s">
        <v>170</v>
      </c>
      <c r="AJ114" s="240" t="s">
        <v>249</v>
      </c>
      <c r="AK114" s="240" t="s">
        <v>277</v>
      </c>
      <c r="AL114" s="240" t="s">
        <v>254</v>
      </c>
      <c r="AM114" t="str">
        <f>U146</f>
        <v>งานทอผ้า</v>
      </c>
      <c r="AN114" s="141">
        <v>99</v>
      </c>
      <c r="AO114" s="148">
        <v>9</v>
      </c>
      <c r="AP114" s="217" t="s">
        <v>278</v>
      </c>
      <c r="AQ114" s="148" t="s">
        <v>241</v>
      </c>
      <c r="AS114" s="235" t="s">
        <v>279</v>
      </c>
      <c r="AV114" s="232"/>
    </row>
    <row r="115" spans="11:48" x14ac:dyDescent="0.2">
      <c r="K115" s="231"/>
      <c r="N115" s="219" t="s">
        <v>33</v>
      </c>
      <c r="O115" s="240">
        <v>7</v>
      </c>
      <c r="P115" s="240" t="s">
        <v>203</v>
      </c>
      <c r="Q115" s="240" t="s">
        <v>249</v>
      </c>
      <c r="R115" s="215" t="s">
        <v>217</v>
      </c>
      <c r="S115" s="240" t="s">
        <v>250</v>
      </c>
      <c r="T115" t="str">
        <f>V143</f>
        <v>รางรถไฟ</v>
      </c>
      <c r="X115" s="219" t="s">
        <v>34</v>
      </c>
      <c r="Y115" s="240">
        <v>7</v>
      </c>
      <c r="Z115" s="240" t="s">
        <v>171</v>
      </c>
      <c r="AA115" s="240" t="s">
        <v>249</v>
      </c>
      <c r="AB115" s="240" t="s">
        <v>206</v>
      </c>
      <c r="AC115" s="240" t="s">
        <v>252</v>
      </c>
      <c r="AD115" t="str">
        <f>V153</f>
        <v>นักมายากล</v>
      </c>
      <c r="AG115" s="219" t="s">
        <v>32</v>
      </c>
      <c r="AH115" s="240">
        <v>7</v>
      </c>
      <c r="AI115" s="240" t="s">
        <v>188</v>
      </c>
      <c r="AJ115" s="240" t="s">
        <v>249</v>
      </c>
      <c r="AK115" s="240" t="s">
        <v>280</v>
      </c>
      <c r="AL115" s="240" t="s">
        <v>254</v>
      </c>
      <c r="AM115" t="str">
        <f>V146</f>
        <v>ทำนาข้าว</v>
      </c>
      <c r="AN115" s="243">
        <v>100</v>
      </c>
      <c r="AO115" s="148">
        <v>10</v>
      </c>
      <c r="AP115" s="217" t="s">
        <v>281</v>
      </c>
      <c r="AQ115" s="148" t="s">
        <v>241</v>
      </c>
      <c r="AS115" s="235" t="s">
        <v>282</v>
      </c>
      <c r="AV115" s="232"/>
    </row>
    <row r="116" spans="11:48" x14ac:dyDescent="0.2">
      <c r="K116" s="231"/>
      <c r="N116" s="219" t="s">
        <v>33</v>
      </c>
      <c r="O116" s="240">
        <v>8</v>
      </c>
      <c r="P116" s="240" t="s">
        <v>198</v>
      </c>
      <c r="Q116" s="240" t="s">
        <v>249</v>
      </c>
      <c r="R116" s="240" t="s">
        <v>283</v>
      </c>
      <c r="S116" s="240" t="s">
        <v>250</v>
      </c>
      <c r="T116" t="str">
        <f>W143</f>
        <v>เครื่องบินบนฟ้า</v>
      </c>
      <c r="X116" s="219" t="s">
        <v>34</v>
      </c>
      <c r="Y116" s="240">
        <v>8</v>
      </c>
      <c r="Z116" s="240" t="s">
        <v>128</v>
      </c>
      <c r="AA116" s="240" t="s">
        <v>249</v>
      </c>
      <c r="AB116" s="240" t="s">
        <v>284</v>
      </c>
      <c r="AC116" s="240" t="s">
        <v>252</v>
      </c>
      <c r="AD116" t="str">
        <f>T155</f>
        <v>ดอกบัว</v>
      </c>
      <c r="AG116" s="219" t="s">
        <v>32</v>
      </c>
      <c r="AH116" s="240">
        <v>8</v>
      </c>
      <c r="AI116" s="240" t="s">
        <v>135</v>
      </c>
      <c r="AJ116" s="240" t="s">
        <v>249</v>
      </c>
      <c r="AK116" s="240" t="s">
        <v>285</v>
      </c>
      <c r="AL116" s="240" t="s">
        <v>254</v>
      </c>
      <c r="AM116" t="str">
        <f>W146</f>
        <v>ถ้ำอยู่อาศัย</v>
      </c>
      <c r="AN116" s="141">
        <v>111</v>
      </c>
      <c r="AO116" s="148">
        <v>11</v>
      </c>
      <c r="AP116" s="217" t="s">
        <v>286</v>
      </c>
      <c r="AQ116" s="148" t="s">
        <v>241</v>
      </c>
      <c r="AS116" s="235" t="s">
        <v>287</v>
      </c>
      <c r="AV116" s="232"/>
    </row>
    <row r="117" spans="11:48" x14ac:dyDescent="0.2">
      <c r="K117" s="231"/>
      <c r="N117" s="219" t="s">
        <v>33</v>
      </c>
      <c r="O117" s="240">
        <v>9</v>
      </c>
      <c r="P117" s="240" t="s">
        <v>149</v>
      </c>
      <c r="Q117" s="240" t="s">
        <v>249</v>
      </c>
      <c r="R117" s="240" t="s">
        <v>288</v>
      </c>
      <c r="S117" s="240" t="s">
        <v>250</v>
      </c>
      <c r="T117" t="str">
        <f>T152</f>
        <v>ถ้วยรางวัล</v>
      </c>
      <c r="X117" s="219" t="s">
        <v>34</v>
      </c>
      <c r="Y117" s="240">
        <v>9</v>
      </c>
      <c r="Z117" s="240" t="s">
        <v>209</v>
      </c>
      <c r="AA117" s="240" t="s">
        <v>249</v>
      </c>
      <c r="AB117" s="240" t="s">
        <v>289</v>
      </c>
      <c r="AC117" s="240" t="s">
        <v>252</v>
      </c>
      <c r="AD117" t="str">
        <f>W153</f>
        <v>นักแสดงบนเวที</v>
      </c>
      <c r="AG117" s="219" t="s">
        <v>32</v>
      </c>
      <c r="AH117" s="240">
        <v>9</v>
      </c>
      <c r="AI117" s="240" t="s">
        <v>185</v>
      </c>
      <c r="AJ117" s="240" t="s">
        <v>249</v>
      </c>
      <c r="AK117" s="241" t="s">
        <v>290</v>
      </c>
      <c r="AL117" s="240" t="s">
        <v>254</v>
      </c>
      <c r="AM117" t="str">
        <f>T148</f>
        <v>รถดับเพลิง</v>
      </c>
      <c r="AN117" s="141">
        <v>112</v>
      </c>
      <c r="AO117" s="148">
        <v>12</v>
      </c>
      <c r="AP117" s="217" t="s">
        <v>291</v>
      </c>
      <c r="AQ117" s="148" t="s">
        <v>241</v>
      </c>
      <c r="AS117" s="235" t="s">
        <v>292</v>
      </c>
      <c r="AV117" s="232"/>
    </row>
    <row r="118" spans="11:48" x14ac:dyDescent="0.2">
      <c r="K118" s="231"/>
      <c r="N118" s="219" t="s">
        <v>33</v>
      </c>
      <c r="O118" s="240">
        <v>10</v>
      </c>
      <c r="P118" s="240" t="s">
        <v>186</v>
      </c>
      <c r="Q118" s="240" t="s">
        <v>249</v>
      </c>
      <c r="R118" s="242" t="s">
        <v>293</v>
      </c>
      <c r="S118" s="240" t="s">
        <v>250</v>
      </c>
      <c r="T118" t="str">
        <f>U152</f>
        <v>หีบสมบัติ</v>
      </c>
      <c r="X118" s="219" t="s">
        <v>34</v>
      </c>
      <c r="Y118" s="240">
        <v>10</v>
      </c>
      <c r="Z118" s="240" t="s">
        <v>175</v>
      </c>
      <c r="AA118" s="240" t="s">
        <v>249</v>
      </c>
      <c r="AB118" s="240" t="s">
        <v>294</v>
      </c>
      <c r="AC118" s="240" t="s">
        <v>252</v>
      </c>
      <c r="AD118" t="str">
        <f>U155</f>
        <v>คนนั่งสมาธิ</v>
      </c>
      <c r="AG118" s="219" t="s">
        <v>32</v>
      </c>
      <c r="AH118" s="240">
        <v>10</v>
      </c>
      <c r="AI118" s="242" t="s">
        <v>295</v>
      </c>
      <c r="AJ118" s="240" t="s">
        <v>249</v>
      </c>
      <c r="AK118" s="240" t="s">
        <v>296</v>
      </c>
      <c r="AL118" s="240" t="s">
        <v>254</v>
      </c>
      <c r="AM118" t="str">
        <f>U148</f>
        <v>ห้องฉุกเฉิน</v>
      </c>
      <c r="AN118" s="141">
        <v>113</v>
      </c>
      <c r="AO118" s="148">
        <v>13</v>
      </c>
      <c r="AP118" s="217" t="s">
        <v>230</v>
      </c>
      <c r="AQ118" s="148" t="s">
        <v>241</v>
      </c>
      <c r="AS118" s="235" t="s">
        <v>297</v>
      </c>
      <c r="AV118" s="232"/>
    </row>
    <row r="119" spans="11:48" x14ac:dyDescent="0.2">
      <c r="K119" s="231"/>
      <c r="N119" s="219" t="s">
        <v>33</v>
      </c>
      <c r="O119" s="240">
        <v>11</v>
      </c>
      <c r="P119" s="240" t="s">
        <v>153</v>
      </c>
      <c r="Q119" s="240" t="s">
        <v>249</v>
      </c>
      <c r="R119" s="240" t="s">
        <v>298</v>
      </c>
      <c r="S119" s="240" t="s">
        <v>250</v>
      </c>
      <c r="T119" t="str">
        <f>V152</f>
        <v>กล่องของขวัญ</v>
      </c>
      <c r="X119" s="219" t="s">
        <v>34</v>
      </c>
      <c r="Y119" s="240">
        <v>11</v>
      </c>
      <c r="Z119" s="240" t="s">
        <v>189</v>
      </c>
      <c r="AA119" s="240" t="s">
        <v>249</v>
      </c>
      <c r="AB119" s="242" t="s">
        <v>299</v>
      </c>
      <c r="AC119" s="240" t="s">
        <v>252</v>
      </c>
      <c r="AD119" t="str">
        <f>W155</f>
        <v>ครูสอนนักเรียน</v>
      </c>
      <c r="AG119" s="219" t="s">
        <v>32</v>
      </c>
      <c r="AH119" s="240">
        <v>11</v>
      </c>
      <c r="AI119" s="240" t="s">
        <v>162</v>
      </c>
      <c r="AJ119" s="240" t="s">
        <v>249</v>
      </c>
      <c r="AK119" s="240" t="s">
        <v>300</v>
      </c>
      <c r="AL119" s="240" t="s">
        <v>254</v>
      </c>
      <c r="AM119" t="str">
        <f>V148</f>
        <v>โรงงาน</v>
      </c>
      <c r="AN119" s="141">
        <v>114</v>
      </c>
      <c r="AO119" s="148">
        <v>14</v>
      </c>
      <c r="AP119" s="217" t="s">
        <v>220</v>
      </c>
      <c r="AQ119" s="148" t="s">
        <v>241</v>
      </c>
      <c r="AS119" s="235" t="s">
        <v>301</v>
      </c>
      <c r="AV119" s="232"/>
    </row>
    <row r="120" spans="11:48" x14ac:dyDescent="0.2">
      <c r="K120" s="231"/>
      <c r="N120" s="219" t="s">
        <v>33</v>
      </c>
      <c r="O120" s="240">
        <v>12</v>
      </c>
      <c r="P120" s="240" t="s">
        <v>156</v>
      </c>
      <c r="Q120" s="240" t="s">
        <v>249</v>
      </c>
      <c r="R120" s="240" t="s">
        <v>137</v>
      </c>
      <c r="S120" s="240" t="s">
        <v>250</v>
      </c>
      <c r="T120" t="str">
        <f>W152</f>
        <v>เหรียญรางวัล</v>
      </c>
      <c r="X120" s="219" t="s">
        <v>34</v>
      </c>
      <c r="Y120" s="240">
        <v>12</v>
      </c>
      <c r="Z120" s="240" t="s">
        <v>183</v>
      </c>
      <c r="AA120" s="240" t="s">
        <v>249</v>
      </c>
      <c r="AB120" s="240" t="s">
        <v>302</v>
      </c>
      <c r="AC120" s="240" t="s">
        <v>252</v>
      </c>
      <c r="AD120" t="str">
        <f>V155</f>
        <v>หมากรุก</v>
      </c>
      <c r="AG120" s="219" t="s">
        <v>32</v>
      </c>
      <c r="AH120" s="240">
        <v>12</v>
      </c>
      <c r="AI120" s="240" t="s">
        <v>139</v>
      </c>
      <c r="AJ120" s="240" t="s">
        <v>249</v>
      </c>
      <c r="AK120" s="240" t="s">
        <v>303</v>
      </c>
      <c r="AL120" s="240" t="s">
        <v>254</v>
      </c>
      <c r="AM120" t="str">
        <f>W148</f>
        <v>เรือบรรทุกสินค้า</v>
      </c>
      <c r="AN120" s="141">
        <v>115</v>
      </c>
      <c r="AO120" s="148">
        <v>15</v>
      </c>
      <c r="AP120" s="217" t="s">
        <v>304</v>
      </c>
      <c r="AQ120" s="148" t="s">
        <v>241</v>
      </c>
      <c r="AS120" s="244" t="s">
        <v>305</v>
      </c>
      <c r="AT120" s="214"/>
      <c r="AU120" s="214"/>
      <c r="AV120" s="232"/>
    </row>
    <row r="121" spans="11:48" ht="15" thickBot="1" x14ac:dyDescent="0.25">
      <c r="K121" s="231"/>
      <c r="P121" s="148"/>
      <c r="Q121" s="148"/>
      <c r="R121" s="158"/>
      <c r="Z121" s="148"/>
      <c r="AA121" s="148"/>
      <c r="AB121" s="158"/>
      <c r="AV121" s="232"/>
    </row>
    <row r="122" spans="11:48" ht="15" thickBot="1" x14ac:dyDescent="0.25">
      <c r="K122" s="231"/>
      <c r="L122" s="219">
        <v>2</v>
      </c>
      <c r="M122" s="219"/>
      <c r="N122" s="219" t="s">
        <v>30</v>
      </c>
      <c r="O122" s="245"/>
      <c r="P122" s="245"/>
      <c r="Q122" s="245"/>
      <c r="R122" s="245"/>
      <c r="S122" s="245"/>
      <c r="T122" s="238" t="s">
        <v>246</v>
      </c>
      <c r="W122" s="219">
        <v>4</v>
      </c>
      <c r="X122" s="219" t="s">
        <v>31</v>
      </c>
      <c r="Y122" s="246"/>
      <c r="Z122" s="246"/>
      <c r="AA122" s="246"/>
      <c r="AB122" s="246"/>
      <c r="AC122" s="246"/>
      <c r="AD122" s="238" t="s">
        <v>246</v>
      </c>
      <c r="AP122" s="217"/>
      <c r="AV122" s="232"/>
    </row>
    <row r="123" spans="11:48" x14ac:dyDescent="0.2">
      <c r="K123" s="231"/>
      <c r="N123" s="219" t="s">
        <v>30</v>
      </c>
      <c r="O123" s="240">
        <v>1</v>
      </c>
      <c r="P123" s="240" t="s">
        <v>151</v>
      </c>
      <c r="Q123" s="240" t="s">
        <v>249</v>
      </c>
      <c r="R123" s="242" t="s">
        <v>306</v>
      </c>
      <c r="S123" s="240" t="s">
        <v>307</v>
      </c>
      <c r="T123" t="str">
        <f>T147</f>
        <v>กองเชียร์</v>
      </c>
      <c r="X123" s="219" t="s">
        <v>31</v>
      </c>
      <c r="Y123" s="240">
        <v>1</v>
      </c>
      <c r="Z123" s="240" t="s">
        <v>182</v>
      </c>
      <c r="AA123" s="240" t="s">
        <v>249</v>
      </c>
      <c r="AB123" s="240" t="s">
        <v>308</v>
      </c>
      <c r="AC123" s="240" t="s">
        <v>309</v>
      </c>
      <c r="AD123" t="str">
        <f>T144</f>
        <v>งูลอกคราบ</v>
      </c>
      <c r="AP123" s="217"/>
      <c r="AV123" s="232"/>
    </row>
    <row r="124" spans="11:48" x14ac:dyDescent="0.2">
      <c r="K124" s="231"/>
      <c r="N124" s="219" t="s">
        <v>30</v>
      </c>
      <c r="O124" s="240">
        <v>2</v>
      </c>
      <c r="P124" s="242" t="s">
        <v>310</v>
      </c>
      <c r="Q124" s="240" t="s">
        <v>249</v>
      </c>
      <c r="R124" s="240" t="s">
        <v>311</v>
      </c>
      <c r="S124" s="240" t="s">
        <v>307</v>
      </c>
      <c r="T124" t="str">
        <f>U147</f>
        <v>ขบวนสวนสนาม</v>
      </c>
      <c r="X124" s="219" t="s">
        <v>31</v>
      </c>
      <c r="Y124" s="240">
        <v>2</v>
      </c>
      <c r="Z124" s="240" t="s">
        <v>158</v>
      </c>
      <c r="AA124" s="240" t="s">
        <v>249</v>
      </c>
      <c r="AB124" s="242" t="s">
        <v>133</v>
      </c>
      <c r="AC124" s="240" t="s">
        <v>309</v>
      </c>
      <c r="AD124" t="str">
        <f>U144</f>
        <v>สิงห์โตล่าเหยื่อ</v>
      </c>
      <c r="AP124" s="217"/>
      <c r="AV124" s="232"/>
    </row>
    <row r="125" spans="11:48" x14ac:dyDescent="0.2">
      <c r="K125" s="231"/>
      <c r="N125" s="219" t="s">
        <v>30</v>
      </c>
      <c r="O125" s="240">
        <v>3</v>
      </c>
      <c r="P125" s="242" t="s">
        <v>312</v>
      </c>
      <c r="Q125" s="240" t="s">
        <v>249</v>
      </c>
      <c r="R125" s="240" t="s">
        <v>313</v>
      </c>
      <c r="S125" s="240" t="s">
        <v>307</v>
      </c>
      <c r="T125" t="str">
        <f>V147</f>
        <v>วงดนตรี</v>
      </c>
      <c r="X125" s="219" t="s">
        <v>31</v>
      </c>
      <c r="Y125" s="240">
        <v>3</v>
      </c>
      <c r="Z125" s="240" t="s">
        <v>184</v>
      </c>
      <c r="AA125" s="240" t="s">
        <v>249</v>
      </c>
      <c r="AB125" s="240" t="s">
        <v>154</v>
      </c>
      <c r="AC125" s="240" t="s">
        <v>309</v>
      </c>
      <c r="AD125" t="str">
        <f>V144</f>
        <v>ฝูงปลาว่าย</v>
      </c>
      <c r="AV125" s="232"/>
    </row>
    <row r="126" spans="11:48" x14ac:dyDescent="0.2">
      <c r="K126" s="231"/>
      <c r="N126" s="219" t="s">
        <v>30</v>
      </c>
      <c r="O126" s="240">
        <v>4</v>
      </c>
      <c r="P126" s="240" t="s">
        <v>234</v>
      </c>
      <c r="Q126" s="240" t="s">
        <v>249</v>
      </c>
      <c r="R126" s="240" t="s">
        <v>223</v>
      </c>
      <c r="S126" s="240" t="s">
        <v>307</v>
      </c>
      <c r="T126" t="str">
        <f>W147</f>
        <v>งานก่อสร้าง</v>
      </c>
      <c r="X126" s="219" t="s">
        <v>31</v>
      </c>
      <c r="Y126" s="240">
        <v>4</v>
      </c>
      <c r="Z126" s="240" t="s">
        <v>210</v>
      </c>
      <c r="AA126" s="240" t="s">
        <v>249</v>
      </c>
      <c r="AB126" s="240" t="s">
        <v>314</v>
      </c>
      <c r="AC126" s="240" t="s">
        <v>309</v>
      </c>
      <c r="AD126" t="str">
        <f>W144</f>
        <v>นกบินอพยพ</v>
      </c>
      <c r="AV126" s="232"/>
    </row>
    <row r="127" spans="11:48" x14ac:dyDescent="0.2">
      <c r="K127" s="231"/>
      <c r="N127" s="219" t="s">
        <v>30</v>
      </c>
      <c r="O127" s="240">
        <v>5</v>
      </c>
      <c r="P127" s="240" t="s">
        <v>218</v>
      </c>
      <c r="Q127" s="240" t="s">
        <v>249</v>
      </c>
      <c r="R127" s="242" t="s">
        <v>315</v>
      </c>
      <c r="S127" s="240" t="s">
        <v>307</v>
      </c>
      <c r="T127" t="str">
        <f>T150</f>
        <v>ประภาคาร</v>
      </c>
      <c r="X127" s="219" t="s">
        <v>31</v>
      </c>
      <c r="Y127" s="240">
        <v>5</v>
      </c>
      <c r="Z127" s="240" t="s">
        <v>167</v>
      </c>
      <c r="AA127" s="240" t="s">
        <v>249</v>
      </c>
      <c r="AB127" s="240" t="s">
        <v>316</v>
      </c>
      <c r="AC127" s="240" t="s">
        <v>309</v>
      </c>
      <c r="AD127" t="str">
        <f>T149</f>
        <v>คนอ่านหนังสือ</v>
      </c>
      <c r="AV127" s="232"/>
    </row>
    <row r="128" spans="11:48" x14ac:dyDescent="0.2">
      <c r="K128" s="231"/>
      <c r="N128" s="219" t="s">
        <v>30</v>
      </c>
      <c r="O128" s="240">
        <v>6</v>
      </c>
      <c r="P128" s="240" t="s">
        <v>317</v>
      </c>
      <c r="Q128" s="240" t="s">
        <v>249</v>
      </c>
      <c r="R128" s="240" t="s">
        <v>318</v>
      </c>
      <c r="S128" s="240" t="s">
        <v>307</v>
      </c>
      <c r="T128" t="str">
        <f>U150</f>
        <v>เข็มทิศ</v>
      </c>
      <c r="X128" s="219" t="s">
        <v>31</v>
      </c>
      <c r="Y128" s="240">
        <v>6</v>
      </c>
      <c r="Z128" s="240" t="s">
        <v>168</v>
      </c>
      <c r="AA128" s="240" t="s">
        <v>249</v>
      </c>
      <c r="AB128" s="240" t="s">
        <v>129</v>
      </c>
      <c r="AC128" s="240" t="s">
        <v>309</v>
      </c>
      <c r="AD128" t="str">
        <f>U149</f>
        <v>ห้องทดลอง</v>
      </c>
      <c r="AV128" s="232"/>
    </row>
    <row r="129" spans="1:48" x14ac:dyDescent="0.2">
      <c r="K129" s="231"/>
      <c r="N129" s="219" t="s">
        <v>30</v>
      </c>
      <c r="O129" s="240">
        <v>7</v>
      </c>
      <c r="P129" s="240" t="s">
        <v>163</v>
      </c>
      <c r="Q129" s="240" t="s">
        <v>249</v>
      </c>
      <c r="R129" s="240" t="s">
        <v>319</v>
      </c>
      <c r="S129" s="240" t="s">
        <v>307</v>
      </c>
      <c r="T129" t="str">
        <f>V150</f>
        <v>แว่นขยาย</v>
      </c>
      <c r="X129" s="219" t="s">
        <v>31</v>
      </c>
      <c r="Y129" s="240">
        <v>7</v>
      </c>
      <c r="Z129" s="240" t="s">
        <v>145</v>
      </c>
      <c r="AA129" s="240" t="s">
        <v>249</v>
      </c>
      <c r="AB129" s="240" t="s">
        <v>320</v>
      </c>
      <c r="AC129" s="240" t="s">
        <v>309</v>
      </c>
      <c r="AD129" t="str">
        <f>V149</f>
        <v>คนเดียวนั่งคิด</v>
      </c>
      <c r="AH129" t="s">
        <v>321</v>
      </c>
      <c r="AV129" s="232"/>
    </row>
    <row r="130" spans="1:48" x14ac:dyDescent="0.2">
      <c r="K130" s="231"/>
      <c r="N130" s="219" t="s">
        <v>30</v>
      </c>
      <c r="O130" s="240">
        <v>8</v>
      </c>
      <c r="P130" s="240" t="s">
        <v>196</v>
      </c>
      <c r="Q130" s="240" t="s">
        <v>249</v>
      </c>
      <c r="R130" s="240" t="s">
        <v>322</v>
      </c>
      <c r="S130" s="240" t="s">
        <v>307</v>
      </c>
      <c r="T130" t="str">
        <f>W150</f>
        <v>แผนที่โลก</v>
      </c>
      <c r="X130" s="219" t="s">
        <v>31</v>
      </c>
      <c r="Y130" s="240">
        <v>8</v>
      </c>
      <c r="Z130" s="240" t="s">
        <v>323</v>
      </c>
      <c r="AA130" s="240" t="s">
        <v>249</v>
      </c>
      <c r="AB130" s="240" t="s">
        <v>215</v>
      </c>
      <c r="AC130" s="240" t="s">
        <v>309</v>
      </c>
      <c r="AD130" t="str">
        <f>W149</f>
        <v>คนในห้องประชุม</v>
      </c>
      <c r="AH130" t="s">
        <v>324</v>
      </c>
      <c r="AV130" s="232"/>
    </row>
    <row r="131" spans="1:48" x14ac:dyDescent="0.2">
      <c r="K131" s="231"/>
      <c r="N131" s="219" t="s">
        <v>30</v>
      </c>
      <c r="O131" s="240">
        <v>9</v>
      </c>
      <c r="P131" s="240" t="s">
        <v>201</v>
      </c>
      <c r="Q131" s="240" t="s">
        <v>249</v>
      </c>
      <c r="R131" s="240" t="s">
        <v>202</v>
      </c>
      <c r="S131" s="240" t="s">
        <v>307</v>
      </c>
      <c r="T131" t="str">
        <f>T151</f>
        <v>ภูเขาไฟระเบิด</v>
      </c>
      <c r="X131" s="219" t="s">
        <v>31</v>
      </c>
      <c r="Y131" s="240">
        <v>9</v>
      </c>
      <c r="Z131" s="240" t="s">
        <v>211</v>
      </c>
      <c r="AA131" s="240" t="s">
        <v>249</v>
      </c>
      <c r="AB131" s="242" t="s">
        <v>213</v>
      </c>
      <c r="AC131" s="240" t="s">
        <v>309</v>
      </c>
      <c r="AD131" t="str">
        <f>T154</f>
        <v>ผังองค์กร</v>
      </c>
      <c r="AH131">
        <v>1</v>
      </c>
      <c r="AI131" t="s">
        <v>325</v>
      </c>
      <c r="AV131" s="232"/>
    </row>
    <row r="132" spans="1:48" x14ac:dyDescent="0.2">
      <c r="K132" s="231"/>
      <c r="N132" s="219" t="s">
        <v>30</v>
      </c>
      <c r="O132" s="240">
        <v>10</v>
      </c>
      <c r="P132" s="240" t="s">
        <v>132</v>
      </c>
      <c r="Q132" s="240" t="s">
        <v>249</v>
      </c>
      <c r="R132" s="240" t="s">
        <v>326</v>
      </c>
      <c r="S132" s="240" t="s">
        <v>307</v>
      </c>
      <c r="T132" t="str">
        <f>U151</f>
        <v>ลมพายุ</v>
      </c>
      <c r="X132" s="219" t="s">
        <v>31</v>
      </c>
      <c r="Y132" s="240">
        <v>10</v>
      </c>
      <c r="Z132" s="240" t="s">
        <v>176</v>
      </c>
      <c r="AA132" s="240" t="s">
        <v>249</v>
      </c>
      <c r="AB132" s="240" t="s">
        <v>227</v>
      </c>
      <c r="AC132" s="240" t="s">
        <v>309</v>
      </c>
      <c r="AD132" t="str">
        <f>U154</f>
        <v>ชาร์ตควบคุม</v>
      </c>
      <c r="AH132">
        <v>2</v>
      </c>
      <c r="AI132" t="s">
        <v>327</v>
      </c>
      <c r="AV132" s="232"/>
    </row>
    <row r="133" spans="1:48" x14ac:dyDescent="0.2">
      <c r="K133" s="231"/>
      <c r="N133" s="219" t="s">
        <v>30</v>
      </c>
      <c r="O133" s="240">
        <v>11</v>
      </c>
      <c r="P133" s="240" t="s">
        <v>146</v>
      </c>
      <c r="Q133" s="240" t="s">
        <v>249</v>
      </c>
      <c r="R133" s="240" t="s">
        <v>328</v>
      </c>
      <c r="S133" s="240" t="s">
        <v>307</v>
      </c>
      <c r="T133" t="str">
        <f>V151</f>
        <v>ฝนตก</v>
      </c>
      <c r="X133" s="219" t="s">
        <v>31</v>
      </c>
      <c r="Y133" s="240">
        <v>11</v>
      </c>
      <c r="Z133" s="240" t="s">
        <v>208</v>
      </c>
      <c r="AA133" s="240" t="s">
        <v>249</v>
      </c>
      <c r="AB133" s="240" t="s">
        <v>329</v>
      </c>
      <c r="AC133" s="240" t="s">
        <v>309</v>
      </c>
      <c r="AD133" t="str">
        <f>V154</f>
        <v>2 คนเชคแฮนด์</v>
      </c>
      <c r="AH133">
        <v>3</v>
      </c>
      <c r="AI133" t="s">
        <v>330</v>
      </c>
      <c r="AV133" s="232"/>
    </row>
    <row r="134" spans="1:48" x14ac:dyDescent="0.2">
      <c r="K134" s="231"/>
      <c r="N134" s="219" t="s">
        <v>30</v>
      </c>
      <c r="O134" s="240">
        <v>12</v>
      </c>
      <c r="P134" s="240" t="s">
        <v>187</v>
      </c>
      <c r="Q134" s="240" t="s">
        <v>249</v>
      </c>
      <c r="R134" s="240" t="s">
        <v>331</v>
      </c>
      <c r="S134" s="240" t="s">
        <v>307</v>
      </c>
      <c r="T134" t="str">
        <f>W151</f>
        <v>หิมะตก</v>
      </c>
      <c r="X134" s="219" t="s">
        <v>31</v>
      </c>
      <c r="Y134" s="240">
        <v>12</v>
      </c>
      <c r="Z134" s="240" t="s">
        <v>200</v>
      </c>
      <c r="AA134" s="240" t="s">
        <v>249</v>
      </c>
      <c r="AB134" s="240" t="s">
        <v>332</v>
      </c>
      <c r="AC134" s="240" t="s">
        <v>309</v>
      </c>
      <c r="AD134" t="str">
        <f>W154</f>
        <v>ฝักไข่เป็นตัว</v>
      </c>
      <c r="AH134">
        <v>4</v>
      </c>
      <c r="AI134" t="s">
        <v>333</v>
      </c>
      <c r="AV134" s="232"/>
    </row>
    <row r="135" spans="1:48" x14ac:dyDescent="0.2">
      <c r="K135" s="231"/>
      <c r="Z135" s="148"/>
      <c r="AA135" s="148"/>
      <c r="AH135">
        <v>5</v>
      </c>
      <c r="AI135" t="s">
        <v>334</v>
      </c>
      <c r="AV135" s="232"/>
    </row>
    <row r="136" spans="1:48" x14ac:dyDescent="0.2">
      <c r="K136" s="231"/>
      <c r="Z136" s="148"/>
      <c r="AA136" s="148"/>
      <c r="AH136">
        <v>6</v>
      </c>
      <c r="AI136" t="s">
        <v>335</v>
      </c>
      <c r="AV136" s="232"/>
    </row>
    <row r="137" spans="1:48" x14ac:dyDescent="0.2">
      <c r="K137" s="231"/>
      <c r="Z137" s="148"/>
      <c r="AA137" s="148"/>
      <c r="AH137">
        <v>7</v>
      </c>
      <c r="AI137" t="s">
        <v>336</v>
      </c>
      <c r="AV137" s="232"/>
    </row>
    <row r="138" spans="1:48" x14ac:dyDescent="0.2">
      <c r="K138" s="231"/>
      <c r="Z138" s="148"/>
      <c r="AA138" s="148"/>
      <c r="AV138" s="232"/>
    </row>
    <row r="139" spans="1:48" ht="18.75" thickBot="1" x14ac:dyDescent="0.3">
      <c r="K139" s="231"/>
      <c r="L139" s="247" t="s">
        <v>337</v>
      </c>
      <c r="M139" s="247"/>
      <c r="Q139" s="141" t="s">
        <v>338</v>
      </c>
      <c r="T139" s="248">
        <v>1</v>
      </c>
      <c r="U139" s="248">
        <v>2</v>
      </c>
      <c r="V139" s="248">
        <v>3</v>
      </c>
      <c r="W139" s="248">
        <v>4</v>
      </c>
      <c r="Z139" s="148"/>
      <c r="AA139" s="148"/>
      <c r="AV139" s="232"/>
    </row>
    <row r="140" spans="1:48" ht="15" thickBot="1" x14ac:dyDescent="0.25">
      <c r="A140" s="238" t="s">
        <v>339</v>
      </c>
      <c r="B140" s="238" t="s">
        <v>37</v>
      </c>
      <c r="C140" s="238" t="s">
        <v>538</v>
      </c>
      <c r="D140" s="309" t="s">
        <v>540</v>
      </c>
      <c r="E140" s="238" t="s">
        <v>38</v>
      </c>
      <c r="F140" s="316"/>
      <c r="G140" s="309"/>
      <c r="H140" s="309"/>
      <c r="I140" s="309"/>
      <c r="J140" s="309"/>
      <c r="K140" s="238"/>
      <c r="L140" s="310" t="s">
        <v>340</v>
      </c>
      <c r="M140" s="238" t="s">
        <v>341</v>
      </c>
      <c r="N140" s="238" t="s">
        <v>342</v>
      </c>
      <c r="O140" s="238" t="s">
        <v>343</v>
      </c>
      <c r="T140" s="249"/>
      <c r="U140" s="249"/>
      <c r="V140" s="249"/>
      <c r="W140" s="249"/>
      <c r="Z140" s="148"/>
      <c r="AA140" s="148"/>
      <c r="AV140" s="232"/>
    </row>
    <row r="141" spans="1:48" x14ac:dyDescent="0.2">
      <c r="A141" s="250">
        <v>1</v>
      </c>
      <c r="B141" s="307">
        <v>1</v>
      </c>
      <c r="C141" s="308">
        <v>1</v>
      </c>
      <c r="D141" s="307">
        <v>2</v>
      </c>
      <c r="E141" s="322">
        <f>'Standard Avalrem Table'!C40</f>
        <v>30.556329701673157</v>
      </c>
      <c r="F141" s="307"/>
      <c r="G141" s="307"/>
      <c r="H141" s="307"/>
      <c r="I141" s="307"/>
      <c r="J141" s="307"/>
      <c r="K141" s="308"/>
      <c r="L141" s="261" t="s">
        <v>30</v>
      </c>
      <c r="M141" s="262"/>
      <c r="N141" s="263" t="str">
        <f>$R$123</f>
        <v>Commit</v>
      </c>
      <c r="O141" s="264" t="s">
        <v>356</v>
      </c>
      <c r="Q141">
        <v>1</v>
      </c>
      <c r="R141" t="s">
        <v>345</v>
      </c>
      <c r="S141" s="217" t="s">
        <v>32</v>
      </c>
      <c r="T141" s="254" t="s">
        <v>346</v>
      </c>
      <c r="U141" s="254" t="s">
        <v>347</v>
      </c>
      <c r="V141" s="255" t="s">
        <v>348</v>
      </c>
      <c r="W141" s="254" t="s">
        <v>349</v>
      </c>
      <c r="Z141" s="148"/>
      <c r="AA141" s="148"/>
      <c r="AV141" s="232"/>
    </row>
    <row r="142" spans="1:48" x14ac:dyDescent="0.2">
      <c r="A142" s="256">
        <v>2</v>
      </c>
      <c r="B142" s="307">
        <v>1</v>
      </c>
      <c r="C142" s="311">
        <v>1</v>
      </c>
      <c r="D142" s="307">
        <v>1</v>
      </c>
      <c r="E142" s="322">
        <f>'Standard Avalrem Table'!C25</f>
        <v>12.468302506855878</v>
      </c>
      <c r="F142" s="307"/>
      <c r="G142" s="307"/>
      <c r="H142" s="307"/>
      <c r="I142" s="307"/>
      <c r="J142" s="307"/>
      <c r="K142" s="311"/>
      <c r="L142" s="261" t="s">
        <v>30</v>
      </c>
      <c r="M142" s="262"/>
      <c r="N142" s="263" t="str">
        <f>$P$123</f>
        <v>Confirm</v>
      </c>
      <c r="O142" s="264" t="s">
        <v>356</v>
      </c>
      <c r="Q142">
        <v>2</v>
      </c>
      <c r="R142" t="s">
        <v>351</v>
      </c>
      <c r="S142" s="219" t="s">
        <v>33</v>
      </c>
      <c r="T142" s="254" t="s">
        <v>352</v>
      </c>
      <c r="U142" s="254" t="s">
        <v>353</v>
      </c>
      <c r="V142" s="254" t="s">
        <v>354</v>
      </c>
      <c r="W142" s="254" t="s">
        <v>355</v>
      </c>
      <c r="Z142" s="148"/>
      <c r="AA142" s="148"/>
      <c r="AV142" s="232"/>
    </row>
    <row r="143" spans="1:48" x14ac:dyDescent="0.2">
      <c r="A143" s="256">
        <v>3</v>
      </c>
      <c r="B143" s="307">
        <v>2</v>
      </c>
      <c r="C143" s="311">
        <v>1</v>
      </c>
      <c r="D143" s="307">
        <v>2</v>
      </c>
      <c r="E143" s="322">
        <f>'Standard Avalrem Table'!C41</f>
        <v>31.849172107335839</v>
      </c>
      <c r="F143" s="307"/>
      <c r="G143" s="307"/>
      <c r="H143" s="307"/>
      <c r="I143" s="307"/>
      <c r="J143" s="307"/>
      <c r="K143" s="311"/>
      <c r="L143" s="261" t="s">
        <v>30</v>
      </c>
      <c r="M143" s="262"/>
      <c r="N143" s="263" t="str">
        <f>$R$124</f>
        <v>Assess</v>
      </c>
      <c r="O143" s="264" t="s">
        <v>356</v>
      </c>
      <c r="Q143">
        <v>3</v>
      </c>
      <c r="R143" t="s">
        <v>357</v>
      </c>
      <c r="S143" s="219" t="s">
        <v>33</v>
      </c>
      <c r="T143" s="254" t="s">
        <v>358</v>
      </c>
      <c r="U143" s="254" t="s">
        <v>359</v>
      </c>
      <c r="V143" s="254" t="s">
        <v>360</v>
      </c>
      <c r="W143" s="254" t="s">
        <v>361</v>
      </c>
      <c r="Z143" s="148"/>
      <c r="AA143" s="148"/>
      <c r="AV143" s="232"/>
    </row>
    <row r="144" spans="1:48" x14ac:dyDescent="0.2">
      <c r="A144" s="256">
        <v>4</v>
      </c>
      <c r="B144" s="307">
        <v>2</v>
      </c>
      <c r="C144" s="311">
        <v>1</v>
      </c>
      <c r="D144" s="307">
        <v>1</v>
      </c>
      <c r="E144" s="322">
        <f>'Standard Avalrem Table'!C26</f>
        <v>15.430302415329463</v>
      </c>
      <c r="F144" s="307"/>
      <c r="G144" s="307"/>
      <c r="H144" s="307"/>
      <c r="I144" s="307"/>
      <c r="J144" s="307"/>
      <c r="K144" s="311"/>
      <c r="L144" s="261" t="s">
        <v>30</v>
      </c>
      <c r="M144" s="262" t="s">
        <v>173</v>
      </c>
      <c r="N144" s="263" t="str">
        <f>$P$124</f>
        <v>Forecast</v>
      </c>
      <c r="O144" s="264" t="s">
        <v>356</v>
      </c>
      <c r="Q144">
        <v>4</v>
      </c>
      <c r="R144" t="s">
        <v>363</v>
      </c>
      <c r="S144" s="223" t="s">
        <v>31</v>
      </c>
      <c r="T144" s="254" t="s">
        <v>364</v>
      </c>
      <c r="U144" s="254" t="s">
        <v>365</v>
      </c>
      <c r="V144" s="254" t="s">
        <v>366</v>
      </c>
      <c r="W144" s="254" t="s">
        <v>367</v>
      </c>
      <c r="Z144" s="148"/>
      <c r="AA144" s="148"/>
      <c r="AV144" s="232"/>
    </row>
    <row r="145" spans="1:48" x14ac:dyDescent="0.2">
      <c r="A145" s="256">
        <v>5</v>
      </c>
      <c r="B145" s="307">
        <v>3</v>
      </c>
      <c r="C145" s="311">
        <v>1</v>
      </c>
      <c r="D145" s="307">
        <v>2</v>
      </c>
      <c r="E145" s="322">
        <f>'Standard Avalrem Table'!C42</f>
        <v>33.142014512998522</v>
      </c>
      <c r="F145" s="307"/>
      <c r="G145" s="307"/>
      <c r="H145" s="307"/>
      <c r="I145" s="307"/>
      <c r="J145" s="307"/>
      <c r="K145" s="311"/>
      <c r="L145" s="261" t="s">
        <v>30</v>
      </c>
      <c r="M145" s="262"/>
      <c r="N145" s="263" t="str">
        <f>$R$125</f>
        <v>Formalize</v>
      </c>
      <c r="O145" s="264" t="s">
        <v>356</v>
      </c>
      <c r="Q145">
        <v>5</v>
      </c>
      <c r="R145" t="s">
        <v>368</v>
      </c>
      <c r="S145" s="268" t="s">
        <v>34</v>
      </c>
      <c r="T145" s="254" t="s">
        <v>369</v>
      </c>
      <c r="U145" s="254" t="s">
        <v>370</v>
      </c>
      <c r="V145" s="254" t="s">
        <v>371</v>
      </c>
      <c r="W145" s="254" t="s">
        <v>372</v>
      </c>
      <c r="Z145" s="148"/>
      <c r="AA145" s="148"/>
      <c r="AV145" s="232"/>
    </row>
    <row r="146" spans="1:48" x14ac:dyDescent="0.2">
      <c r="A146" s="256">
        <v>6</v>
      </c>
      <c r="B146" s="307">
        <v>3</v>
      </c>
      <c r="C146" s="311">
        <v>1</v>
      </c>
      <c r="D146" s="307">
        <v>1</v>
      </c>
      <c r="E146" s="322">
        <f>'Standard Avalrem Table'!C27</f>
        <v>15.474167876835413</v>
      </c>
      <c r="F146" s="307"/>
      <c r="G146" s="307"/>
      <c r="H146" s="307"/>
      <c r="I146" s="307"/>
      <c r="J146" s="307"/>
      <c r="K146" s="311"/>
      <c r="L146" s="261" t="s">
        <v>30</v>
      </c>
      <c r="M146" s="262" t="s">
        <v>137</v>
      </c>
      <c r="N146" s="263" t="str">
        <f>$P$125</f>
        <v>Order</v>
      </c>
      <c r="O146" s="264" t="s">
        <v>356</v>
      </c>
      <c r="Q146">
        <v>6</v>
      </c>
      <c r="R146" t="s">
        <v>374</v>
      </c>
      <c r="S146" s="217" t="s">
        <v>32</v>
      </c>
      <c r="T146" s="254" t="s">
        <v>375</v>
      </c>
      <c r="U146" s="254" t="s">
        <v>376</v>
      </c>
      <c r="V146" s="254" t="s">
        <v>377</v>
      </c>
      <c r="W146" s="254" t="s">
        <v>378</v>
      </c>
      <c r="Z146" s="148"/>
      <c r="AA146" s="148"/>
      <c r="AV146" s="232"/>
    </row>
    <row r="147" spans="1:48" x14ac:dyDescent="0.2">
      <c r="A147" s="256">
        <v>7</v>
      </c>
      <c r="B147" s="307">
        <v>4</v>
      </c>
      <c r="C147" s="311">
        <v>1</v>
      </c>
      <c r="D147" s="307">
        <v>2</v>
      </c>
      <c r="E147" s="322">
        <f>'Standard Avalrem Table'!C43</f>
        <v>33.142014512998522</v>
      </c>
      <c r="F147" s="307"/>
      <c r="G147" s="307"/>
      <c r="H147" s="307"/>
      <c r="I147" s="307"/>
      <c r="J147" s="307"/>
      <c r="K147" s="311"/>
      <c r="L147" s="261" t="s">
        <v>30</v>
      </c>
      <c r="M147" s="262"/>
      <c r="N147" s="263" t="str">
        <f>$R$126</f>
        <v>Inform</v>
      </c>
      <c r="O147" s="264" t="s">
        <v>356</v>
      </c>
      <c r="Q147">
        <v>7</v>
      </c>
      <c r="R147" t="s">
        <v>380</v>
      </c>
      <c r="S147" s="272" t="s">
        <v>30</v>
      </c>
      <c r="T147" s="254" t="s">
        <v>381</v>
      </c>
      <c r="U147" s="254" t="s">
        <v>382</v>
      </c>
      <c r="V147" s="254" t="s">
        <v>383</v>
      </c>
      <c r="W147" s="254" t="s">
        <v>384</v>
      </c>
      <c r="Z147" s="148"/>
      <c r="AA147" s="148"/>
      <c r="AV147" s="232"/>
    </row>
    <row r="148" spans="1:48" x14ac:dyDescent="0.2">
      <c r="A148" s="256">
        <v>8</v>
      </c>
      <c r="B148" s="307">
        <v>4</v>
      </c>
      <c r="C148" s="311">
        <v>1</v>
      </c>
      <c r="D148" s="307">
        <v>1</v>
      </c>
      <c r="E148" s="322">
        <f>'Standard Avalrem Table'!C28</f>
        <v>16.710066481666534</v>
      </c>
      <c r="F148" s="307"/>
      <c r="G148" s="307"/>
      <c r="H148" s="307"/>
      <c r="I148" s="307"/>
      <c r="J148" s="307"/>
      <c r="K148" s="311"/>
      <c r="L148" s="261" t="s">
        <v>30</v>
      </c>
      <c r="M148" s="262"/>
      <c r="N148" s="263" t="str">
        <f>$P$126</f>
        <v>Update</v>
      </c>
      <c r="O148" s="264" t="s">
        <v>356</v>
      </c>
      <c r="Q148">
        <v>8</v>
      </c>
      <c r="R148" t="s">
        <v>385</v>
      </c>
      <c r="S148" s="217" t="s">
        <v>32</v>
      </c>
      <c r="T148" s="254" t="s">
        <v>386</v>
      </c>
      <c r="U148" s="254" t="s">
        <v>387</v>
      </c>
      <c r="V148" s="254" t="s">
        <v>388</v>
      </c>
      <c r="W148" s="254" t="s">
        <v>389</v>
      </c>
      <c r="Z148" s="148"/>
      <c r="AA148" s="148"/>
      <c r="AV148" s="232"/>
    </row>
    <row r="149" spans="1:48" x14ac:dyDescent="0.2">
      <c r="A149" s="256">
        <v>9</v>
      </c>
      <c r="B149" s="307">
        <v>5</v>
      </c>
      <c r="C149" s="311">
        <v>1</v>
      </c>
      <c r="D149" s="307">
        <v>2</v>
      </c>
      <c r="E149" s="322">
        <f>'Standard Avalrem Table'!C44</f>
        <v>31.849172107335839</v>
      </c>
      <c r="F149" s="307"/>
      <c r="G149" s="307"/>
      <c r="H149" s="307"/>
      <c r="I149" s="307"/>
      <c r="J149" s="307"/>
      <c r="K149" s="311"/>
      <c r="L149" s="261" t="s">
        <v>30</v>
      </c>
      <c r="M149" s="262" t="s">
        <v>135</v>
      </c>
      <c r="N149" s="263" t="str">
        <f>$R$127</f>
        <v>Obtain</v>
      </c>
      <c r="O149" s="264" t="s">
        <v>356</v>
      </c>
      <c r="Q149">
        <v>9</v>
      </c>
      <c r="R149" t="s">
        <v>390</v>
      </c>
      <c r="S149" s="223" t="s">
        <v>31</v>
      </c>
      <c r="T149" s="254" t="s">
        <v>391</v>
      </c>
      <c r="U149" s="254" t="s">
        <v>392</v>
      </c>
      <c r="V149" s="254" t="s">
        <v>393</v>
      </c>
      <c r="W149" s="254" t="s">
        <v>394</v>
      </c>
      <c r="Z149" s="148"/>
      <c r="AA149" s="148"/>
      <c r="AV149" s="232"/>
    </row>
    <row r="150" spans="1:48" x14ac:dyDescent="0.2">
      <c r="A150" s="256">
        <v>10</v>
      </c>
      <c r="B150" s="307">
        <v>5</v>
      </c>
      <c r="C150" s="311">
        <v>1</v>
      </c>
      <c r="D150" s="307">
        <v>1</v>
      </c>
      <c r="E150" s="322">
        <f>'Standard Avalrem Table'!C29</f>
        <v>13.748066573192935</v>
      </c>
      <c r="F150" s="307"/>
      <c r="G150" s="307"/>
      <c r="H150" s="307"/>
      <c r="I150" s="307"/>
      <c r="J150" s="307"/>
      <c r="K150" s="311"/>
      <c r="L150" s="261" t="s">
        <v>30</v>
      </c>
      <c r="M150" s="262"/>
      <c r="N150" s="263" t="str">
        <f>$P$127</f>
        <v>Share</v>
      </c>
      <c r="O150" s="264" t="s">
        <v>356</v>
      </c>
      <c r="Q150">
        <v>10</v>
      </c>
      <c r="R150" t="s">
        <v>395</v>
      </c>
      <c r="S150" s="272" t="s">
        <v>30</v>
      </c>
      <c r="T150" s="254" t="s">
        <v>396</v>
      </c>
      <c r="U150" s="254" t="s">
        <v>397</v>
      </c>
      <c r="V150" s="254" t="s">
        <v>398</v>
      </c>
      <c r="W150" s="254" t="s">
        <v>399</v>
      </c>
      <c r="Z150" s="148"/>
      <c r="AA150" s="148"/>
      <c r="AV150" s="232"/>
    </row>
    <row r="151" spans="1:48" x14ac:dyDescent="0.2">
      <c r="A151" s="256">
        <v>11</v>
      </c>
      <c r="B151" s="307">
        <v>6</v>
      </c>
      <c r="C151" s="311">
        <v>1</v>
      </c>
      <c r="D151" s="307">
        <v>1</v>
      </c>
      <c r="E151" s="322">
        <f>'Standard Avalrem Table'!C30</f>
        <v>13.704201111686999</v>
      </c>
      <c r="F151" s="307"/>
      <c r="G151" s="307"/>
      <c r="H151" s="307"/>
      <c r="I151" s="307"/>
      <c r="J151" s="307"/>
      <c r="K151" s="311"/>
      <c r="L151" s="261" t="s">
        <v>30</v>
      </c>
      <c r="M151" s="262"/>
      <c r="N151" s="263" t="str">
        <f>$P$128</f>
        <v>Follow-up</v>
      </c>
      <c r="O151" s="264" t="s">
        <v>356</v>
      </c>
      <c r="Q151">
        <v>11</v>
      </c>
      <c r="R151" t="s">
        <v>400</v>
      </c>
      <c r="S151" s="272" t="s">
        <v>30</v>
      </c>
      <c r="T151" s="254" t="s">
        <v>401</v>
      </c>
      <c r="U151" s="254" t="s">
        <v>402</v>
      </c>
      <c r="V151" s="254" t="s">
        <v>403</v>
      </c>
      <c r="W151" s="254" t="s">
        <v>404</v>
      </c>
      <c r="Z151" s="148"/>
      <c r="AA151" s="148"/>
      <c r="AV151" s="232"/>
    </row>
    <row r="152" spans="1:48" x14ac:dyDescent="0.2">
      <c r="A152" s="256">
        <v>12</v>
      </c>
      <c r="B152" s="307">
        <v>6</v>
      </c>
      <c r="C152" s="311">
        <v>1</v>
      </c>
      <c r="D152" s="307">
        <v>2</v>
      </c>
      <c r="E152" s="322">
        <f>'Standard Avalrem Table'!C45</f>
        <v>30.556329701673157</v>
      </c>
      <c r="F152" s="307"/>
      <c r="G152" s="307"/>
      <c r="H152" s="307"/>
      <c r="I152" s="307"/>
      <c r="J152" s="307"/>
      <c r="K152" s="311"/>
      <c r="L152" s="261" t="s">
        <v>30</v>
      </c>
      <c r="M152" s="262"/>
      <c r="N152" s="263" t="str">
        <f>$R$128</f>
        <v>Warn</v>
      </c>
      <c r="O152" s="264" t="s">
        <v>356</v>
      </c>
      <c r="Q152">
        <v>12</v>
      </c>
      <c r="R152" t="s">
        <v>405</v>
      </c>
      <c r="S152" s="219" t="s">
        <v>33</v>
      </c>
      <c r="T152" s="254" t="s">
        <v>406</v>
      </c>
      <c r="U152" s="254" t="s">
        <v>407</v>
      </c>
      <c r="V152" s="254" t="s">
        <v>408</v>
      </c>
      <c r="W152" s="254" t="s">
        <v>409</v>
      </c>
      <c r="Z152" s="148"/>
      <c r="AA152" s="148"/>
      <c r="AV152" s="232"/>
    </row>
    <row r="153" spans="1:48" x14ac:dyDescent="0.2">
      <c r="A153" s="256">
        <v>13</v>
      </c>
      <c r="B153" s="307">
        <v>7</v>
      </c>
      <c r="C153" s="311">
        <v>1</v>
      </c>
      <c r="D153" s="307">
        <v>1</v>
      </c>
      <c r="E153" s="322">
        <f>'Standard Avalrem Table'!C31</f>
        <v>12.468302506855878</v>
      </c>
      <c r="F153" s="307"/>
      <c r="G153" s="307"/>
      <c r="H153" s="307"/>
      <c r="I153" s="307"/>
      <c r="J153" s="307"/>
      <c r="K153" s="311"/>
      <c r="L153" s="261" t="s">
        <v>30</v>
      </c>
      <c r="M153" s="262"/>
      <c r="N153" s="263" t="str">
        <f>$P$129</f>
        <v>Discuss</v>
      </c>
      <c r="O153" s="264" t="s">
        <v>356</v>
      </c>
      <c r="Q153">
        <v>13</v>
      </c>
      <c r="R153" t="s">
        <v>410</v>
      </c>
      <c r="S153" s="268" t="s">
        <v>34</v>
      </c>
      <c r="T153" s="254" t="s">
        <v>411</v>
      </c>
      <c r="U153" s="254" t="s">
        <v>412</v>
      </c>
      <c r="V153" s="254" t="s">
        <v>413</v>
      </c>
      <c r="W153" s="254" t="s">
        <v>414</v>
      </c>
      <c r="Z153" s="148"/>
      <c r="AA153" s="148"/>
      <c r="AV153" s="232"/>
    </row>
    <row r="154" spans="1:48" x14ac:dyDescent="0.2">
      <c r="A154" s="256">
        <v>14</v>
      </c>
      <c r="B154" s="307">
        <v>7</v>
      </c>
      <c r="C154" s="311">
        <v>1</v>
      </c>
      <c r="D154" s="307">
        <v>2</v>
      </c>
      <c r="E154" s="322">
        <f>'Standard Avalrem Table'!C46</f>
        <v>30.556329701673157</v>
      </c>
      <c r="F154" s="307"/>
      <c r="G154" s="307"/>
      <c r="H154" s="307"/>
      <c r="I154" s="307"/>
      <c r="J154" s="307"/>
      <c r="K154" s="311"/>
      <c r="L154" s="261" t="s">
        <v>30</v>
      </c>
      <c r="M154" s="262"/>
      <c r="N154" s="263" t="str">
        <f>$R$129</f>
        <v>Meet</v>
      </c>
      <c r="O154" s="264" t="s">
        <v>356</v>
      </c>
      <c r="Q154">
        <v>14</v>
      </c>
      <c r="R154" t="s">
        <v>415</v>
      </c>
      <c r="S154" s="223" t="s">
        <v>31</v>
      </c>
      <c r="T154" s="254" t="s">
        <v>416</v>
      </c>
      <c r="U154" s="254" t="s">
        <v>417</v>
      </c>
      <c r="V154" s="254" t="s">
        <v>418</v>
      </c>
      <c r="W154" s="254" t="s">
        <v>419</v>
      </c>
      <c r="Z154" s="148"/>
      <c r="AA154" s="148"/>
      <c r="AV154" s="232"/>
    </row>
    <row r="155" spans="1:48" x14ac:dyDescent="0.2">
      <c r="A155" s="256">
        <v>15</v>
      </c>
      <c r="B155" s="307">
        <v>8</v>
      </c>
      <c r="C155" s="311">
        <v>1</v>
      </c>
      <c r="D155" s="307">
        <v>2</v>
      </c>
      <c r="E155" s="322">
        <f>'Standard Avalrem Table'!C47</f>
        <v>31.849172107335839</v>
      </c>
      <c r="F155" s="307"/>
      <c r="G155" s="307"/>
      <c r="H155" s="307"/>
      <c r="I155" s="307"/>
      <c r="J155" s="307"/>
      <c r="K155" s="311"/>
      <c r="L155" s="261" t="s">
        <v>30</v>
      </c>
      <c r="M155" s="262"/>
      <c r="N155" s="263" t="str">
        <f>$R$130</f>
        <v>Learn</v>
      </c>
      <c r="O155" s="264" t="s">
        <v>356</v>
      </c>
      <c r="P155" s="148">
        <f>15*4</f>
        <v>60</v>
      </c>
      <c r="Q155">
        <v>15</v>
      </c>
      <c r="R155" t="s">
        <v>420</v>
      </c>
      <c r="S155" s="268" t="s">
        <v>34</v>
      </c>
      <c r="T155" s="254" t="s">
        <v>421</v>
      </c>
      <c r="U155" s="254" t="s">
        <v>422</v>
      </c>
      <c r="V155" s="254" t="s">
        <v>423</v>
      </c>
      <c r="W155" s="254" t="s">
        <v>424</v>
      </c>
      <c r="Z155" s="148"/>
      <c r="AA155" s="148"/>
      <c r="AV155" s="232"/>
    </row>
    <row r="156" spans="1:48" x14ac:dyDescent="0.2">
      <c r="A156" s="256">
        <v>16</v>
      </c>
      <c r="B156" s="307">
        <v>8</v>
      </c>
      <c r="C156" s="311">
        <v>1</v>
      </c>
      <c r="D156" s="307">
        <v>1</v>
      </c>
      <c r="E156" s="322">
        <f>'Standard Avalrem Table'!C32</f>
        <v>15.430302415329463</v>
      </c>
      <c r="F156" s="307"/>
      <c r="G156" s="307"/>
      <c r="H156" s="307"/>
      <c r="I156" s="307"/>
      <c r="J156" s="307"/>
      <c r="K156" s="311"/>
      <c r="L156" s="261" t="s">
        <v>30</v>
      </c>
      <c r="M156" s="262"/>
      <c r="N156" s="263" t="str">
        <f>$P$130</f>
        <v>Listen</v>
      </c>
      <c r="O156" s="264" t="s">
        <v>356</v>
      </c>
      <c r="P156" s="148"/>
      <c r="Z156" s="148"/>
      <c r="AA156" s="148"/>
      <c r="AV156" s="232"/>
    </row>
    <row r="157" spans="1:48" x14ac:dyDescent="0.2">
      <c r="A157" s="256">
        <v>17</v>
      </c>
      <c r="B157" s="307">
        <v>9</v>
      </c>
      <c r="C157" s="311">
        <v>1</v>
      </c>
      <c r="D157" s="307">
        <v>1</v>
      </c>
      <c r="E157" s="322">
        <f>'Standard Avalrem Table'!C33</f>
        <v>15.474167876835413</v>
      </c>
      <c r="F157" s="307"/>
      <c r="G157" s="307"/>
      <c r="H157" s="307"/>
      <c r="I157" s="307"/>
      <c r="J157" s="307"/>
      <c r="K157" s="311"/>
      <c r="L157" s="261" t="s">
        <v>30</v>
      </c>
      <c r="M157" s="262"/>
      <c r="N157" s="263" t="str">
        <f>$P$131</f>
        <v>Monitor</v>
      </c>
      <c r="O157" s="264" t="s">
        <v>356</v>
      </c>
      <c r="P157" s="148"/>
      <c r="Z157" s="148"/>
      <c r="AA157" s="148"/>
      <c r="AV157" s="232"/>
    </row>
    <row r="158" spans="1:48" x14ac:dyDescent="0.2">
      <c r="A158" s="256">
        <v>18</v>
      </c>
      <c r="B158" s="307">
        <v>9</v>
      </c>
      <c r="C158" s="311">
        <v>1</v>
      </c>
      <c r="D158" s="307">
        <v>2</v>
      </c>
      <c r="E158" s="322">
        <f>'Standard Avalrem Table'!C48</f>
        <v>33.142014512998522</v>
      </c>
      <c r="F158" s="307"/>
      <c r="G158" s="307"/>
      <c r="H158" s="307"/>
      <c r="I158" s="307"/>
      <c r="J158" s="307"/>
      <c r="K158" s="311"/>
      <c r="L158" s="261" t="s">
        <v>30</v>
      </c>
      <c r="M158" s="262"/>
      <c r="N158" s="263" t="str">
        <f>$R$131</f>
        <v>Observe</v>
      </c>
      <c r="O158" s="264" t="s">
        <v>356</v>
      </c>
      <c r="P158" s="148"/>
      <c r="Q158" s="141" t="s">
        <v>425</v>
      </c>
      <c r="S158" s="252" t="s">
        <v>426</v>
      </c>
      <c r="Z158" s="148"/>
      <c r="AA158" s="148"/>
      <c r="AV158" s="232"/>
    </row>
    <row r="159" spans="1:48" x14ac:dyDescent="0.2">
      <c r="A159" s="256">
        <v>19</v>
      </c>
      <c r="B159" s="307">
        <v>10</v>
      </c>
      <c r="C159" s="311">
        <v>1</v>
      </c>
      <c r="D159" s="307">
        <v>1</v>
      </c>
      <c r="E159" s="322">
        <f>'Standard Avalrem Table'!C34</f>
        <v>16.710066481666534</v>
      </c>
      <c r="F159" s="307"/>
      <c r="G159" s="307"/>
      <c r="H159" s="307"/>
      <c r="I159" s="307"/>
      <c r="J159" s="307"/>
      <c r="K159" s="311"/>
      <c r="L159" s="261" t="s">
        <v>30</v>
      </c>
      <c r="M159" s="262"/>
      <c r="N159" s="263" t="str">
        <f>$P$132</f>
        <v>Accelerate</v>
      </c>
      <c r="O159" s="264" t="s">
        <v>356</v>
      </c>
      <c r="P159" s="148"/>
      <c r="S159" s="254" t="s">
        <v>427</v>
      </c>
      <c r="T159" s="254" t="s">
        <v>428</v>
      </c>
      <c r="U159" s="254" t="s">
        <v>429</v>
      </c>
      <c r="V159" s="254" t="s">
        <v>430</v>
      </c>
      <c r="W159" s="254" t="s">
        <v>431</v>
      </c>
      <c r="Z159" s="148"/>
      <c r="AA159" s="148"/>
      <c r="AV159" s="232"/>
    </row>
    <row r="160" spans="1:48" x14ac:dyDescent="0.2">
      <c r="A160" s="256">
        <v>20</v>
      </c>
      <c r="B160" s="307">
        <v>10</v>
      </c>
      <c r="C160" s="311">
        <v>1</v>
      </c>
      <c r="D160" s="307">
        <v>2</v>
      </c>
      <c r="E160" s="322">
        <f>'Standard Avalrem Table'!C49</f>
        <v>33.142014512998522</v>
      </c>
      <c r="F160" s="307"/>
      <c r="G160" s="307"/>
      <c r="H160" s="307"/>
      <c r="I160" s="307"/>
      <c r="J160" s="307"/>
      <c r="K160" s="311"/>
      <c r="L160" s="261" t="s">
        <v>30</v>
      </c>
      <c r="M160" s="262"/>
      <c r="N160" s="263" t="str">
        <f>$R$132</f>
        <v>Run</v>
      </c>
      <c r="O160" s="264" t="s">
        <v>356</v>
      </c>
      <c r="P160" s="148"/>
      <c r="S160" s="254" t="s">
        <v>432</v>
      </c>
      <c r="T160" s="254" t="s">
        <v>433</v>
      </c>
      <c r="U160" s="254" t="s">
        <v>434</v>
      </c>
      <c r="V160" s="254" t="s">
        <v>435</v>
      </c>
      <c r="W160" s="254" t="s">
        <v>436</v>
      </c>
      <c r="Z160" s="148"/>
      <c r="AA160" s="148"/>
      <c r="AV160" s="232"/>
    </row>
    <row r="161" spans="1:48" x14ac:dyDescent="0.2">
      <c r="A161" s="256">
        <v>21</v>
      </c>
      <c r="B161" s="307">
        <v>11</v>
      </c>
      <c r="C161" s="311">
        <v>1</v>
      </c>
      <c r="D161" s="307">
        <v>1</v>
      </c>
      <c r="E161" s="322">
        <f>'Standard Avalrem Table'!C35</f>
        <v>13.748066573192935</v>
      </c>
      <c r="F161" s="307"/>
      <c r="G161" s="307"/>
      <c r="H161" s="307"/>
      <c r="I161" s="307"/>
      <c r="J161" s="307"/>
      <c r="K161" s="311"/>
      <c r="L161" s="261" t="s">
        <v>30</v>
      </c>
      <c r="M161" s="262"/>
      <c r="N161" s="263" t="str">
        <f>$P$133</f>
        <v>Check</v>
      </c>
      <c r="O161" s="264" t="s">
        <v>356</v>
      </c>
      <c r="P161" s="148">
        <f>3*5</f>
        <v>15</v>
      </c>
      <c r="S161" s="254"/>
      <c r="T161" s="254" t="s">
        <v>437</v>
      </c>
      <c r="U161" s="254" t="s">
        <v>438</v>
      </c>
      <c r="V161" s="254" t="s">
        <v>439</v>
      </c>
      <c r="W161" s="254" t="s">
        <v>440</v>
      </c>
      <c r="Z161" s="148"/>
      <c r="AA161" s="148"/>
      <c r="AV161" s="232"/>
    </row>
    <row r="162" spans="1:48" x14ac:dyDescent="0.2">
      <c r="A162" s="256">
        <v>22</v>
      </c>
      <c r="B162" s="307">
        <v>11</v>
      </c>
      <c r="C162" s="311">
        <v>1</v>
      </c>
      <c r="D162" s="307">
        <v>2</v>
      </c>
      <c r="E162" s="322">
        <f>'Standard Avalrem Table'!C50</f>
        <v>31.849172107335839</v>
      </c>
      <c r="F162" s="307"/>
      <c r="G162" s="307"/>
      <c r="H162" s="307"/>
      <c r="I162" s="307"/>
      <c r="J162" s="307"/>
      <c r="K162" s="311"/>
      <c r="L162" s="261" t="s">
        <v>30</v>
      </c>
      <c r="M162" s="262"/>
      <c r="N162" s="263" t="str">
        <f>$R$133</f>
        <v>Review</v>
      </c>
      <c r="O162" s="264" t="s">
        <v>356</v>
      </c>
      <c r="P162" s="148"/>
      <c r="Z162" s="148"/>
      <c r="AA162" s="148"/>
      <c r="AV162" s="232"/>
    </row>
    <row r="163" spans="1:48" x14ac:dyDescent="0.2">
      <c r="A163" s="256">
        <v>23</v>
      </c>
      <c r="B163" s="307">
        <v>12</v>
      </c>
      <c r="C163" s="311">
        <v>1</v>
      </c>
      <c r="D163" s="307">
        <v>2</v>
      </c>
      <c r="E163" s="322">
        <f>'Standard Avalrem Table'!C51</f>
        <v>30.556329701673157</v>
      </c>
      <c r="F163" s="307"/>
      <c r="G163" s="307"/>
      <c r="H163" s="307"/>
      <c r="I163" s="307"/>
      <c r="J163" s="307"/>
      <c r="K163" s="311"/>
      <c r="L163" s="261" t="s">
        <v>30</v>
      </c>
      <c r="M163" s="262"/>
      <c r="N163" s="263" t="str">
        <f>$R$134</f>
        <v>Identify</v>
      </c>
      <c r="O163" s="264" t="s">
        <v>356</v>
      </c>
      <c r="P163" s="148"/>
      <c r="Z163" s="148"/>
      <c r="AA163" s="148"/>
      <c r="AV163" s="232"/>
    </row>
    <row r="164" spans="1:48" ht="15" thickBot="1" x14ac:dyDescent="0.25">
      <c r="A164" s="256">
        <v>24</v>
      </c>
      <c r="B164" s="307">
        <v>12</v>
      </c>
      <c r="C164" s="311">
        <v>1</v>
      </c>
      <c r="D164" s="307">
        <v>1</v>
      </c>
      <c r="E164" s="322">
        <f>'Standard Avalrem Table'!C36</f>
        <v>13.704201111686999</v>
      </c>
      <c r="F164" s="307"/>
      <c r="G164" s="307"/>
      <c r="H164" s="307"/>
      <c r="I164" s="307"/>
      <c r="J164" s="307"/>
      <c r="K164" s="311"/>
      <c r="L164" s="261" t="s">
        <v>30</v>
      </c>
      <c r="M164" s="262"/>
      <c r="N164" s="263" t="str">
        <f>$P$134</f>
        <v>Investigate</v>
      </c>
      <c r="O164" s="264" t="s">
        <v>356</v>
      </c>
      <c r="P164" s="148"/>
      <c r="Q164" s="141" t="s">
        <v>441</v>
      </c>
      <c r="S164" s="252" t="s">
        <v>442</v>
      </c>
      <c r="T164" s="273" t="s">
        <v>443</v>
      </c>
      <c r="U164" s="214"/>
      <c r="V164" s="214"/>
      <c r="Z164" s="148"/>
      <c r="AA164" s="148"/>
      <c r="AV164" s="232"/>
    </row>
    <row r="165" spans="1:48" ht="15" thickBot="1" x14ac:dyDescent="0.25">
      <c r="A165" s="256">
        <v>25</v>
      </c>
      <c r="B165" s="215">
        <v>1</v>
      </c>
      <c r="C165" s="315">
        <v>5</v>
      </c>
      <c r="D165" s="215">
        <v>2</v>
      </c>
      <c r="E165" s="66">
        <f>'Standard Avalrem Table'!G40</f>
        <v>27.982311437835833</v>
      </c>
      <c r="F165" s="215"/>
      <c r="G165" s="215"/>
      <c r="H165" s="215"/>
      <c r="I165" s="215"/>
      <c r="J165" s="215"/>
      <c r="K165" s="315"/>
      <c r="L165" s="214" t="s">
        <v>34</v>
      </c>
      <c r="M165" s="251"/>
      <c r="N165" s="252" t="str">
        <f>$AB$109</f>
        <v>Correct</v>
      </c>
      <c r="O165" s="253" t="s">
        <v>344</v>
      </c>
      <c r="P165" s="148"/>
      <c r="S165" s="274" t="s">
        <v>444</v>
      </c>
      <c r="T165" s="275" t="s">
        <v>445</v>
      </c>
      <c r="U165" s="275" t="s">
        <v>446</v>
      </c>
      <c r="V165" s="275" t="s">
        <v>447</v>
      </c>
      <c r="W165" s="276" t="s">
        <v>448</v>
      </c>
      <c r="Z165" s="148"/>
      <c r="AA165" s="148"/>
      <c r="AV165" s="232"/>
    </row>
    <row r="166" spans="1:48" ht="15" thickBot="1" x14ac:dyDescent="0.25">
      <c r="A166" s="256">
        <v>26</v>
      </c>
      <c r="B166" s="215">
        <v>1</v>
      </c>
      <c r="C166" s="315">
        <v>5</v>
      </c>
      <c r="D166" s="215">
        <v>1</v>
      </c>
      <c r="E166" s="66">
        <f>'Standard Avalrem Table'!G25</f>
        <v>12.067767424188476</v>
      </c>
      <c r="F166" s="215"/>
      <c r="G166" s="215"/>
      <c r="H166" s="215"/>
      <c r="I166" s="215"/>
      <c r="J166" s="215"/>
      <c r="K166" s="315"/>
      <c r="L166" s="214" t="s">
        <v>34</v>
      </c>
      <c r="M166" s="251"/>
      <c r="N166" s="252" t="str">
        <f>$Z$109</f>
        <v>Justify</v>
      </c>
      <c r="O166" s="253" t="s">
        <v>344</v>
      </c>
      <c r="P166" s="148"/>
      <c r="R166" s="249"/>
      <c r="S166" s="277" t="s">
        <v>6</v>
      </c>
      <c r="T166" s="277" t="s">
        <v>7</v>
      </c>
      <c r="U166" s="277" t="s">
        <v>8</v>
      </c>
      <c r="V166" s="277" t="s">
        <v>9</v>
      </c>
      <c r="W166" s="277" t="s">
        <v>10</v>
      </c>
      <c r="Z166" s="148"/>
      <c r="AA166" s="148"/>
      <c r="AV166" s="232"/>
    </row>
    <row r="167" spans="1:48" x14ac:dyDescent="0.2">
      <c r="A167" s="256">
        <v>27</v>
      </c>
      <c r="B167" s="215">
        <v>2</v>
      </c>
      <c r="C167" s="315">
        <v>5</v>
      </c>
      <c r="D167" s="215">
        <v>2</v>
      </c>
      <c r="E167" s="66">
        <f>'Standard Avalrem Table'!G41</f>
        <v>29.303635221686054</v>
      </c>
      <c r="F167" s="215"/>
      <c r="G167" s="215"/>
      <c r="H167" s="215"/>
      <c r="I167" s="215"/>
      <c r="J167" s="215"/>
      <c r="K167" s="315"/>
      <c r="L167" s="214" t="s">
        <v>34</v>
      </c>
      <c r="M167" s="251"/>
      <c r="N167" s="252" t="str">
        <f>$AB$110</f>
        <v>Prevent</v>
      </c>
      <c r="O167" s="253" t="s">
        <v>344</v>
      </c>
      <c r="P167" s="148"/>
      <c r="Q167" s="278" t="s">
        <v>449</v>
      </c>
      <c r="R167" s="279" t="s">
        <v>13</v>
      </c>
      <c r="S167" s="254" t="s">
        <v>450</v>
      </c>
      <c r="T167" s="254" t="s">
        <v>450</v>
      </c>
      <c r="U167" s="254" t="s">
        <v>450</v>
      </c>
      <c r="V167" s="254" t="s">
        <v>450</v>
      </c>
      <c r="W167" s="254" t="s">
        <v>450</v>
      </c>
      <c r="Z167" s="148"/>
      <c r="AA167" s="148"/>
      <c r="AV167" s="232"/>
    </row>
    <row r="168" spans="1:48" x14ac:dyDescent="0.2">
      <c r="A168" s="256">
        <v>28</v>
      </c>
      <c r="B168" s="215">
        <v>2</v>
      </c>
      <c r="C168" s="315">
        <v>5</v>
      </c>
      <c r="D168" s="215">
        <v>1</v>
      </c>
      <c r="E168" s="66">
        <f>'Standard Avalrem Table'!G26</f>
        <v>14.635038472325055</v>
      </c>
      <c r="F168" s="215"/>
      <c r="G168" s="215"/>
      <c r="H168" s="215"/>
      <c r="I168" s="215"/>
      <c r="J168" s="215"/>
      <c r="K168" s="315"/>
      <c r="L168" s="214" t="s">
        <v>34</v>
      </c>
      <c r="M168" s="251"/>
      <c r="N168" s="252" t="str">
        <f>$Z$110</f>
        <v>Stop</v>
      </c>
      <c r="O168" s="253" t="s">
        <v>344</v>
      </c>
      <c r="P168" s="148"/>
      <c r="Q168" s="280" t="s">
        <v>451</v>
      </c>
      <c r="R168" s="279" t="s">
        <v>3</v>
      </c>
      <c r="S168" s="254" t="s">
        <v>450</v>
      </c>
      <c r="T168" s="254" t="s">
        <v>450</v>
      </c>
      <c r="U168" s="254" t="s">
        <v>450</v>
      </c>
      <c r="V168" s="254" t="s">
        <v>450</v>
      </c>
      <c r="W168" s="254" t="s">
        <v>450</v>
      </c>
      <c r="Z168" s="148"/>
      <c r="AA168" s="148"/>
      <c r="AV168" s="232"/>
    </row>
    <row r="169" spans="1:48" x14ac:dyDescent="0.2">
      <c r="A169" s="256">
        <v>29</v>
      </c>
      <c r="B169" s="215">
        <v>3</v>
      </c>
      <c r="C169" s="315">
        <v>5</v>
      </c>
      <c r="D169" s="215">
        <v>1</v>
      </c>
      <c r="E169" s="66">
        <f>'Standard Avalrem Table'!G27</f>
        <v>14.739004328364159</v>
      </c>
      <c r="F169" s="215"/>
      <c r="G169" s="215"/>
      <c r="H169" s="215"/>
      <c r="I169" s="215"/>
      <c r="J169" s="215"/>
      <c r="K169" s="315"/>
      <c r="L169" s="214" t="s">
        <v>34</v>
      </c>
      <c r="M169" s="251"/>
      <c r="N169" s="252" t="str">
        <f>$Z$111</f>
        <v>Force</v>
      </c>
      <c r="O169" s="253" t="s">
        <v>344</v>
      </c>
      <c r="P169" s="148"/>
      <c r="Q169" s="280" t="s">
        <v>452</v>
      </c>
      <c r="R169" s="279" t="s">
        <v>14</v>
      </c>
      <c r="S169" s="254" t="s">
        <v>450</v>
      </c>
      <c r="T169" s="254" t="s">
        <v>450</v>
      </c>
      <c r="U169" s="254" t="s">
        <v>450</v>
      </c>
      <c r="V169" s="254" t="s">
        <v>450</v>
      </c>
      <c r="W169" s="254" t="s">
        <v>450</v>
      </c>
      <c r="Z169" s="148"/>
      <c r="AA169" s="148"/>
      <c r="AV169" s="232"/>
    </row>
    <row r="170" spans="1:48" x14ac:dyDescent="0.2">
      <c r="A170" s="256">
        <v>30</v>
      </c>
      <c r="B170" s="215">
        <v>3</v>
      </c>
      <c r="C170" s="315">
        <v>5</v>
      </c>
      <c r="D170" s="215">
        <v>2</v>
      </c>
      <c r="E170" s="66">
        <f>'Standard Avalrem Table'!G42</f>
        <v>30.624959005536269</v>
      </c>
      <c r="F170" s="215"/>
      <c r="G170" s="215"/>
      <c r="H170" s="215"/>
      <c r="I170" s="215"/>
      <c r="J170" s="215"/>
      <c r="K170" s="315"/>
      <c r="L170" s="214" t="s">
        <v>34</v>
      </c>
      <c r="M170" s="251"/>
      <c r="N170" s="252" t="str">
        <f>$AB$111</f>
        <v>Push</v>
      </c>
      <c r="O170" s="253" t="s">
        <v>344</v>
      </c>
      <c r="P170" s="148"/>
      <c r="Q170" s="280" t="s">
        <v>453</v>
      </c>
      <c r="R170" s="279" t="s">
        <v>8</v>
      </c>
      <c r="S170" s="254" t="s">
        <v>450</v>
      </c>
      <c r="T170" s="254" t="s">
        <v>450</v>
      </c>
      <c r="U170" s="254" t="s">
        <v>450</v>
      </c>
      <c r="V170" s="254" t="s">
        <v>450</v>
      </c>
      <c r="W170" s="254" t="s">
        <v>450</v>
      </c>
      <c r="Z170" s="148"/>
      <c r="AA170" s="148"/>
      <c r="AV170" s="232"/>
    </row>
    <row r="171" spans="1:48" ht="15" thickBot="1" x14ac:dyDescent="0.25">
      <c r="A171" s="256">
        <v>31</v>
      </c>
      <c r="B171" s="215">
        <v>4</v>
      </c>
      <c r="C171" s="315">
        <v>5</v>
      </c>
      <c r="D171" s="215">
        <v>1</v>
      </c>
      <c r="E171" s="66">
        <f>'Standard Avalrem Table'!G28</f>
        <v>15.412479969880289</v>
      </c>
      <c r="F171" s="215"/>
      <c r="G171" s="215"/>
      <c r="H171" s="215"/>
      <c r="I171" s="215"/>
      <c r="J171" s="215"/>
      <c r="K171" s="315"/>
      <c r="L171" s="214" t="s">
        <v>34</v>
      </c>
      <c r="M171" s="251"/>
      <c r="N171" s="252" t="str">
        <f>$Z$112</f>
        <v>Examine</v>
      </c>
      <c r="O171" s="253" t="s">
        <v>344</v>
      </c>
      <c r="P171" s="148">
        <f>25</f>
        <v>25</v>
      </c>
      <c r="Q171" s="281" t="s">
        <v>454</v>
      </c>
      <c r="R171" s="279" t="s">
        <v>3</v>
      </c>
      <c r="S171" s="254" t="s">
        <v>450</v>
      </c>
      <c r="T171" s="254" t="s">
        <v>450</v>
      </c>
      <c r="U171" s="254" t="s">
        <v>450</v>
      </c>
      <c r="V171" s="254" t="s">
        <v>450</v>
      </c>
      <c r="W171" s="254" t="s">
        <v>450</v>
      </c>
      <c r="Z171" s="148"/>
      <c r="AA171" s="148"/>
      <c r="AV171" s="232"/>
    </row>
    <row r="172" spans="1:48" x14ac:dyDescent="0.2">
      <c r="A172" s="256">
        <v>32</v>
      </c>
      <c r="B172" s="215">
        <v>4</v>
      </c>
      <c r="C172" s="315">
        <v>5</v>
      </c>
      <c r="D172" s="215">
        <v>2</v>
      </c>
      <c r="E172" s="66">
        <f>'Standard Avalrem Table'!G43</f>
        <v>30.624959005536269</v>
      </c>
      <c r="F172" s="215"/>
      <c r="G172" s="215"/>
      <c r="H172" s="215"/>
      <c r="I172" s="215"/>
      <c r="J172" s="215"/>
      <c r="K172" s="315"/>
      <c r="L172" s="214" t="s">
        <v>34</v>
      </c>
      <c r="M172" s="251"/>
      <c r="N172" s="252" t="str">
        <f>$AB$112</f>
        <v>Research</v>
      </c>
      <c r="O172" s="253" t="s">
        <v>344</v>
      </c>
      <c r="P172" s="148"/>
      <c r="Z172" s="148"/>
      <c r="AA172" s="148"/>
      <c r="AV172" s="232"/>
    </row>
    <row r="173" spans="1:48" x14ac:dyDescent="0.2">
      <c r="A173" s="256">
        <v>33</v>
      </c>
      <c r="B173" s="215">
        <v>5</v>
      </c>
      <c r="C173" s="315">
        <v>5</v>
      </c>
      <c r="D173" s="215">
        <v>2</v>
      </c>
      <c r="E173" s="66">
        <f>'Standard Avalrem Table'!G44</f>
        <v>29.303635221686054</v>
      </c>
      <c r="F173" s="215"/>
      <c r="G173" s="215"/>
      <c r="H173" s="215"/>
      <c r="I173" s="215"/>
      <c r="J173" s="215"/>
      <c r="K173" s="315"/>
      <c r="L173" s="214" t="s">
        <v>34</v>
      </c>
      <c r="M173" s="251"/>
      <c r="N173" s="252" t="str">
        <f>$AB$113</f>
        <v>Discover</v>
      </c>
      <c r="O173" s="253" t="s">
        <v>344</v>
      </c>
      <c r="P173" s="148"/>
      <c r="Z173" s="148"/>
      <c r="AA173" s="148"/>
      <c r="AV173" s="232"/>
    </row>
    <row r="174" spans="1:48" x14ac:dyDescent="0.2">
      <c r="A174" s="256">
        <v>34</v>
      </c>
      <c r="B174" s="215">
        <v>5</v>
      </c>
      <c r="C174" s="315">
        <v>5</v>
      </c>
      <c r="D174" s="215">
        <v>1</v>
      </c>
      <c r="E174" s="66">
        <f>'Standard Avalrem Table'!G29</f>
        <v>12.84520892174371</v>
      </c>
      <c r="F174" s="215"/>
      <c r="G174" s="215"/>
      <c r="H174" s="215"/>
      <c r="I174" s="215"/>
      <c r="J174" s="215"/>
      <c r="K174" s="315"/>
      <c r="L174" s="214" t="s">
        <v>34</v>
      </c>
      <c r="M174" s="251"/>
      <c r="N174" s="252" t="str">
        <f>$Z$113</f>
        <v>Search</v>
      </c>
      <c r="O174" s="253" t="s">
        <v>344</v>
      </c>
      <c r="Z174" s="148"/>
      <c r="AA174" s="148"/>
      <c r="AV174" s="232"/>
    </row>
    <row r="175" spans="1:48" x14ac:dyDescent="0.2">
      <c r="A175" s="256">
        <v>35</v>
      </c>
      <c r="B175" s="215">
        <v>6</v>
      </c>
      <c r="C175" s="315">
        <v>5</v>
      </c>
      <c r="D175" s="215">
        <v>1</v>
      </c>
      <c r="E175" s="66">
        <f>'Standard Avalrem Table'!G30</f>
        <v>12.741243065704607</v>
      </c>
      <c r="F175" s="215"/>
      <c r="G175" s="215"/>
      <c r="H175" s="215"/>
      <c r="I175" s="215"/>
      <c r="J175" s="215"/>
      <c r="K175" s="315"/>
      <c r="L175" s="214" t="s">
        <v>34</v>
      </c>
      <c r="M175" s="251"/>
      <c r="N175" s="252" t="str">
        <f>$Z$114</f>
        <v>Decide</v>
      </c>
      <c r="O175" s="253" t="s">
        <v>344</v>
      </c>
      <c r="Z175" s="148"/>
      <c r="AA175" s="148"/>
      <c r="AV175" s="232"/>
    </row>
    <row r="176" spans="1:48" x14ac:dyDescent="0.2">
      <c r="A176" s="256">
        <v>36</v>
      </c>
      <c r="B176" s="215">
        <v>6</v>
      </c>
      <c r="C176" s="315">
        <v>5</v>
      </c>
      <c r="D176" s="215">
        <v>2</v>
      </c>
      <c r="E176" s="66">
        <f>'Standard Avalrem Table'!G45</f>
        <v>27.982311437835833</v>
      </c>
      <c r="F176" s="215"/>
      <c r="G176" s="215"/>
      <c r="H176" s="215"/>
      <c r="I176" s="215"/>
      <c r="J176" s="215"/>
      <c r="K176" s="315"/>
      <c r="L176" s="214" t="s">
        <v>34</v>
      </c>
      <c r="M176" s="251"/>
      <c r="N176" s="252" t="str">
        <f>$AB$114</f>
        <v>Determine</v>
      </c>
      <c r="O176" s="253" t="s">
        <v>344</v>
      </c>
      <c r="Z176" s="148"/>
      <c r="AA176" s="148"/>
      <c r="AV176" s="232"/>
    </row>
    <row r="177" spans="1:48" x14ac:dyDescent="0.2">
      <c r="A177" s="256">
        <v>37</v>
      </c>
      <c r="B177" s="215">
        <v>7</v>
      </c>
      <c r="C177" s="315">
        <v>5</v>
      </c>
      <c r="D177" s="215">
        <v>1</v>
      </c>
      <c r="E177" s="66">
        <f>'Standard Avalrem Table'!G31</f>
        <v>12.067767424188476</v>
      </c>
      <c r="F177" s="215"/>
      <c r="G177" s="215"/>
      <c r="H177" s="215"/>
      <c r="I177" s="215"/>
      <c r="J177" s="215"/>
      <c r="K177" s="315"/>
      <c r="L177" s="214" t="s">
        <v>34</v>
      </c>
      <c r="M177" s="251"/>
      <c r="N177" s="252" t="str">
        <f>$Z$115</f>
        <v>Encourage</v>
      </c>
      <c r="O177" s="253" t="s">
        <v>344</v>
      </c>
      <c r="Z177" s="148"/>
      <c r="AA177" s="148"/>
      <c r="AV177" s="232"/>
    </row>
    <row r="178" spans="1:48" x14ac:dyDescent="0.2">
      <c r="A178" s="256">
        <v>38</v>
      </c>
      <c r="B178" s="215">
        <v>7</v>
      </c>
      <c r="C178" s="315">
        <v>5</v>
      </c>
      <c r="D178" s="215">
        <v>2</v>
      </c>
      <c r="E178" s="66">
        <f>'Standard Avalrem Table'!G46</f>
        <v>27.982311437835833</v>
      </c>
      <c r="F178" s="215"/>
      <c r="G178" s="215"/>
      <c r="H178" s="215"/>
      <c r="I178" s="215"/>
      <c r="J178" s="215"/>
      <c r="K178" s="315"/>
      <c r="L178" s="214" t="s">
        <v>34</v>
      </c>
      <c r="M178" s="251"/>
      <c r="N178" s="252" t="str">
        <f>$AB$115</f>
        <v>Promote</v>
      </c>
      <c r="O178" s="253" t="s">
        <v>344</v>
      </c>
      <c r="Z178" s="148"/>
      <c r="AA178" s="148"/>
      <c r="AV178" s="232"/>
    </row>
    <row r="179" spans="1:48" x14ac:dyDescent="0.2">
      <c r="A179" s="256">
        <v>39</v>
      </c>
      <c r="B179" s="215">
        <v>8</v>
      </c>
      <c r="C179" s="315">
        <v>5</v>
      </c>
      <c r="D179" s="215">
        <v>1</v>
      </c>
      <c r="E179" s="66">
        <f>'Standard Avalrem Table'!G32</f>
        <v>14.635038472325055</v>
      </c>
      <c r="F179" s="215"/>
      <c r="G179" s="215"/>
      <c r="H179" s="215"/>
      <c r="I179" s="215"/>
      <c r="J179" s="215"/>
      <c r="K179" s="315"/>
      <c r="L179" s="214" t="s">
        <v>34</v>
      </c>
      <c r="M179" s="251"/>
      <c r="N179" s="252" t="str">
        <f>$Z$116</f>
        <v>Abandon</v>
      </c>
      <c r="O179" s="253" t="s">
        <v>344</v>
      </c>
      <c r="Z179" s="148"/>
      <c r="AA179" s="148"/>
      <c r="AV179" s="232"/>
    </row>
    <row r="180" spans="1:48" x14ac:dyDescent="0.2">
      <c r="A180" s="256">
        <v>40</v>
      </c>
      <c r="B180" s="215">
        <v>8</v>
      </c>
      <c r="C180" s="315">
        <v>5</v>
      </c>
      <c r="D180" s="215">
        <v>2</v>
      </c>
      <c r="E180" s="66">
        <f>'Standard Avalrem Table'!G47</f>
        <v>29.303635221686054</v>
      </c>
      <c r="F180" s="215"/>
      <c r="G180" s="215"/>
      <c r="H180" s="215"/>
      <c r="I180" s="215"/>
      <c r="J180" s="215"/>
      <c r="K180" s="315"/>
      <c r="L180" s="214" t="s">
        <v>34</v>
      </c>
      <c r="M180" s="251"/>
      <c r="N180" s="252" t="str">
        <f>$AB$116</f>
        <v>Clean</v>
      </c>
      <c r="O180" s="253" t="s">
        <v>344</v>
      </c>
      <c r="Z180" s="148"/>
      <c r="AA180" s="148"/>
      <c r="AV180" s="232"/>
    </row>
    <row r="181" spans="1:48" x14ac:dyDescent="0.2">
      <c r="A181" s="256">
        <v>41</v>
      </c>
      <c r="B181" s="215">
        <v>9</v>
      </c>
      <c r="C181" s="315">
        <v>5</v>
      </c>
      <c r="D181" s="215">
        <v>1</v>
      </c>
      <c r="E181" s="66">
        <f>'Standard Avalrem Table'!G33</f>
        <v>14.739004328364159</v>
      </c>
      <c r="F181" s="215"/>
      <c r="G181" s="215"/>
      <c r="H181" s="215"/>
      <c r="I181" s="215"/>
      <c r="J181" s="215"/>
      <c r="K181" s="315"/>
      <c r="L181" s="214" t="s">
        <v>34</v>
      </c>
      <c r="M181" s="251"/>
      <c r="N181" s="252" t="str">
        <f>$Z$117</f>
        <v>Report</v>
      </c>
      <c r="O181" s="253" t="s">
        <v>344</v>
      </c>
      <c r="Z181" s="148"/>
      <c r="AA181" s="148"/>
      <c r="AV181" s="232"/>
    </row>
    <row r="182" spans="1:48" x14ac:dyDescent="0.2">
      <c r="A182" s="256">
        <v>42</v>
      </c>
      <c r="B182" s="215">
        <v>9</v>
      </c>
      <c r="C182" s="315">
        <v>5</v>
      </c>
      <c r="D182" s="215">
        <v>2</v>
      </c>
      <c r="E182" s="66">
        <f>'Standard Avalrem Table'!G48</f>
        <v>30.624959005536269</v>
      </c>
      <c r="F182" s="215"/>
      <c r="G182" s="215"/>
      <c r="H182" s="215"/>
      <c r="I182" s="215"/>
      <c r="J182" s="215"/>
      <c r="K182" s="315"/>
      <c r="L182" s="214" t="s">
        <v>34</v>
      </c>
      <c r="M182" s="251"/>
      <c r="N182" s="252" t="str">
        <f>$AB$117</f>
        <v>Suggest</v>
      </c>
      <c r="O182" s="253" t="s">
        <v>344</v>
      </c>
      <c r="Z182" s="148"/>
      <c r="AA182" s="148"/>
      <c r="AV182" s="232"/>
    </row>
    <row r="183" spans="1:48" x14ac:dyDescent="0.2">
      <c r="A183" s="256">
        <v>43</v>
      </c>
      <c r="B183" s="215">
        <v>10</v>
      </c>
      <c r="C183" s="315">
        <v>5</v>
      </c>
      <c r="D183" s="215">
        <v>1</v>
      </c>
      <c r="E183" s="66">
        <f>'Standard Avalrem Table'!G34</f>
        <v>15.412479969880289</v>
      </c>
      <c r="F183" s="215"/>
      <c r="G183" s="215"/>
      <c r="H183" s="215"/>
      <c r="I183" s="215"/>
      <c r="J183" s="215"/>
      <c r="K183" s="315"/>
      <c r="L183" s="214" t="s">
        <v>34</v>
      </c>
      <c r="M183" s="251"/>
      <c r="N183" s="252" t="str">
        <f>$Z$118</f>
        <v>Explore</v>
      </c>
      <c r="O183" s="253" t="s">
        <v>344</v>
      </c>
      <c r="Z183" s="148"/>
      <c r="AA183" s="148"/>
      <c r="AV183" s="232"/>
    </row>
    <row r="184" spans="1:48" x14ac:dyDescent="0.2">
      <c r="A184" s="256">
        <v>44</v>
      </c>
      <c r="B184" s="215">
        <v>10</v>
      </c>
      <c r="C184" s="315">
        <v>5</v>
      </c>
      <c r="D184" s="215">
        <v>2</v>
      </c>
      <c r="E184" s="66">
        <f>'Standard Avalrem Table'!G49</f>
        <v>30.624959005536269</v>
      </c>
      <c r="F184" s="215"/>
      <c r="G184" s="215"/>
      <c r="H184" s="215"/>
      <c r="I184" s="215"/>
      <c r="J184" s="215"/>
      <c r="K184" s="315"/>
      <c r="L184" s="214" t="s">
        <v>34</v>
      </c>
      <c r="M184" s="251"/>
      <c r="N184" s="252" t="str">
        <f>$AB$118</f>
        <v>Uncover</v>
      </c>
      <c r="O184" s="253" t="s">
        <v>344</v>
      </c>
      <c r="Z184" s="148"/>
      <c r="AA184" s="148"/>
      <c r="AV184" s="232"/>
    </row>
    <row r="185" spans="1:48" x14ac:dyDescent="0.2">
      <c r="A185" s="256">
        <v>45</v>
      </c>
      <c r="B185" s="215">
        <v>11</v>
      </c>
      <c r="C185" s="315">
        <v>5</v>
      </c>
      <c r="D185" s="215">
        <v>1</v>
      </c>
      <c r="E185" s="66">
        <f>'Standard Avalrem Table'!G35</f>
        <v>12.84520892174371</v>
      </c>
      <c r="F185" s="215"/>
      <c r="G185" s="215"/>
      <c r="H185" s="215"/>
      <c r="I185" s="215"/>
      <c r="J185" s="215"/>
      <c r="K185" s="315"/>
      <c r="L185" s="214" t="s">
        <v>34</v>
      </c>
      <c r="M185" s="251"/>
      <c r="N185" s="252" t="str">
        <f>$Z$119</f>
        <v>Involve</v>
      </c>
      <c r="O185" s="253" t="s">
        <v>344</v>
      </c>
      <c r="Z185" s="148"/>
      <c r="AA185" s="148"/>
      <c r="AV185" s="232"/>
    </row>
    <row r="186" spans="1:48" x14ac:dyDescent="0.2">
      <c r="A186" s="256">
        <v>46</v>
      </c>
      <c r="B186" s="215">
        <v>11</v>
      </c>
      <c r="C186" s="315">
        <v>5</v>
      </c>
      <c r="D186" s="215">
        <v>2</v>
      </c>
      <c r="E186" s="66">
        <f>'Standard Avalrem Table'!G50</f>
        <v>29.303635221686054</v>
      </c>
      <c r="F186" s="215"/>
      <c r="G186" s="215"/>
      <c r="H186" s="215"/>
      <c r="I186" s="215"/>
      <c r="J186" s="215"/>
      <c r="K186" s="315"/>
      <c r="L186" s="214" t="s">
        <v>34</v>
      </c>
      <c r="M186" s="251"/>
      <c r="N186" s="252" t="str">
        <f>$AB$119</f>
        <v>Teach</v>
      </c>
      <c r="O186" s="253" t="s">
        <v>344</v>
      </c>
      <c r="Z186" s="148"/>
      <c r="AA186" s="148"/>
      <c r="AV186" s="232"/>
    </row>
    <row r="187" spans="1:48" x14ac:dyDescent="0.2">
      <c r="A187" s="256">
        <v>47</v>
      </c>
      <c r="B187" s="215">
        <v>12</v>
      </c>
      <c r="C187" s="315">
        <v>5</v>
      </c>
      <c r="D187" s="215">
        <v>2</v>
      </c>
      <c r="E187" s="66">
        <f>'Standard Avalrem Table'!G51</f>
        <v>27.982311437835833</v>
      </c>
      <c r="F187" s="215"/>
      <c r="G187" s="215"/>
      <c r="H187" s="215"/>
      <c r="I187" s="215"/>
      <c r="J187" s="215"/>
      <c r="K187" s="315"/>
      <c r="L187" s="214" t="s">
        <v>34</v>
      </c>
      <c r="M187" s="251"/>
      <c r="N187" s="252" t="str">
        <f>$AB$120</f>
        <v>Execute</v>
      </c>
      <c r="O187" s="253" t="s">
        <v>344</v>
      </c>
      <c r="Z187" s="148"/>
      <c r="AA187" s="148"/>
      <c r="AV187" s="232"/>
    </row>
    <row r="188" spans="1:48" x14ac:dyDescent="0.2">
      <c r="A188" s="256">
        <v>48</v>
      </c>
      <c r="B188" s="215">
        <v>12</v>
      </c>
      <c r="C188" s="315">
        <v>5</v>
      </c>
      <c r="D188" s="215">
        <v>1</v>
      </c>
      <c r="E188" s="66">
        <f>'Standard Avalrem Table'!G36</f>
        <v>12.741243065704607</v>
      </c>
      <c r="F188" s="215"/>
      <c r="G188" s="215"/>
      <c r="H188" s="215"/>
      <c r="I188" s="215"/>
      <c r="J188" s="215"/>
      <c r="K188" s="315"/>
      <c r="L188" s="214" t="s">
        <v>34</v>
      </c>
      <c r="M188" s="251"/>
      <c r="N188" s="252" t="str">
        <f>$Z$120</f>
        <v>Implement</v>
      </c>
      <c r="O188" s="253" t="s">
        <v>344</v>
      </c>
      <c r="Z188" s="148"/>
      <c r="AA188" s="148"/>
      <c r="AV188" s="232"/>
    </row>
    <row r="189" spans="1:48" x14ac:dyDescent="0.2">
      <c r="A189" s="256">
        <v>49</v>
      </c>
      <c r="B189" s="304">
        <v>1</v>
      </c>
      <c r="C189" s="314">
        <v>4</v>
      </c>
      <c r="D189" s="304">
        <v>1</v>
      </c>
      <c r="E189" s="323">
        <f>'Standard Avalrem Table'!F25</f>
        <v>12.628678446683899</v>
      </c>
      <c r="F189" s="304"/>
      <c r="G189" s="304"/>
      <c r="H189" s="304"/>
      <c r="I189" s="304"/>
      <c r="J189" s="304"/>
      <c r="K189" s="314"/>
      <c r="L189" s="237" t="s">
        <v>33</v>
      </c>
      <c r="M189" s="269"/>
      <c r="N189" s="270" t="str">
        <f>$P$109</f>
        <v>Approve</v>
      </c>
      <c r="O189" s="271" t="s">
        <v>379</v>
      </c>
      <c r="Z189" s="148"/>
      <c r="AA189" s="148"/>
      <c r="AV189" s="232"/>
    </row>
    <row r="190" spans="1:48" x14ac:dyDescent="0.2">
      <c r="A190" s="256">
        <v>50</v>
      </c>
      <c r="B190" s="304">
        <v>1</v>
      </c>
      <c r="C190" s="314">
        <v>4</v>
      </c>
      <c r="D190" s="304">
        <v>2</v>
      </c>
      <c r="E190" s="323">
        <f>'Standard Avalrem Table'!F40</f>
        <v>28.291147000712453</v>
      </c>
      <c r="F190" s="304"/>
      <c r="G190" s="304"/>
      <c r="H190" s="304"/>
      <c r="I190" s="304"/>
      <c r="J190" s="304"/>
      <c r="K190" s="314"/>
      <c r="L190" s="237" t="s">
        <v>33</v>
      </c>
      <c r="M190" s="269"/>
      <c r="N190" s="270" t="str">
        <f>$R$109</f>
        <v>Manage</v>
      </c>
      <c r="O190" s="271" t="s">
        <v>379</v>
      </c>
      <c r="Z190" s="148"/>
      <c r="AA190" s="148"/>
      <c r="AV190" s="232"/>
    </row>
    <row r="191" spans="1:48" x14ac:dyDescent="0.2">
      <c r="A191" s="256">
        <v>51</v>
      </c>
      <c r="B191" s="304">
        <v>2</v>
      </c>
      <c r="C191" s="314">
        <v>4</v>
      </c>
      <c r="D191" s="304">
        <v>1</v>
      </c>
      <c r="E191" s="323">
        <f>'Standard Avalrem Table'!F26</f>
        <v>14.818997221199174</v>
      </c>
      <c r="F191" s="304"/>
      <c r="G191" s="304"/>
      <c r="H191" s="304"/>
      <c r="I191" s="304"/>
      <c r="J191" s="304"/>
      <c r="K191" s="314"/>
      <c r="L191" s="237" t="s">
        <v>33</v>
      </c>
      <c r="M191" s="269"/>
      <c r="N191" s="270" t="str">
        <f>$P$110</f>
        <v>Analyze</v>
      </c>
      <c r="O191" s="271" t="s">
        <v>379</v>
      </c>
      <c r="Z191" s="148"/>
      <c r="AA191" s="148"/>
      <c r="AV191" s="232"/>
    </row>
    <row r="192" spans="1:48" x14ac:dyDescent="0.2">
      <c r="A192" s="256">
        <v>52</v>
      </c>
      <c r="B192" s="304">
        <v>2</v>
      </c>
      <c r="C192" s="314">
        <v>4</v>
      </c>
      <c r="D192" s="304">
        <v>2</v>
      </c>
      <c r="E192" s="323">
        <f>'Standard Avalrem Table'!F41</f>
        <v>29.551266277812363</v>
      </c>
      <c r="F192" s="304"/>
      <c r="G192" s="304"/>
      <c r="H192" s="304"/>
      <c r="I192" s="304"/>
      <c r="J192" s="304"/>
      <c r="K192" s="314"/>
      <c r="L192" s="237" t="s">
        <v>33</v>
      </c>
      <c r="M192" s="269"/>
      <c r="N192" s="270" t="str">
        <f>$R$110</f>
        <v>Evaluate</v>
      </c>
      <c r="O192" s="271" t="s">
        <v>379</v>
      </c>
      <c r="Z192" s="148"/>
      <c r="AA192" s="148"/>
      <c r="AV192" s="232"/>
    </row>
    <row r="193" spans="1:48" x14ac:dyDescent="0.2">
      <c r="A193" s="256">
        <v>53</v>
      </c>
      <c r="B193" s="304">
        <v>3</v>
      </c>
      <c r="C193" s="314">
        <v>4</v>
      </c>
      <c r="D193" s="304">
        <v>2</v>
      </c>
      <c r="E193" s="323">
        <f>'Standard Avalrem Table'!F42</f>
        <v>30.811385554912281</v>
      </c>
      <c r="F193" s="304"/>
      <c r="G193" s="304"/>
      <c r="H193" s="304"/>
      <c r="I193" s="304"/>
      <c r="J193" s="304"/>
      <c r="K193" s="314"/>
      <c r="L193" s="237" t="s">
        <v>33</v>
      </c>
      <c r="M193" s="269"/>
      <c r="N193" s="270" t="str">
        <f>$R$111</f>
        <v>Network</v>
      </c>
      <c r="O193" s="271" t="s">
        <v>379</v>
      </c>
      <c r="Z193" s="148"/>
      <c r="AA193" s="148"/>
      <c r="AV193" s="232"/>
    </row>
    <row r="194" spans="1:48" x14ac:dyDescent="0.2">
      <c r="A194" s="256">
        <v>54</v>
      </c>
      <c r="B194" s="304">
        <v>3</v>
      </c>
      <c r="C194" s="314">
        <v>4</v>
      </c>
      <c r="D194" s="304">
        <v>1</v>
      </c>
      <c r="E194" s="323">
        <f>'Standard Avalrem Table'!F27</f>
        <v>15.176509195935175</v>
      </c>
      <c r="F194" s="304"/>
      <c r="G194" s="304"/>
      <c r="H194" s="304"/>
      <c r="I194" s="304"/>
      <c r="J194" s="304"/>
      <c r="K194" s="314"/>
      <c r="L194" s="237" t="s">
        <v>33</v>
      </c>
      <c r="M194" s="269"/>
      <c r="N194" s="270" t="str">
        <f>$P$111</f>
        <v>Participate</v>
      </c>
      <c r="O194" s="271" t="s">
        <v>379</v>
      </c>
      <c r="Z194" s="148"/>
      <c r="AA194" s="148"/>
      <c r="AV194" s="232"/>
    </row>
    <row r="195" spans="1:48" x14ac:dyDescent="0.2">
      <c r="A195" s="256">
        <v>55</v>
      </c>
      <c r="B195" s="304">
        <v>4</v>
      </c>
      <c r="C195" s="314">
        <v>4</v>
      </c>
      <c r="D195" s="304">
        <v>1</v>
      </c>
      <c r="E195" s="323">
        <f>'Standard Avalrem Table'!F28</f>
        <v>15.27268471600639</v>
      </c>
      <c r="F195" s="304"/>
      <c r="G195" s="304"/>
      <c r="H195" s="304"/>
      <c r="I195" s="304"/>
      <c r="J195" s="304"/>
      <c r="K195" s="314"/>
      <c r="L195" s="237" t="s">
        <v>33</v>
      </c>
      <c r="M195" s="269"/>
      <c r="N195" s="270" t="str">
        <f>$P$112</f>
        <v>Adopt</v>
      </c>
      <c r="O195" s="271" t="s">
        <v>379</v>
      </c>
      <c r="Z195" s="148"/>
      <c r="AA195" s="148"/>
      <c r="AV195" s="232"/>
    </row>
    <row r="196" spans="1:48" x14ac:dyDescent="0.2">
      <c r="A196" s="256">
        <v>56</v>
      </c>
      <c r="B196" s="304">
        <v>4</v>
      </c>
      <c r="C196" s="314">
        <v>4</v>
      </c>
      <c r="D196" s="304">
        <v>2</v>
      </c>
      <c r="E196" s="323">
        <f>'Standard Avalrem Table'!F43</f>
        <v>30.811385554912281</v>
      </c>
      <c r="F196" s="304"/>
      <c r="G196" s="304"/>
      <c r="H196" s="304"/>
      <c r="I196" s="304"/>
      <c r="J196" s="304"/>
      <c r="K196" s="314"/>
      <c r="L196" s="237" t="s">
        <v>33</v>
      </c>
      <c r="M196" s="269"/>
      <c r="N196" s="270" t="str">
        <f>$R$112</f>
        <v>Embrace</v>
      </c>
      <c r="O196" s="271" t="s">
        <v>379</v>
      </c>
      <c r="Z196" s="148"/>
      <c r="AA196" s="148"/>
      <c r="AV196" s="232"/>
    </row>
    <row r="197" spans="1:48" x14ac:dyDescent="0.2">
      <c r="A197" s="256">
        <v>57</v>
      </c>
      <c r="B197" s="304">
        <v>5</v>
      </c>
      <c r="C197" s="314">
        <v>4</v>
      </c>
      <c r="D197" s="304">
        <v>1</v>
      </c>
      <c r="E197" s="323">
        <f>'Standard Avalrem Table'!F29</f>
        <v>13.082365941491116</v>
      </c>
      <c r="F197" s="304"/>
      <c r="G197" s="304"/>
      <c r="H197" s="304"/>
      <c r="I197" s="304"/>
      <c r="J197" s="304"/>
      <c r="K197" s="314"/>
      <c r="L197" s="237" t="s">
        <v>33</v>
      </c>
      <c r="M197" s="269"/>
      <c r="N197" s="270" t="str">
        <f>$P$113</f>
        <v>Set up</v>
      </c>
      <c r="O197" s="271" t="s">
        <v>379</v>
      </c>
      <c r="Z197" s="148"/>
      <c r="AA197" s="148"/>
      <c r="AV197" s="232"/>
    </row>
    <row r="198" spans="1:48" x14ac:dyDescent="0.2">
      <c r="A198" s="256">
        <v>58</v>
      </c>
      <c r="B198" s="304">
        <v>5</v>
      </c>
      <c r="C198" s="314">
        <v>4</v>
      </c>
      <c r="D198" s="304">
        <v>2</v>
      </c>
      <c r="E198" s="323">
        <f>'Standard Avalrem Table'!F44</f>
        <v>29.551266277812363</v>
      </c>
      <c r="F198" s="304"/>
      <c r="G198" s="304"/>
      <c r="H198" s="304"/>
      <c r="I198" s="304"/>
      <c r="J198" s="304"/>
      <c r="K198" s="314"/>
      <c r="L198" s="237" t="s">
        <v>33</v>
      </c>
      <c r="M198" s="269"/>
      <c r="N198" s="270" t="str">
        <f>$R$113</f>
        <v>Standardize</v>
      </c>
      <c r="O198" s="271" t="s">
        <v>379</v>
      </c>
      <c r="Z198" s="148"/>
      <c r="AA198" s="148"/>
      <c r="AV198" s="232"/>
    </row>
    <row r="199" spans="1:48" x14ac:dyDescent="0.2">
      <c r="A199" s="256">
        <v>59</v>
      </c>
      <c r="B199" s="304">
        <v>6</v>
      </c>
      <c r="C199" s="314">
        <v>4</v>
      </c>
      <c r="D199" s="304">
        <v>1</v>
      </c>
      <c r="E199" s="323">
        <f>'Standard Avalrem Table'!F30</f>
        <v>12.724853966755113</v>
      </c>
      <c r="F199" s="304"/>
      <c r="G199" s="304"/>
      <c r="H199" s="304"/>
      <c r="I199" s="304"/>
      <c r="J199" s="304"/>
      <c r="K199" s="314"/>
      <c r="L199" s="237" t="s">
        <v>33</v>
      </c>
      <c r="M199" s="269"/>
      <c r="N199" s="270" t="str">
        <f>$P$114</f>
        <v>Complete</v>
      </c>
      <c r="O199" s="271" t="s">
        <v>379</v>
      </c>
      <c r="Z199" s="148"/>
      <c r="AA199" s="148"/>
      <c r="AV199" s="232"/>
    </row>
    <row r="200" spans="1:48" x14ac:dyDescent="0.2">
      <c r="A200" s="256">
        <v>60</v>
      </c>
      <c r="B200" s="304">
        <v>6</v>
      </c>
      <c r="C200" s="314">
        <v>4</v>
      </c>
      <c r="D200" s="304">
        <v>2</v>
      </c>
      <c r="E200" s="323">
        <f>'Standard Avalrem Table'!F45</f>
        <v>28.291147000712446</v>
      </c>
      <c r="F200" s="304"/>
      <c r="G200" s="304"/>
      <c r="H200" s="304"/>
      <c r="I200" s="304"/>
      <c r="J200" s="304"/>
      <c r="K200" s="314"/>
      <c r="L200" s="237" t="s">
        <v>33</v>
      </c>
      <c r="M200" s="269"/>
      <c r="N200" s="270" t="str">
        <f>$R$114</f>
        <v>Conclude</v>
      </c>
      <c r="O200" s="271" t="s">
        <v>379</v>
      </c>
      <c r="Z200" s="148"/>
      <c r="AA200" s="148"/>
      <c r="AV200" s="232"/>
    </row>
    <row r="201" spans="1:48" x14ac:dyDescent="0.2">
      <c r="A201" s="256">
        <v>61</v>
      </c>
      <c r="B201" s="304">
        <v>7</v>
      </c>
      <c r="C201" s="314">
        <v>4</v>
      </c>
      <c r="D201" s="304">
        <v>2</v>
      </c>
      <c r="E201" s="323">
        <f>'Standard Avalrem Table'!F46</f>
        <v>28.291147000712453</v>
      </c>
      <c r="F201" s="304"/>
      <c r="G201" s="304"/>
      <c r="H201" s="304"/>
      <c r="I201" s="304"/>
      <c r="J201" s="304"/>
      <c r="K201" s="314"/>
      <c r="L201" s="237" t="s">
        <v>33</v>
      </c>
      <c r="M201" s="269"/>
      <c r="N201" s="270" t="str">
        <f>$R$115</f>
        <v>Authorize</v>
      </c>
      <c r="O201" s="271" t="s">
        <v>379</v>
      </c>
      <c r="Z201" s="148"/>
      <c r="AA201" s="148"/>
      <c r="AV201" s="232"/>
    </row>
    <row r="202" spans="1:48" x14ac:dyDescent="0.2">
      <c r="A202" s="256">
        <v>62</v>
      </c>
      <c r="B202" s="304">
        <v>7</v>
      </c>
      <c r="C202" s="314">
        <v>4</v>
      </c>
      <c r="D202" s="304">
        <v>1</v>
      </c>
      <c r="E202" s="323">
        <f>'Standard Avalrem Table'!F31</f>
        <v>12.628678446683899</v>
      </c>
      <c r="F202" s="304"/>
      <c r="G202" s="304"/>
      <c r="H202" s="304"/>
      <c r="I202" s="304"/>
      <c r="J202" s="304"/>
      <c r="K202" s="314"/>
      <c r="L202" s="237" t="s">
        <v>33</v>
      </c>
      <c r="M202" s="269"/>
      <c r="N202" s="270" t="str">
        <f>$P$115</f>
        <v>Organize</v>
      </c>
      <c r="O202" s="271" t="s">
        <v>379</v>
      </c>
      <c r="Z202" s="148"/>
      <c r="AA202" s="148"/>
      <c r="AV202" s="232"/>
    </row>
    <row r="203" spans="1:48" x14ac:dyDescent="0.2">
      <c r="A203" s="256">
        <v>63</v>
      </c>
      <c r="B203" s="304">
        <v>8</v>
      </c>
      <c r="C203" s="314">
        <v>4</v>
      </c>
      <c r="D203" s="304">
        <v>2</v>
      </c>
      <c r="E203" s="323">
        <f>'Standard Avalrem Table'!F47</f>
        <v>29.551266277812363</v>
      </c>
      <c r="F203" s="304"/>
      <c r="G203" s="304"/>
      <c r="H203" s="304"/>
      <c r="I203" s="304"/>
      <c r="J203" s="304"/>
      <c r="K203" s="314"/>
      <c r="L203" s="237" t="s">
        <v>33</v>
      </c>
      <c r="M203" s="269"/>
      <c r="N203" s="270" t="str">
        <f>$R$116</f>
        <v>Operate</v>
      </c>
      <c r="O203" s="271" t="s">
        <v>379</v>
      </c>
      <c r="Z203" s="148"/>
      <c r="AA203" s="148"/>
      <c r="AV203" s="232"/>
    </row>
    <row r="204" spans="1:48" x14ac:dyDescent="0.2">
      <c r="A204" s="256">
        <v>64</v>
      </c>
      <c r="B204" s="304">
        <v>8</v>
      </c>
      <c r="C204" s="314">
        <v>4</v>
      </c>
      <c r="D204" s="304">
        <v>1</v>
      </c>
      <c r="E204" s="323">
        <f>'Standard Avalrem Table'!F32</f>
        <v>14.818997221199174</v>
      </c>
      <c r="F204" s="304"/>
      <c r="G204" s="304"/>
      <c r="H204" s="304"/>
      <c r="I204" s="304"/>
      <c r="J204" s="304"/>
      <c r="K204" s="314"/>
      <c r="L204" s="237" t="s">
        <v>33</v>
      </c>
      <c r="M204" s="269"/>
      <c r="N204" s="270" t="str">
        <f>$P$116</f>
        <v>Perform</v>
      </c>
      <c r="O204" s="271" t="s">
        <v>379</v>
      </c>
      <c r="Z204" s="148"/>
      <c r="AA204" s="148"/>
      <c r="AV204" s="232"/>
    </row>
    <row r="205" spans="1:48" x14ac:dyDescent="0.2">
      <c r="A205" s="256">
        <v>65</v>
      </c>
      <c r="B205" s="304">
        <v>9</v>
      </c>
      <c r="C205" s="314">
        <v>4</v>
      </c>
      <c r="D205" s="304">
        <v>1</v>
      </c>
      <c r="E205" s="323">
        <f>'Standard Avalrem Table'!F33</f>
        <v>15.176509195935175</v>
      </c>
      <c r="F205" s="304"/>
      <c r="G205" s="304"/>
      <c r="H205" s="304"/>
      <c r="I205" s="304"/>
      <c r="J205" s="304"/>
      <c r="K205" s="314"/>
      <c r="L205" s="237" t="s">
        <v>33</v>
      </c>
      <c r="M205" s="269"/>
      <c r="N205" s="270" t="str">
        <f>$P$117</f>
        <v>Collaborate</v>
      </c>
      <c r="O205" s="271" t="s">
        <v>379</v>
      </c>
      <c r="Z205" s="148"/>
      <c r="AA205" s="148"/>
      <c r="AV205" s="232"/>
    </row>
    <row r="206" spans="1:48" x14ac:dyDescent="0.2">
      <c r="A206" s="256">
        <v>66</v>
      </c>
      <c r="B206" s="304">
        <v>9</v>
      </c>
      <c r="C206" s="314">
        <v>4</v>
      </c>
      <c r="D206" s="304">
        <v>2</v>
      </c>
      <c r="E206" s="323">
        <f>'Standard Avalrem Table'!F48</f>
        <v>30.811385554912281</v>
      </c>
      <c r="F206" s="304"/>
      <c r="G206" s="304"/>
      <c r="H206" s="304"/>
      <c r="I206" s="304"/>
      <c r="J206" s="304"/>
      <c r="K206" s="314"/>
      <c r="L206" s="237" t="s">
        <v>33</v>
      </c>
      <c r="M206" s="269"/>
      <c r="N206" s="270" t="str">
        <f>$R$117</f>
        <v>Cooperate</v>
      </c>
      <c r="O206" s="271" t="s">
        <v>379</v>
      </c>
      <c r="Z206" s="148"/>
      <c r="AA206" s="148"/>
      <c r="AV206" s="232"/>
    </row>
    <row r="207" spans="1:48" x14ac:dyDescent="0.2">
      <c r="A207" s="256">
        <v>67</v>
      </c>
      <c r="B207" s="304">
        <v>10</v>
      </c>
      <c r="C207" s="314">
        <v>4</v>
      </c>
      <c r="D207" s="304">
        <v>1</v>
      </c>
      <c r="E207" s="323">
        <f>'Standard Avalrem Table'!F34</f>
        <v>15.27268471600639</v>
      </c>
      <c r="F207" s="304"/>
      <c r="G207" s="304"/>
      <c r="H207" s="304"/>
      <c r="I207" s="304"/>
      <c r="J207" s="304"/>
      <c r="K207" s="314"/>
      <c r="L207" s="237" t="s">
        <v>33</v>
      </c>
      <c r="M207" s="269"/>
      <c r="N207" s="270" t="str">
        <f>$P$118</f>
        <v>Invest</v>
      </c>
      <c r="O207" s="271" t="s">
        <v>379</v>
      </c>
      <c r="Z207" s="148"/>
      <c r="AA207" s="148"/>
      <c r="AV207" s="232"/>
    </row>
    <row r="208" spans="1:48" x14ac:dyDescent="0.2">
      <c r="A208" s="256">
        <v>68</v>
      </c>
      <c r="B208" s="304">
        <v>10</v>
      </c>
      <c r="C208" s="314">
        <v>4</v>
      </c>
      <c r="D208" s="304">
        <v>2</v>
      </c>
      <c r="E208" s="323">
        <f>'Standard Avalrem Table'!F49</f>
        <v>30.811385554912281</v>
      </c>
      <c r="F208" s="304"/>
      <c r="G208" s="304"/>
      <c r="H208" s="304"/>
      <c r="I208" s="304"/>
      <c r="J208" s="304"/>
      <c r="K208" s="314"/>
      <c r="L208" s="237" t="s">
        <v>33</v>
      </c>
      <c r="M208" s="269"/>
      <c r="N208" s="270" t="str">
        <f>$R$118</f>
        <v>Risk</v>
      </c>
      <c r="O208" s="271" t="s">
        <v>379</v>
      </c>
      <c r="Z208" s="148"/>
      <c r="AA208" s="148"/>
      <c r="AV208" s="232"/>
    </row>
    <row r="209" spans="1:48" x14ac:dyDescent="0.2">
      <c r="A209" s="256">
        <v>69</v>
      </c>
      <c r="B209" s="304">
        <v>11</v>
      </c>
      <c r="C209" s="314">
        <v>4</v>
      </c>
      <c r="D209" s="304">
        <v>1</v>
      </c>
      <c r="E209" s="323">
        <f>'Standard Avalrem Table'!F35</f>
        <v>13.082365941491116</v>
      </c>
      <c r="F209" s="304"/>
      <c r="G209" s="304"/>
      <c r="H209" s="304"/>
      <c r="I209" s="304"/>
      <c r="J209" s="304"/>
      <c r="K209" s="314"/>
      <c r="L209" s="237" t="s">
        <v>33</v>
      </c>
      <c r="M209" s="269"/>
      <c r="N209" s="270" t="str">
        <f>$P$119</f>
        <v>Create</v>
      </c>
      <c r="O209" s="271" t="s">
        <v>379</v>
      </c>
      <c r="Z209" s="148"/>
      <c r="AA209" s="148"/>
      <c r="AV209" s="232"/>
    </row>
    <row r="210" spans="1:48" x14ac:dyDescent="0.2">
      <c r="A210" s="256">
        <v>70</v>
      </c>
      <c r="B210" s="304">
        <v>11</v>
      </c>
      <c r="C210" s="314">
        <v>4</v>
      </c>
      <c r="D210" s="304">
        <v>2</v>
      </c>
      <c r="E210" s="323">
        <f>'Standard Avalrem Table'!F50</f>
        <v>29.551266277812363</v>
      </c>
      <c r="F210" s="304"/>
      <c r="G210" s="304"/>
      <c r="H210" s="304"/>
      <c r="I210" s="304"/>
      <c r="J210" s="304"/>
      <c r="K210" s="314"/>
      <c r="L210" s="237" t="s">
        <v>33</v>
      </c>
      <c r="M210" s="269"/>
      <c r="N210" s="270" t="str">
        <f>$R$119</f>
        <v>Initiate</v>
      </c>
      <c r="O210" s="271" t="s">
        <v>379</v>
      </c>
      <c r="Z210" s="148"/>
      <c r="AA210" s="148"/>
      <c r="AV210" s="232"/>
    </row>
    <row r="211" spans="1:48" x14ac:dyDescent="0.2">
      <c r="A211" s="256">
        <v>71</v>
      </c>
      <c r="B211" s="304">
        <v>12</v>
      </c>
      <c r="C211" s="314">
        <v>4</v>
      </c>
      <c r="D211" s="304">
        <v>2</v>
      </c>
      <c r="E211" s="323">
        <f>'Standard Avalrem Table'!F51</f>
        <v>28.291147000712446</v>
      </c>
      <c r="F211" s="304"/>
      <c r="G211" s="304"/>
      <c r="H211" s="304"/>
      <c r="I211" s="304"/>
      <c r="J211" s="304"/>
      <c r="K211" s="314"/>
      <c r="L211" s="237" t="s">
        <v>33</v>
      </c>
      <c r="M211" s="269"/>
      <c r="N211" s="270" t="str">
        <f>$R$120</f>
        <v>Announce</v>
      </c>
      <c r="O211" s="271" t="s">
        <v>379</v>
      </c>
      <c r="Z211" s="148"/>
      <c r="AA211" s="148"/>
      <c r="AV211" s="232"/>
    </row>
    <row r="212" spans="1:48" x14ac:dyDescent="0.2">
      <c r="A212" s="256">
        <v>72</v>
      </c>
      <c r="B212" s="304">
        <v>12</v>
      </c>
      <c r="C212" s="314">
        <v>4</v>
      </c>
      <c r="D212" s="304">
        <v>1</v>
      </c>
      <c r="E212" s="323">
        <f>'Standard Avalrem Table'!F36</f>
        <v>12.724853966755113</v>
      </c>
      <c r="F212" s="304"/>
      <c r="G212" s="304"/>
      <c r="H212" s="304"/>
      <c r="I212" s="304"/>
      <c r="J212" s="304"/>
      <c r="K212" s="314"/>
      <c r="L212" s="237" t="s">
        <v>33</v>
      </c>
      <c r="M212" s="269"/>
      <c r="N212" s="270" t="str">
        <f>$P$120</f>
        <v>Declare</v>
      </c>
      <c r="O212" s="271" t="s">
        <v>379</v>
      </c>
      <c r="Z212" s="148"/>
      <c r="AA212" s="148"/>
      <c r="AV212" s="232"/>
    </row>
    <row r="213" spans="1:48" x14ac:dyDescent="0.2">
      <c r="A213" s="256">
        <v>73</v>
      </c>
      <c r="B213" s="305">
        <v>1</v>
      </c>
      <c r="C213" s="313">
        <v>3</v>
      </c>
      <c r="D213" s="305">
        <v>2</v>
      </c>
      <c r="E213" s="324">
        <f>'Standard Avalrem Table'!E40</f>
        <v>29.008504025822855</v>
      </c>
      <c r="F213" s="305"/>
      <c r="G213" s="305"/>
      <c r="H213" s="305"/>
      <c r="I213" s="305"/>
      <c r="J213" s="305"/>
      <c r="K213" s="313"/>
      <c r="L213" s="239" t="s">
        <v>32</v>
      </c>
      <c r="M213" s="265"/>
      <c r="N213" s="266" t="str">
        <f>$AK$109</f>
        <v>Move</v>
      </c>
      <c r="O213" s="267" t="s">
        <v>362</v>
      </c>
      <c r="Z213" s="148"/>
      <c r="AA213" s="148"/>
      <c r="AV213" s="232"/>
    </row>
    <row r="214" spans="1:48" x14ac:dyDescent="0.2">
      <c r="A214" s="256">
        <v>74</v>
      </c>
      <c r="B214" s="305">
        <v>1</v>
      </c>
      <c r="C214" s="313">
        <v>3</v>
      </c>
      <c r="D214" s="305">
        <v>1</v>
      </c>
      <c r="E214" s="324">
        <f>'Standard Avalrem Table'!E25</f>
        <v>12.487747390847485</v>
      </c>
      <c r="F214" s="305"/>
      <c r="G214" s="305"/>
      <c r="H214" s="305"/>
      <c r="I214" s="305"/>
      <c r="J214" s="305"/>
      <c r="K214" s="313"/>
      <c r="L214" s="239" t="s">
        <v>32</v>
      </c>
      <c r="M214" s="265"/>
      <c r="N214" s="266" t="str">
        <f>$AI$109</f>
        <v>Start</v>
      </c>
      <c r="O214" s="267" t="s">
        <v>362</v>
      </c>
      <c r="Z214" s="148"/>
      <c r="AA214" s="148"/>
      <c r="AV214" s="232"/>
    </row>
    <row r="215" spans="1:48" x14ac:dyDescent="0.2">
      <c r="A215" s="256">
        <v>75</v>
      </c>
      <c r="B215" s="305">
        <v>2</v>
      </c>
      <c r="C215" s="313">
        <v>3</v>
      </c>
      <c r="D215" s="305">
        <v>1</v>
      </c>
      <c r="E215" s="324">
        <f>'Standard Avalrem Table'!E26</f>
        <v>15.349913711425824</v>
      </c>
      <c r="F215" s="305"/>
      <c r="G215" s="305"/>
      <c r="H215" s="305"/>
      <c r="I215" s="305"/>
      <c r="J215" s="305"/>
      <c r="K215" s="313"/>
      <c r="L215" s="239" t="s">
        <v>32</v>
      </c>
      <c r="M215" s="265"/>
      <c r="N215" s="266" t="str">
        <f>$AI$110</f>
        <v>Prepare</v>
      </c>
      <c r="O215" s="267" t="s">
        <v>362</v>
      </c>
      <c r="Z215" s="148"/>
      <c r="AA215" s="148"/>
      <c r="AV215" s="232"/>
    </row>
    <row r="216" spans="1:48" x14ac:dyDescent="0.2">
      <c r="A216" s="256">
        <v>76</v>
      </c>
      <c r="B216" s="305">
        <v>2</v>
      </c>
      <c r="C216" s="313">
        <v>3</v>
      </c>
      <c r="D216" s="305">
        <v>2</v>
      </c>
      <c r="E216" s="324">
        <f>'Standard Avalrem Table'!E41</f>
        <v>30.249436277327128</v>
      </c>
      <c r="F216" s="305"/>
      <c r="G216" s="305"/>
      <c r="H216" s="305"/>
      <c r="I216" s="305"/>
      <c r="J216" s="305"/>
      <c r="K216" s="313"/>
      <c r="L216" s="239" t="s">
        <v>32</v>
      </c>
      <c r="M216" s="265"/>
      <c r="N216" s="266" t="str">
        <f>$AK$110</f>
        <v>Schedule</v>
      </c>
      <c r="O216" s="267" t="s">
        <v>362</v>
      </c>
      <c r="Z216" s="148"/>
      <c r="AA216" s="148"/>
      <c r="AV216" s="232"/>
    </row>
    <row r="217" spans="1:48" x14ac:dyDescent="0.2">
      <c r="A217" s="256">
        <v>77</v>
      </c>
      <c r="B217" s="305">
        <v>3</v>
      </c>
      <c r="C217" s="313">
        <v>3</v>
      </c>
      <c r="D217" s="305">
        <v>2</v>
      </c>
      <c r="E217" s="324">
        <f>'Standard Avalrem Table'!E42</f>
        <v>31.490368528831418</v>
      </c>
      <c r="F217" s="305"/>
      <c r="G217" s="305"/>
      <c r="H217" s="305"/>
      <c r="I217" s="305"/>
      <c r="J217" s="305"/>
      <c r="K217" s="313"/>
      <c r="L217" s="239" t="s">
        <v>32</v>
      </c>
      <c r="M217" s="265"/>
      <c r="N217" s="266" t="str">
        <f>$AK$111</f>
        <v>Improve</v>
      </c>
      <c r="O217" s="267" t="s">
        <v>362</v>
      </c>
      <c r="Z217" s="148"/>
      <c r="AA217" s="148"/>
      <c r="AV217" s="232"/>
    </row>
    <row r="218" spans="1:48" x14ac:dyDescent="0.2">
      <c r="A218" s="256">
        <v>78</v>
      </c>
      <c r="B218" s="305">
        <v>3</v>
      </c>
      <c r="C218" s="313">
        <v>3</v>
      </c>
      <c r="D218" s="305">
        <v>1</v>
      </c>
      <c r="E218" s="324">
        <f>'Standard Avalrem Table'!E27</f>
        <v>15.47396370226063</v>
      </c>
      <c r="F218" s="305"/>
      <c r="G218" s="305"/>
      <c r="H218" s="305"/>
      <c r="I218" s="305"/>
      <c r="J218" s="305"/>
      <c r="K218" s="313"/>
      <c r="L218" s="239" t="s">
        <v>32</v>
      </c>
      <c r="M218" s="265"/>
      <c r="N218" s="266" t="str">
        <f>$AI$111</f>
        <v>Practice</v>
      </c>
      <c r="O218" s="267" t="s">
        <v>362</v>
      </c>
      <c r="Z218" s="148"/>
      <c r="AA218" s="148"/>
      <c r="AV218" s="232"/>
    </row>
    <row r="219" spans="1:48" x14ac:dyDescent="0.2">
      <c r="A219" s="256">
        <v>79</v>
      </c>
      <c r="B219" s="305">
        <v>4</v>
      </c>
      <c r="C219" s="313">
        <v>3</v>
      </c>
      <c r="D219" s="305">
        <v>1</v>
      </c>
      <c r="E219" s="324">
        <f>'Standard Avalrem Table'!E28</f>
        <v>15.918179527407723</v>
      </c>
      <c r="F219" s="305"/>
      <c r="G219" s="305"/>
      <c r="H219" s="305"/>
      <c r="I219" s="305"/>
      <c r="J219" s="305"/>
      <c r="K219" s="313"/>
      <c r="L219" s="239" t="s">
        <v>32</v>
      </c>
      <c r="M219" s="265"/>
      <c r="N219" s="266" t="str">
        <f>$AI$112</f>
        <v>Measure</v>
      </c>
      <c r="O219" s="267" t="s">
        <v>362</v>
      </c>
      <c r="Z219" s="148"/>
      <c r="AA219" s="148"/>
      <c r="AV219" s="232"/>
    </row>
    <row r="220" spans="1:48" x14ac:dyDescent="0.2">
      <c r="A220" s="256">
        <v>80</v>
      </c>
      <c r="B220" s="305">
        <v>4</v>
      </c>
      <c r="C220" s="313">
        <v>3</v>
      </c>
      <c r="D220" s="305">
        <v>2</v>
      </c>
      <c r="E220" s="324">
        <f>'Standard Avalrem Table'!E43</f>
        <v>31.490368528831418</v>
      </c>
      <c r="F220" s="305"/>
      <c r="G220" s="305"/>
      <c r="H220" s="305"/>
      <c r="I220" s="305"/>
      <c r="J220" s="305"/>
      <c r="K220" s="313"/>
      <c r="L220" s="239" t="s">
        <v>32</v>
      </c>
      <c r="M220" s="265" t="s">
        <v>311</v>
      </c>
      <c r="N220" s="266" t="str">
        <f>$AK$112</f>
        <v>Project</v>
      </c>
      <c r="O220" s="267" t="s">
        <v>362</v>
      </c>
      <c r="Z220" s="148"/>
      <c r="AA220" s="148"/>
      <c r="AV220" s="232"/>
    </row>
    <row r="221" spans="1:48" x14ac:dyDescent="0.2">
      <c r="A221" s="256">
        <v>81</v>
      </c>
      <c r="B221" s="305">
        <v>5</v>
      </c>
      <c r="C221" s="313">
        <v>3</v>
      </c>
      <c r="D221" s="305">
        <v>2</v>
      </c>
      <c r="E221" s="324">
        <f>'Standard Avalrem Table'!E44</f>
        <v>30.249436277327131</v>
      </c>
      <c r="F221" s="305"/>
      <c r="G221" s="305"/>
      <c r="H221" s="305"/>
      <c r="I221" s="305"/>
      <c r="J221" s="305"/>
      <c r="K221" s="313"/>
      <c r="L221" s="239" t="s">
        <v>32</v>
      </c>
      <c r="M221" s="265" t="s">
        <v>310</v>
      </c>
      <c r="N221" s="266" t="str">
        <f>$AK$113</f>
        <v>Act</v>
      </c>
      <c r="O221" s="267" t="s">
        <v>362</v>
      </c>
      <c r="Z221" s="148"/>
      <c r="AA221" s="148"/>
      <c r="AV221" s="232"/>
    </row>
    <row r="222" spans="1:48" x14ac:dyDescent="0.2">
      <c r="A222" s="256">
        <v>82</v>
      </c>
      <c r="B222" s="305">
        <v>5</v>
      </c>
      <c r="C222" s="313">
        <v>3</v>
      </c>
      <c r="D222" s="305">
        <v>1</v>
      </c>
      <c r="E222" s="324">
        <f>'Standard Avalrem Table'!E29</f>
        <v>13.056013206829377</v>
      </c>
      <c r="F222" s="305"/>
      <c r="G222" s="305"/>
      <c r="H222" s="305"/>
      <c r="I222" s="305"/>
      <c r="J222" s="305"/>
      <c r="K222" s="313"/>
      <c r="L222" s="239" t="s">
        <v>32</v>
      </c>
      <c r="M222" s="265" t="s">
        <v>213</v>
      </c>
      <c r="N222" s="266" t="str">
        <f>$AI$113</f>
        <v>Inspect</v>
      </c>
      <c r="O222" s="267" t="s">
        <v>362</v>
      </c>
      <c r="Z222" s="148"/>
      <c r="AA222" s="148"/>
      <c r="AV222" s="232"/>
    </row>
    <row r="223" spans="1:48" x14ac:dyDescent="0.2">
      <c r="A223" s="256">
        <v>83</v>
      </c>
      <c r="B223" s="305">
        <v>6</v>
      </c>
      <c r="C223" s="313">
        <v>3</v>
      </c>
      <c r="D223" s="305">
        <v>2</v>
      </c>
      <c r="E223" s="324">
        <f>'Standard Avalrem Table'!E45</f>
        <v>29.008504025822855</v>
      </c>
      <c r="F223" s="305"/>
      <c r="G223" s="305"/>
      <c r="H223" s="305"/>
      <c r="I223" s="305"/>
      <c r="J223" s="305"/>
      <c r="K223" s="313"/>
      <c r="L223" s="239" t="s">
        <v>32</v>
      </c>
      <c r="M223" s="265"/>
      <c r="N223" s="266" t="str">
        <f>$AK$114</f>
        <v>Mentor</v>
      </c>
      <c r="O223" s="267" t="s">
        <v>362</v>
      </c>
      <c r="Z223" s="148"/>
      <c r="AA223" s="148"/>
      <c r="AV223" s="232"/>
    </row>
    <row r="224" spans="1:48" x14ac:dyDescent="0.2">
      <c r="A224" s="256">
        <v>84</v>
      </c>
      <c r="B224" s="305">
        <v>6</v>
      </c>
      <c r="C224" s="313">
        <v>3</v>
      </c>
      <c r="D224" s="305">
        <v>1</v>
      </c>
      <c r="E224" s="324">
        <f>'Standard Avalrem Table'!E30</f>
        <v>12.931963215994571</v>
      </c>
      <c r="F224" s="305"/>
      <c r="G224" s="305"/>
      <c r="H224" s="305"/>
      <c r="I224" s="305"/>
      <c r="J224" s="305"/>
      <c r="K224" s="313"/>
      <c r="L224" s="239" t="s">
        <v>32</v>
      </c>
      <c r="M224" s="265"/>
      <c r="N224" s="266" t="str">
        <f>$AI$114</f>
        <v>Train</v>
      </c>
      <c r="O224" s="267" t="s">
        <v>362</v>
      </c>
      <c r="Z224" s="148"/>
      <c r="AA224" s="148"/>
      <c r="AV224" s="232"/>
    </row>
    <row r="225" spans="1:48" x14ac:dyDescent="0.2">
      <c r="A225" s="256">
        <v>85</v>
      </c>
      <c r="B225" s="305">
        <v>7</v>
      </c>
      <c r="C225" s="313">
        <v>3</v>
      </c>
      <c r="D225" s="305">
        <v>1</v>
      </c>
      <c r="E225" s="324">
        <f>'Standard Avalrem Table'!E31</f>
        <v>12.487747390847485</v>
      </c>
      <c r="F225" s="305"/>
      <c r="G225" s="305"/>
      <c r="H225" s="305"/>
      <c r="I225" s="305"/>
      <c r="J225" s="305"/>
      <c r="K225" s="313"/>
      <c r="L225" s="239" t="s">
        <v>32</v>
      </c>
      <c r="M225" s="265"/>
      <c r="N225" s="266" t="str">
        <f>$AI$115</f>
        <v>Invite</v>
      </c>
      <c r="O225" s="267" t="s">
        <v>362</v>
      </c>
      <c r="Z225" s="148"/>
      <c r="AA225" s="148"/>
      <c r="AV225" s="232"/>
    </row>
    <row r="226" spans="1:48" x14ac:dyDescent="0.2">
      <c r="A226" s="256">
        <v>86</v>
      </c>
      <c r="B226" s="305">
        <v>7</v>
      </c>
      <c r="C226" s="313">
        <v>3</v>
      </c>
      <c r="D226" s="305">
        <v>2</v>
      </c>
      <c r="E226" s="324">
        <f>'Standard Avalrem Table'!E46</f>
        <v>29.008504025822855</v>
      </c>
      <c r="F226" s="305"/>
      <c r="G226" s="305"/>
      <c r="H226" s="305"/>
      <c r="I226" s="305"/>
      <c r="J226" s="305"/>
      <c r="K226" s="313"/>
      <c r="L226" s="239" t="s">
        <v>32</v>
      </c>
      <c r="M226" s="265"/>
      <c r="N226" s="266" t="str">
        <f>$AK$115</f>
        <v>Request</v>
      </c>
      <c r="O226" s="267" t="s">
        <v>362</v>
      </c>
      <c r="Z226" s="148"/>
      <c r="AA226" s="148"/>
      <c r="AV226" s="232"/>
    </row>
    <row r="227" spans="1:48" x14ac:dyDescent="0.2">
      <c r="A227" s="256">
        <v>87</v>
      </c>
      <c r="B227" s="305">
        <v>8</v>
      </c>
      <c r="C227" s="313">
        <v>3</v>
      </c>
      <c r="D227" s="305">
        <v>1</v>
      </c>
      <c r="E227" s="324">
        <f>'Standard Avalrem Table'!E32</f>
        <v>15.349913711425824</v>
      </c>
      <c r="F227" s="305"/>
      <c r="G227" s="305"/>
      <c r="H227" s="305"/>
      <c r="I227" s="305"/>
      <c r="J227" s="305"/>
      <c r="K227" s="313"/>
      <c r="L227" s="239" t="s">
        <v>32</v>
      </c>
      <c r="M227" s="265"/>
      <c r="N227" s="266" t="str">
        <f>$AI$116</f>
        <v>Allocate</v>
      </c>
      <c r="O227" s="267" t="s">
        <v>362</v>
      </c>
      <c r="Z227" s="148"/>
      <c r="AA227" s="148"/>
      <c r="AV227" s="232"/>
    </row>
    <row r="228" spans="1:48" x14ac:dyDescent="0.2">
      <c r="A228" s="256">
        <v>88</v>
      </c>
      <c r="B228" s="305">
        <v>8</v>
      </c>
      <c r="C228" s="313">
        <v>3</v>
      </c>
      <c r="D228" s="305">
        <v>2</v>
      </c>
      <c r="E228" s="324">
        <f>'Standard Avalrem Table'!E47</f>
        <v>30.249436277327128</v>
      </c>
      <c r="F228" s="305"/>
      <c r="G228" s="305"/>
      <c r="H228" s="305"/>
      <c r="I228" s="305"/>
      <c r="J228" s="305"/>
      <c r="K228" s="313"/>
      <c r="L228" s="239" t="s">
        <v>32</v>
      </c>
      <c r="M228" s="265"/>
      <c r="N228" s="266" t="str">
        <f>$AK$116</f>
        <v>Distribute</v>
      </c>
      <c r="O228" s="267" t="s">
        <v>362</v>
      </c>
      <c r="Z228" s="148"/>
      <c r="AA228" s="148"/>
      <c r="AV228" s="232"/>
    </row>
    <row r="229" spans="1:48" x14ac:dyDescent="0.2">
      <c r="A229" s="256">
        <v>89</v>
      </c>
      <c r="B229" s="305">
        <v>9</v>
      </c>
      <c r="C229" s="313">
        <v>3</v>
      </c>
      <c r="D229" s="305">
        <v>1</v>
      </c>
      <c r="E229" s="324">
        <f>'Standard Avalrem Table'!E33</f>
        <v>15.47396370226063</v>
      </c>
      <c r="F229" s="305"/>
      <c r="G229" s="305"/>
      <c r="H229" s="305"/>
      <c r="I229" s="305"/>
      <c r="J229" s="305"/>
      <c r="K229" s="313"/>
      <c r="L229" s="239" t="s">
        <v>32</v>
      </c>
      <c r="M229" s="265"/>
      <c r="N229" s="266" t="str">
        <f>$AI$117</f>
        <v>Integrate</v>
      </c>
      <c r="O229" s="267" t="s">
        <v>362</v>
      </c>
      <c r="Z229" s="148"/>
      <c r="AA229" s="148"/>
      <c r="AV229" s="232"/>
    </row>
    <row r="230" spans="1:48" x14ac:dyDescent="0.2">
      <c r="A230" s="256">
        <v>90</v>
      </c>
      <c r="B230" s="305">
        <v>9</v>
      </c>
      <c r="C230" s="313">
        <v>3</v>
      </c>
      <c r="D230" s="305">
        <v>2</v>
      </c>
      <c r="E230" s="324">
        <f>'Standard Avalrem Table'!E48</f>
        <v>31.490368528831418</v>
      </c>
      <c r="F230" s="305"/>
      <c r="G230" s="305"/>
      <c r="H230" s="305"/>
      <c r="I230" s="305"/>
      <c r="J230" s="305"/>
      <c r="K230" s="313"/>
      <c r="L230" s="239" t="s">
        <v>32</v>
      </c>
      <c r="M230" s="265"/>
      <c r="N230" s="266" t="str">
        <f>$AK$117</f>
        <v>Synchronize</v>
      </c>
      <c r="O230" s="267" t="s">
        <v>362</v>
      </c>
      <c r="Z230" s="148"/>
      <c r="AA230" s="148"/>
      <c r="AV230" s="232"/>
    </row>
    <row r="231" spans="1:48" x14ac:dyDescent="0.2">
      <c r="A231" s="256">
        <v>91</v>
      </c>
      <c r="B231" s="305">
        <v>10</v>
      </c>
      <c r="C231" s="313">
        <v>3</v>
      </c>
      <c r="D231" s="305">
        <v>1</v>
      </c>
      <c r="E231" s="324">
        <f>'Standard Avalrem Table'!E34</f>
        <v>15.918179527407723</v>
      </c>
      <c r="F231" s="305"/>
      <c r="G231" s="305"/>
      <c r="H231" s="305"/>
      <c r="I231" s="305"/>
      <c r="J231" s="305"/>
      <c r="K231" s="313"/>
      <c r="L231" s="239" t="s">
        <v>32</v>
      </c>
      <c r="M231" s="265" t="s">
        <v>133</v>
      </c>
      <c r="N231" s="266" t="str">
        <f>$AI$118</f>
        <v>Adapt</v>
      </c>
      <c r="O231" s="267" t="s">
        <v>362</v>
      </c>
      <c r="Z231" s="148"/>
      <c r="AA231" s="148"/>
      <c r="AV231" s="232"/>
    </row>
    <row r="232" spans="1:48" x14ac:dyDescent="0.2">
      <c r="A232" s="256">
        <v>92</v>
      </c>
      <c r="B232" s="305">
        <v>10</v>
      </c>
      <c r="C232" s="313">
        <v>3</v>
      </c>
      <c r="D232" s="305">
        <v>2</v>
      </c>
      <c r="E232" s="324">
        <f>'Standard Avalrem Table'!E49</f>
        <v>31.490368528831418</v>
      </c>
      <c r="F232" s="305"/>
      <c r="G232" s="305"/>
      <c r="H232" s="305"/>
      <c r="I232" s="305"/>
      <c r="J232" s="305"/>
      <c r="K232" s="313"/>
      <c r="L232" s="239" t="s">
        <v>32</v>
      </c>
      <c r="M232" s="265"/>
      <c r="N232" s="266" t="str">
        <f>$AK$118</f>
        <v>Calibrate</v>
      </c>
      <c r="O232" s="267" t="s">
        <v>362</v>
      </c>
      <c r="Z232" s="148"/>
      <c r="AA232" s="148"/>
      <c r="AV232" s="232"/>
    </row>
    <row r="233" spans="1:48" x14ac:dyDescent="0.2">
      <c r="A233" s="256">
        <v>93</v>
      </c>
      <c r="B233" s="305">
        <v>11</v>
      </c>
      <c r="C233" s="313">
        <v>3</v>
      </c>
      <c r="D233" s="305">
        <v>1</v>
      </c>
      <c r="E233" s="324">
        <f>'Standard Avalrem Table'!E35</f>
        <v>13.056013206829377</v>
      </c>
      <c r="F233" s="305"/>
      <c r="G233" s="305"/>
      <c r="H233" s="305"/>
      <c r="I233" s="305"/>
      <c r="J233" s="305"/>
      <c r="K233" s="313"/>
      <c r="L233" s="239" t="s">
        <v>32</v>
      </c>
      <c r="M233" s="265"/>
      <c r="N233" s="266" t="str">
        <f>$AI$119</f>
        <v>Develop</v>
      </c>
      <c r="O233" s="267" t="s">
        <v>362</v>
      </c>
      <c r="Z233" s="148"/>
      <c r="AA233" s="148"/>
      <c r="AV233" s="232"/>
    </row>
    <row r="234" spans="1:48" x14ac:dyDescent="0.2">
      <c r="A234" s="256">
        <v>94</v>
      </c>
      <c r="B234" s="305">
        <v>11</v>
      </c>
      <c r="C234" s="313">
        <v>3</v>
      </c>
      <c r="D234" s="305">
        <v>2</v>
      </c>
      <c r="E234" s="324">
        <f>'Standard Avalrem Table'!E50</f>
        <v>30.249436277327131</v>
      </c>
      <c r="F234" s="305"/>
      <c r="G234" s="305"/>
      <c r="H234" s="305"/>
      <c r="I234" s="305"/>
      <c r="J234" s="305"/>
      <c r="K234" s="313"/>
      <c r="L234" s="239" t="s">
        <v>32</v>
      </c>
      <c r="M234" s="265"/>
      <c r="N234" s="266" t="str">
        <f>$AK$119</f>
        <v>Experiment</v>
      </c>
      <c r="O234" s="267" t="s">
        <v>362</v>
      </c>
      <c r="Z234" s="148"/>
      <c r="AA234" s="148"/>
      <c r="AV234" s="232"/>
    </row>
    <row r="235" spans="1:48" x14ac:dyDescent="0.2">
      <c r="A235" s="256">
        <v>95</v>
      </c>
      <c r="B235" s="305">
        <v>12</v>
      </c>
      <c r="C235" s="313">
        <v>3</v>
      </c>
      <c r="D235" s="305">
        <v>1</v>
      </c>
      <c r="E235" s="324">
        <f>'Standard Avalrem Table'!E36</f>
        <v>12.931963215994571</v>
      </c>
      <c r="F235" s="305"/>
      <c r="G235" s="305"/>
      <c r="H235" s="305"/>
      <c r="I235" s="305"/>
      <c r="J235" s="305"/>
      <c r="K235" s="313"/>
      <c r="L235" s="239" t="s">
        <v>32</v>
      </c>
      <c r="M235" s="265"/>
      <c r="N235" s="266" t="str">
        <f>$AI$120</f>
        <v>Arrange</v>
      </c>
      <c r="O235" s="267" t="s">
        <v>362</v>
      </c>
      <c r="Z235" s="148"/>
      <c r="AA235" s="148"/>
      <c r="AV235" s="232"/>
    </row>
    <row r="236" spans="1:48" x14ac:dyDescent="0.2">
      <c r="A236" s="256">
        <v>96</v>
      </c>
      <c r="B236" s="305">
        <v>12</v>
      </c>
      <c r="C236" s="313">
        <v>3</v>
      </c>
      <c r="D236" s="305">
        <v>2</v>
      </c>
      <c r="E236" s="324">
        <f>'Standard Avalrem Table'!E51</f>
        <v>29.008504025822855</v>
      </c>
      <c r="F236" s="305"/>
      <c r="G236" s="305"/>
      <c r="H236" s="305"/>
      <c r="I236" s="305"/>
      <c r="J236" s="305"/>
      <c r="K236" s="313"/>
      <c r="L236" s="239" t="s">
        <v>32</v>
      </c>
      <c r="M236" s="265"/>
      <c r="N236" s="266" t="str">
        <f>$AK$120</f>
        <v>Manipulate</v>
      </c>
      <c r="O236" s="267" t="s">
        <v>362</v>
      </c>
      <c r="Z236" s="148"/>
      <c r="AA236" s="148"/>
      <c r="AV236" s="232"/>
    </row>
    <row r="237" spans="1:48" x14ac:dyDescent="0.2">
      <c r="A237" s="256">
        <v>97</v>
      </c>
      <c r="B237" s="306">
        <v>1</v>
      </c>
      <c r="C237" s="312">
        <v>2</v>
      </c>
      <c r="D237" s="306">
        <v>1</v>
      </c>
      <c r="E237" s="325">
        <f>'Standard Avalrem Table'!D25</f>
        <v>12.363520434532601</v>
      </c>
      <c r="F237" s="306"/>
      <c r="G237" s="306"/>
      <c r="H237" s="306"/>
      <c r="I237" s="306"/>
      <c r="J237" s="306"/>
      <c r="K237" s="312"/>
      <c r="L237" s="257" t="s">
        <v>31</v>
      </c>
      <c r="M237" s="258"/>
      <c r="N237" s="259" t="str">
        <f>$Z$123</f>
        <v>Imagine</v>
      </c>
      <c r="O237" s="260" t="s">
        <v>350</v>
      </c>
      <c r="Z237" s="148"/>
      <c r="AA237" s="148"/>
      <c r="AV237" s="232"/>
    </row>
    <row r="238" spans="1:48" x14ac:dyDescent="0.2">
      <c r="A238" s="256">
        <v>98</v>
      </c>
      <c r="B238" s="306">
        <v>1</v>
      </c>
      <c r="C238" s="312">
        <v>2</v>
      </c>
      <c r="D238" s="306">
        <v>2</v>
      </c>
      <c r="E238" s="325">
        <f>'Standard Avalrem Table'!D40</f>
        <v>28.940934395614313</v>
      </c>
      <c r="F238" s="306"/>
      <c r="G238" s="306"/>
      <c r="H238" s="306"/>
      <c r="I238" s="306"/>
      <c r="J238" s="306"/>
      <c r="K238" s="312"/>
      <c r="L238" s="257" t="s">
        <v>31</v>
      </c>
      <c r="M238" s="258"/>
      <c r="N238" s="259" t="str">
        <f>$AB$123</f>
        <v>Vision</v>
      </c>
      <c r="O238" s="260" t="s">
        <v>350</v>
      </c>
      <c r="Z238" s="148"/>
      <c r="AA238" s="148"/>
      <c r="AV238" s="232"/>
    </row>
    <row r="239" spans="1:48" x14ac:dyDescent="0.2">
      <c r="A239" s="256">
        <v>99</v>
      </c>
      <c r="B239" s="306">
        <v>2</v>
      </c>
      <c r="C239" s="312">
        <v>2</v>
      </c>
      <c r="D239" s="306">
        <v>2</v>
      </c>
      <c r="E239" s="325">
        <f>'Standard Avalrem Table'!D41</f>
        <v>30.222749043448452</v>
      </c>
      <c r="F239" s="306"/>
      <c r="G239" s="306"/>
      <c r="H239" s="306"/>
      <c r="I239" s="306"/>
      <c r="J239" s="306"/>
      <c r="K239" s="312"/>
      <c r="L239" s="257" t="s">
        <v>31</v>
      </c>
      <c r="M239" s="258" t="s">
        <v>373</v>
      </c>
      <c r="N239" s="259" t="str">
        <f>$AB$124</f>
        <v>Adjust</v>
      </c>
      <c r="O239" s="260" t="s">
        <v>350</v>
      </c>
      <c r="Z239" s="148"/>
      <c r="AA239" s="148"/>
      <c r="AV239" s="232"/>
    </row>
    <row r="240" spans="1:48" x14ac:dyDescent="0.2">
      <c r="A240" s="256">
        <v>100</v>
      </c>
      <c r="B240" s="306">
        <v>2</v>
      </c>
      <c r="C240" s="312">
        <v>2</v>
      </c>
      <c r="D240" s="306">
        <v>1</v>
      </c>
      <c r="E240" s="325">
        <f>'Standard Avalrem Table'!D26</f>
        <v>14.768225296037503</v>
      </c>
      <c r="F240" s="306"/>
      <c r="G240" s="306"/>
      <c r="H240" s="306"/>
      <c r="I240" s="306"/>
      <c r="J240" s="306"/>
      <c r="K240" s="312"/>
      <c r="L240" s="257" t="s">
        <v>31</v>
      </c>
      <c r="M240" s="258"/>
      <c r="N240" s="259" t="str">
        <f>$Z$124</f>
        <v>Design</v>
      </c>
      <c r="O240" s="260" t="s">
        <v>350</v>
      </c>
      <c r="Z240" s="148"/>
      <c r="AA240" s="148"/>
      <c r="AV240" s="232"/>
    </row>
    <row r="241" spans="1:48" x14ac:dyDescent="0.2">
      <c r="A241" s="256">
        <v>101</v>
      </c>
      <c r="B241" s="306">
        <v>3</v>
      </c>
      <c r="C241" s="312">
        <v>2</v>
      </c>
      <c r="D241" s="306">
        <v>2</v>
      </c>
      <c r="E241" s="325">
        <f>'Standard Avalrem Table'!D42</f>
        <v>31.504563691282584</v>
      </c>
      <c r="F241" s="306"/>
      <c r="G241" s="306"/>
      <c r="H241" s="306"/>
      <c r="I241" s="306"/>
      <c r="J241" s="306"/>
      <c r="K241" s="312"/>
      <c r="L241" s="257" t="s">
        <v>31</v>
      </c>
      <c r="M241" s="258"/>
      <c r="N241" s="259" t="str">
        <f>$AB$125</f>
        <v>Cultivate</v>
      </c>
      <c r="O241" s="260" t="s">
        <v>350</v>
      </c>
      <c r="Z241" s="148"/>
      <c r="AA241" s="148"/>
      <c r="AV241" s="232"/>
    </row>
    <row r="242" spans="1:48" x14ac:dyDescent="0.2">
      <c r="A242" s="256">
        <v>102</v>
      </c>
      <c r="B242" s="306">
        <v>3</v>
      </c>
      <c r="C242" s="312">
        <v>2</v>
      </c>
      <c r="D242" s="306">
        <v>1</v>
      </c>
      <c r="E242" s="325">
        <f>'Standard Avalrem Table'!D27</f>
        <v>15.55080839090189</v>
      </c>
      <c r="F242" s="306"/>
      <c r="G242" s="306"/>
      <c r="H242" s="306"/>
      <c r="I242" s="306"/>
      <c r="J242" s="306"/>
      <c r="K242" s="312"/>
      <c r="L242" s="257" t="s">
        <v>31</v>
      </c>
      <c r="M242" s="258"/>
      <c r="N242" s="259" t="str">
        <f>$Z$125</f>
        <v>Institute</v>
      </c>
      <c r="O242" s="260" t="s">
        <v>350</v>
      </c>
      <c r="Z242" s="148"/>
      <c r="AA242" s="148"/>
      <c r="AV242" s="232"/>
    </row>
    <row r="243" spans="1:48" x14ac:dyDescent="0.2">
      <c r="A243" s="256">
        <v>103</v>
      </c>
      <c r="B243" s="306">
        <v>4</v>
      </c>
      <c r="C243" s="312">
        <v>2</v>
      </c>
      <c r="D243" s="306">
        <v>2</v>
      </c>
      <c r="E243" s="325">
        <f>'Standard Avalrem Table'!D43</f>
        <v>31.504563691282584</v>
      </c>
      <c r="F243" s="306"/>
      <c r="G243" s="306"/>
      <c r="H243" s="306"/>
      <c r="I243" s="306"/>
      <c r="J243" s="306"/>
      <c r="K243" s="312"/>
      <c r="L243" s="257" t="s">
        <v>31</v>
      </c>
      <c r="M243" s="258"/>
      <c r="N243" s="259" t="str">
        <f>$AB$126</f>
        <v>React</v>
      </c>
      <c r="O243" s="260" t="s">
        <v>350</v>
      </c>
      <c r="Z243" s="148"/>
      <c r="AA243" s="148"/>
      <c r="AV243" s="232"/>
    </row>
    <row r="244" spans="1:48" x14ac:dyDescent="0.2">
      <c r="A244" s="256">
        <v>104</v>
      </c>
      <c r="B244" s="306">
        <v>4</v>
      </c>
      <c r="C244" s="312">
        <v>2</v>
      </c>
      <c r="D244" s="306">
        <v>1</v>
      </c>
      <c r="E244" s="325">
        <f>'Standard Avalrem Table'!D28</f>
        <v>15.839903745332272</v>
      </c>
      <c r="F244" s="306"/>
      <c r="G244" s="306"/>
      <c r="H244" s="306"/>
      <c r="I244" s="306"/>
      <c r="J244" s="306"/>
      <c r="K244" s="312"/>
      <c r="L244" s="257" t="s">
        <v>31</v>
      </c>
      <c r="M244" s="258"/>
      <c r="N244" s="259" t="str">
        <f>$Z$126</f>
        <v>Respond</v>
      </c>
      <c r="O244" s="260" t="s">
        <v>350</v>
      </c>
      <c r="Z244" s="148"/>
      <c r="AA244" s="148"/>
      <c r="AV244" s="232"/>
    </row>
    <row r="245" spans="1:48" x14ac:dyDescent="0.2">
      <c r="A245" s="256">
        <v>105</v>
      </c>
      <c r="B245" s="306">
        <v>5</v>
      </c>
      <c r="C245" s="312">
        <v>2</v>
      </c>
      <c r="D245" s="306">
        <v>2</v>
      </c>
      <c r="E245" s="325">
        <f>'Standard Avalrem Table'!D44</f>
        <v>30.222749043448452</v>
      </c>
      <c r="F245" s="306"/>
      <c r="G245" s="306"/>
      <c r="H245" s="306"/>
      <c r="I245" s="306"/>
      <c r="J245" s="306"/>
      <c r="K245" s="312"/>
      <c r="L245" s="257" t="s">
        <v>31</v>
      </c>
      <c r="M245" s="258"/>
      <c r="N245" s="259" t="str">
        <f>$AB$127</f>
        <v>Coach</v>
      </c>
      <c r="O245" s="260" t="s">
        <v>350</v>
      </c>
      <c r="Z245" s="148"/>
      <c r="AA245" s="148"/>
      <c r="AV245" s="232"/>
    </row>
    <row r="246" spans="1:48" x14ac:dyDescent="0.2">
      <c r="A246" s="256">
        <v>106</v>
      </c>
      <c r="B246" s="306">
        <v>5</v>
      </c>
      <c r="C246" s="312">
        <v>2</v>
      </c>
      <c r="D246" s="306">
        <v>1</v>
      </c>
      <c r="E246" s="325">
        <f>'Standard Avalrem Table'!D29</f>
        <v>13.435198883827368</v>
      </c>
      <c r="F246" s="306"/>
      <c r="G246" s="306"/>
      <c r="H246" s="306"/>
      <c r="I246" s="306"/>
      <c r="J246" s="306"/>
      <c r="K246" s="312"/>
      <c r="L246" s="257" t="s">
        <v>31</v>
      </c>
      <c r="M246" s="258"/>
      <c r="N246" s="259" t="str">
        <f>$Z$127</f>
        <v>Educate</v>
      </c>
      <c r="O246" s="260" t="s">
        <v>350</v>
      </c>
      <c r="Z246" s="148"/>
      <c r="AA246" s="148"/>
      <c r="AV246" s="232"/>
    </row>
    <row r="247" spans="1:48" x14ac:dyDescent="0.2">
      <c r="A247" s="256">
        <v>107</v>
      </c>
      <c r="B247" s="306">
        <v>6</v>
      </c>
      <c r="C247" s="312">
        <v>2</v>
      </c>
      <c r="D247" s="306">
        <v>2</v>
      </c>
      <c r="E247" s="325">
        <f>'Standard Avalrem Table'!D45</f>
        <v>28.940934395614313</v>
      </c>
      <c r="F247" s="306"/>
      <c r="G247" s="306"/>
      <c r="H247" s="306"/>
      <c r="I247" s="306"/>
      <c r="J247" s="306"/>
      <c r="K247" s="312"/>
      <c r="L247" s="257" t="s">
        <v>31</v>
      </c>
      <c r="M247" s="258"/>
      <c r="N247" s="259" t="str">
        <f>$AB$128</f>
        <v>Abolish</v>
      </c>
      <c r="O247" s="260" t="s">
        <v>350</v>
      </c>
      <c r="Z247" s="148"/>
      <c r="AA247" s="148"/>
      <c r="AV247" s="232"/>
    </row>
    <row r="248" spans="1:48" x14ac:dyDescent="0.2">
      <c r="A248" s="256">
        <v>108</v>
      </c>
      <c r="B248" s="306">
        <v>6</v>
      </c>
      <c r="C248" s="312">
        <v>2</v>
      </c>
      <c r="D248" s="306">
        <v>1</v>
      </c>
      <c r="E248" s="325">
        <f>'Standard Avalrem Table'!D30</f>
        <v>12.652615788962985</v>
      </c>
      <c r="F248" s="306"/>
      <c r="G248" s="306"/>
      <c r="H248" s="306"/>
      <c r="I248" s="306"/>
      <c r="J248" s="306"/>
      <c r="K248" s="312"/>
      <c r="L248" s="257" t="s">
        <v>31</v>
      </c>
      <c r="M248" s="258"/>
      <c r="N248" s="259" t="str">
        <f>$Z$128</f>
        <v>Eliminate</v>
      </c>
      <c r="O248" s="260" t="s">
        <v>350</v>
      </c>
      <c r="Z248" s="148"/>
      <c r="AA248" s="148"/>
      <c r="AV248" s="232"/>
    </row>
    <row r="249" spans="1:48" x14ac:dyDescent="0.2">
      <c r="A249" s="256">
        <v>109</v>
      </c>
      <c r="B249" s="306">
        <v>7</v>
      </c>
      <c r="C249" s="312">
        <v>2</v>
      </c>
      <c r="D249" s="306">
        <v>1</v>
      </c>
      <c r="E249" s="325">
        <f>'Standard Avalrem Table'!D31</f>
        <v>12.363520434532601</v>
      </c>
      <c r="F249" s="306"/>
      <c r="G249" s="306"/>
      <c r="H249" s="306"/>
      <c r="I249" s="306"/>
      <c r="J249" s="306"/>
      <c r="K249" s="312"/>
      <c r="L249" s="257" t="s">
        <v>31</v>
      </c>
      <c r="M249" s="258"/>
      <c r="N249" s="259" t="str">
        <f>$Z$129</f>
        <v>Change</v>
      </c>
      <c r="O249" s="260" t="s">
        <v>350</v>
      </c>
      <c r="Z249" s="148"/>
      <c r="AA249" s="148"/>
      <c r="AV249" s="232"/>
    </row>
    <row r="250" spans="1:48" x14ac:dyDescent="0.2">
      <c r="A250" s="256">
        <v>110</v>
      </c>
      <c r="B250" s="306">
        <v>7</v>
      </c>
      <c r="C250" s="312">
        <v>2</v>
      </c>
      <c r="D250" s="306">
        <v>2</v>
      </c>
      <c r="E250" s="325">
        <f>'Standard Avalrem Table'!D46</f>
        <v>28.940934395614313</v>
      </c>
      <c r="F250" s="306"/>
      <c r="G250" s="306"/>
      <c r="H250" s="306"/>
      <c r="I250" s="306"/>
      <c r="J250" s="306"/>
      <c r="K250" s="312"/>
      <c r="L250" s="257" t="s">
        <v>31</v>
      </c>
      <c r="M250" s="258"/>
      <c r="N250" s="259" t="str">
        <f>$AB$129</f>
        <v>Transform</v>
      </c>
      <c r="O250" s="260" t="s">
        <v>350</v>
      </c>
      <c r="Z250" s="148"/>
      <c r="AA250" s="148"/>
      <c r="AV250" s="232"/>
    </row>
    <row r="251" spans="1:48" x14ac:dyDescent="0.2">
      <c r="A251" s="256">
        <v>111</v>
      </c>
      <c r="B251" s="306">
        <v>8</v>
      </c>
      <c r="C251" s="312">
        <v>2</v>
      </c>
      <c r="D251" s="306">
        <v>2</v>
      </c>
      <c r="E251" s="325">
        <f>'Standard Avalrem Table'!D47</f>
        <v>30.222749043448452</v>
      </c>
      <c r="F251" s="306"/>
      <c r="G251" s="306"/>
      <c r="H251" s="306"/>
      <c r="I251" s="306"/>
      <c r="J251" s="306"/>
      <c r="K251" s="312"/>
      <c r="L251" s="257" t="s">
        <v>31</v>
      </c>
      <c r="M251" s="258"/>
      <c r="N251" s="259" t="str">
        <f>$AB$130</f>
        <v>Assign</v>
      </c>
      <c r="O251" s="260" t="s">
        <v>350</v>
      </c>
      <c r="Z251" s="148"/>
      <c r="AA251" s="148"/>
      <c r="AV251" s="232"/>
    </row>
    <row r="252" spans="1:48" x14ac:dyDescent="0.2">
      <c r="A252" s="256">
        <v>112</v>
      </c>
      <c r="B252" s="306">
        <v>8</v>
      </c>
      <c r="C252" s="312">
        <v>2</v>
      </c>
      <c r="D252" s="306">
        <v>1</v>
      </c>
      <c r="E252" s="325">
        <f>'Standard Avalrem Table'!D32</f>
        <v>14.768225296037503</v>
      </c>
      <c r="F252" s="306"/>
      <c r="G252" s="306"/>
      <c r="H252" s="306"/>
      <c r="I252" s="306"/>
      <c r="J252" s="306"/>
      <c r="K252" s="312"/>
      <c r="L252" s="257" t="s">
        <v>31</v>
      </c>
      <c r="M252" s="258"/>
      <c r="N252" s="259" t="str">
        <f>$Z$130</f>
        <v>Delegate</v>
      </c>
      <c r="O252" s="260" t="s">
        <v>350</v>
      </c>
      <c r="Z252" s="148"/>
      <c r="AA252" s="148"/>
      <c r="AV252" s="232"/>
    </row>
    <row r="253" spans="1:48" x14ac:dyDescent="0.2">
      <c r="A253" s="256">
        <v>113</v>
      </c>
      <c r="B253" s="306">
        <v>9</v>
      </c>
      <c r="C253" s="312">
        <v>2</v>
      </c>
      <c r="D253" s="306">
        <v>1</v>
      </c>
      <c r="E253" s="325">
        <f>'Standard Avalrem Table'!D33</f>
        <v>15.55080839090189</v>
      </c>
      <c r="F253" s="306"/>
      <c r="G253" s="306"/>
      <c r="H253" s="306"/>
      <c r="I253" s="306"/>
      <c r="J253" s="306"/>
      <c r="K253" s="312"/>
      <c r="L253" s="257" t="s">
        <v>31</v>
      </c>
      <c r="M253" s="258"/>
      <c r="N253" s="259" t="str">
        <f>$Z$131</f>
        <v>Scrutinize</v>
      </c>
      <c r="O253" s="260" t="s">
        <v>350</v>
      </c>
      <c r="Z253" s="148"/>
      <c r="AA253" s="148"/>
      <c r="AV253" s="232"/>
    </row>
    <row r="254" spans="1:48" x14ac:dyDescent="0.2">
      <c r="A254" s="256">
        <v>114</v>
      </c>
      <c r="B254" s="306">
        <v>9</v>
      </c>
      <c r="C254" s="312">
        <v>2</v>
      </c>
      <c r="D254" s="306">
        <v>2</v>
      </c>
      <c r="E254" s="325">
        <f>'Standard Avalrem Table'!D48</f>
        <v>31.504563691282584</v>
      </c>
      <c r="F254" s="306"/>
      <c r="G254" s="306"/>
      <c r="H254" s="306"/>
      <c r="I254" s="306"/>
      <c r="J254" s="306"/>
      <c r="K254" s="312"/>
      <c r="L254" s="257" t="s">
        <v>31</v>
      </c>
      <c r="M254" s="258" t="s">
        <v>328</v>
      </c>
      <c r="N254" s="259" t="str">
        <f>$AB$131</f>
        <v>Survey</v>
      </c>
      <c r="O254" s="260" t="s">
        <v>350</v>
      </c>
      <c r="Z254" s="148"/>
      <c r="AA254" s="148"/>
      <c r="AV254" s="232"/>
    </row>
    <row r="255" spans="1:48" x14ac:dyDescent="0.2">
      <c r="A255" s="256">
        <v>115</v>
      </c>
      <c r="B255" s="306">
        <v>10</v>
      </c>
      <c r="C255" s="312">
        <v>2</v>
      </c>
      <c r="D255" s="306">
        <v>1</v>
      </c>
      <c r="E255" s="325">
        <f>'Standard Avalrem Table'!D34</f>
        <v>15.839903745332272</v>
      </c>
      <c r="F255" s="306"/>
      <c r="G255" s="306"/>
      <c r="H255" s="306"/>
      <c r="I255" s="306"/>
      <c r="J255" s="306"/>
      <c r="K255" s="312"/>
      <c r="L255" s="257" t="s">
        <v>31</v>
      </c>
      <c r="M255" s="258"/>
      <c r="N255" s="259" t="str">
        <f>$Z$132</f>
        <v>Facilitate</v>
      </c>
      <c r="O255" s="260" t="s">
        <v>350</v>
      </c>
      <c r="Z255" s="148"/>
      <c r="AA255" s="148"/>
      <c r="AV255" s="232"/>
    </row>
    <row r="256" spans="1:48" x14ac:dyDescent="0.2">
      <c r="A256" s="256">
        <v>116</v>
      </c>
      <c r="B256" s="306">
        <v>10</v>
      </c>
      <c r="C256" s="312">
        <v>2</v>
      </c>
      <c r="D256" s="306">
        <v>2</v>
      </c>
      <c r="E256" s="325">
        <f>'Standard Avalrem Table'!D49</f>
        <v>31.504563691282584</v>
      </c>
      <c r="F256" s="306"/>
      <c r="G256" s="306"/>
      <c r="H256" s="306"/>
      <c r="I256" s="306"/>
      <c r="J256" s="306"/>
      <c r="K256" s="312"/>
      <c r="L256" s="257" t="s">
        <v>31</v>
      </c>
      <c r="M256" s="258"/>
      <c r="N256" s="259" t="str">
        <f>$AB$132</f>
        <v>Support</v>
      </c>
      <c r="O256" s="260" t="s">
        <v>350</v>
      </c>
      <c r="Z256" s="148"/>
      <c r="AA256" s="148"/>
      <c r="AV256" s="232"/>
    </row>
    <row r="257" spans="1:48" x14ac:dyDescent="0.2">
      <c r="A257" s="256">
        <v>117</v>
      </c>
      <c r="B257" s="306">
        <v>11</v>
      </c>
      <c r="C257" s="312">
        <v>2</v>
      </c>
      <c r="D257" s="306">
        <v>1</v>
      </c>
      <c r="E257" s="325">
        <f>'Standard Avalrem Table'!D35</f>
        <v>13.435198883827368</v>
      </c>
      <c r="F257" s="306"/>
      <c r="G257" s="306"/>
      <c r="H257" s="306"/>
      <c r="I257" s="306"/>
      <c r="J257" s="306"/>
      <c r="K257" s="312"/>
      <c r="L257" s="257" t="s">
        <v>31</v>
      </c>
      <c r="M257" s="258"/>
      <c r="N257" s="259" t="str">
        <f>$Z$133</f>
        <v>Renovate</v>
      </c>
      <c r="O257" s="260" t="s">
        <v>350</v>
      </c>
      <c r="Z257" s="148"/>
      <c r="AA257" s="148"/>
      <c r="AV257" s="232"/>
    </row>
    <row r="258" spans="1:48" x14ac:dyDescent="0.2">
      <c r="A258" s="256">
        <v>118</v>
      </c>
      <c r="B258" s="306">
        <v>11</v>
      </c>
      <c r="C258" s="312">
        <v>2</v>
      </c>
      <c r="D258" s="306">
        <v>2</v>
      </c>
      <c r="E258" s="325">
        <f>'Standard Avalrem Table'!D50</f>
        <v>30.222749043448452</v>
      </c>
      <c r="F258" s="306"/>
      <c r="G258" s="306"/>
      <c r="H258" s="306"/>
      <c r="I258" s="306"/>
      <c r="J258" s="306"/>
      <c r="K258" s="312"/>
      <c r="L258" s="257" t="s">
        <v>31</v>
      </c>
      <c r="M258" s="258"/>
      <c r="N258" s="259" t="str">
        <f>$AB$133</f>
        <v xml:space="preserve">Repair </v>
      </c>
      <c r="O258" s="260" t="s">
        <v>350</v>
      </c>
      <c r="Z258" s="148"/>
      <c r="AA258" s="148"/>
      <c r="AV258" s="232"/>
    </row>
    <row r="259" spans="1:48" ht="15" thickBot="1" x14ac:dyDescent="0.25">
      <c r="A259" s="256">
        <v>119</v>
      </c>
      <c r="B259" s="306">
        <v>12</v>
      </c>
      <c r="C259" s="312">
        <v>2</v>
      </c>
      <c r="D259" s="306">
        <v>1</v>
      </c>
      <c r="E259" s="325">
        <f>'Standard Avalrem Table'!D36</f>
        <v>12.652615788962985</v>
      </c>
      <c r="F259" s="306"/>
      <c r="G259" s="306"/>
      <c r="H259" s="306"/>
      <c r="I259" s="306"/>
      <c r="J259" s="306"/>
      <c r="K259" s="312"/>
      <c r="L259" s="257" t="s">
        <v>31</v>
      </c>
      <c r="M259" s="258"/>
      <c r="N259" s="259" t="str">
        <f>$Z$134</f>
        <v>Modify</v>
      </c>
      <c r="O259" s="260" t="s">
        <v>350</v>
      </c>
      <c r="Z259" s="148"/>
      <c r="AA259" s="148"/>
      <c r="AV259" s="232"/>
    </row>
    <row r="260" spans="1:48" ht="15" thickBot="1" x14ac:dyDescent="0.25">
      <c r="A260" s="282">
        <v>120</v>
      </c>
      <c r="B260" s="306">
        <v>12</v>
      </c>
      <c r="C260" s="312">
        <v>2</v>
      </c>
      <c r="D260" s="306">
        <v>2</v>
      </c>
      <c r="E260" s="327">
        <f>'Standard Avalrem Table'!D51</f>
        <v>28.940934395614313</v>
      </c>
      <c r="F260" s="306"/>
      <c r="G260" s="306"/>
      <c r="H260" s="306"/>
      <c r="I260" s="306"/>
      <c r="J260" s="306"/>
      <c r="K260" s="312"/>
      <c r="L260" s="300" t="s">
        <v>31</v>
      </c>
      <c r="M260" s="301"/>
      <c r="N260" s="302" t="str">
        <f>$AB$134</f>
        <v>Revise</v>
      </c>
      <c r="O260" s="303" t="s">
        <v>350</v>
      </c>
      <c r="P260" s="238">
        <f>SUM(P140:P259)</f>
        <v>100</v>
      </c>
      <c r="Z260" s="148"/>
      <c r="AA260" s="148"/>
      <c r="AV260" s="232"/>
    </row>
    <row r="261" spans="1:48" ht="27" hidden="1" x14ac:dyDescent="0.35">
      <c r="K261" s="231"/>
      <c r="P261" s="283" t="s">
        <v>1</v>
      </c>
      <c r="Q261" s="283"/>
      <c r="R261" s="284" t="s">
        <v>455</v>
      </c>
      <c r="W261" s="283" t="s">
        <v>2</v>
      </c>
      <c r="X261" s="284" t="s">
        <v>456</v>
      </c>
      <c r="Y261" s="284"/>
      <c r="Z261" s="148"/>
      <c r="AA261" s="148"/>
      <c r="AD261" s="283" t="s">
        <v>3</v>
      </c>
      <c r="AE261" s="219" t="s">
        <v>457</v>
      </c>
      <c r="AK261" s="283" t="s">
        <v>4</v>
      </c>
      <c r="AL261" s="219" t="s">
        <v>458</v>
      </c>
      <c r="AP261" s="283" t="s">
        <v>5</v>
      </c>
      <c r="AQ261" s="219" t="s">
        <v>459</v>
      </c>
      <c r="AV261" s="232"/>
    </row>
    <row r="262" spans="1:48" hidden="1" x14ac:dyDescent="0.2">
      <c r="K262" s="231"/>
      <c r="P262" s="219" t="s">
        <v>460</v>
      </c>
      <c r="Q262" s="219"/>
      <c r="W262" s="219" t="s">
        <v>460</v>
      </c>
      <c r="Z262" s="148"/>
      <c r="AA262" s="148"/>
      <c r="AD262" s="219" t="s">
        <v>460</v>
      </c>
      <c r="AK262" s="219" t="s">
        <v>460</v>
      </c>
      <c r="AP262" s="219" t="s">
        <v>460</v>
      </c>
      <c r="AV262" s="232"/>
    </row>
    <row r="263" spans="1:48" hidden="1" x14ac:dyDescent="0.2">
      <c r="K263" s="231"/>
      <c r="N263" t="str">
        <f>X123</f>
        <v>Exdysivity</v>
      </c>
      <c r="P263" s="285" t="s">
        <v>182</v>
      </c>
      <c r="Q263" s="285"/>
      <c r="R263" s="286" t="s">
        <v>461</v>
      </c>
      <c r="U263" t="str">
        <f>N126</f>
        <v>Anxergy</v>
      </c>
      <c r="W263" s="285" t="s">
        <v>137</v>
      </c>
      <c r="X263" s="287" t="s">
        <v>462</v>
      </c>
      <c r="Y263" s="287"/>
      <c r="Z263" s="148"/>
      <c r="AA263" s="148"/>
      <c r="AC263" t="str">
        <f>X113</f>
        <v>Atammayata</v>
      </c>
      <c r="AD263" s="285" t="s">
        <v>155</v>
      </c>
      <c r="AE263" s="287" t="s">
        <v>463</v>
      </c>
      <c r="AI263" s="57" t="str">
        <f>N118</f>
        <v>Avalremy</v>
      </c>
      <c r="AJ263" s="57"/>
      <c r="AK263" s="285" t="s">
        <v>198</v>
      </c>
      <c r="AL263" s="288" t="s">
        <v>464</v>
      </c>
      <c r="AO263" t="e">
        <f>#REF!</f>
        <v>#REF!</v>
      </c>
      <c r="AP263" s="285" t="s">
        <v>161</v>
      </c>
      <c r="AQ263" s="287" t="s">
        <v>465</v>
      </c>
      <c r="AV263" s="232"/>
    </row>
    <row r="264" spans="1:48" hidden="1" x14ac:dyDescent="0.2">
      <c r="K264" s="231"/>
      <c r="N264" t="str">
        <f>X124</f>
        <v>Exdysivity</v>
      </c>
      <c r="P264" s="285" t="s">
        <v>158</v>
      </c>
      <c r="Q264" s="285"/>
      <c r="R264" s="288" t="s">
        <v>466</v>
      </c>
      <c r="U264" t="str">
        <f>N113</f>
        <v>Avalremy</v>
      </c>
      <c r="W264" s="285" t="s">
        <v>172</v>
      </c>
      <c r="X264" s="287" t="s">
        <v>467</v>
      </c>
      <c r="Y264" s="287"/>
      <c r="Z264" s="148"/>
      <c r="AA264" s="148"/>
      <c r="AC264" t="str">
        <f>AG116</f>
        <v>Dexterience</v>
      </c>
      <c r="AD264" s="285" t="s">
        <v>184</v>
      </c>
      <c r="AE264" s="287" t="s">
        <v>468</v>
      </c>
      <c r="AI264" t="str">
        <f>AG120</f>
        <v>Dexterience</v>
      </c>
      <c r="AK264" s="285" t="s">
        <v>135</v>
      </c>
      <c r="AL264" s="287" t="s">
        <v>469</v>
      </c>
      <c r="AO264" t="e">
        <f>#REF!</f>
        <v>#REF!</v>
      </c>
      <c r="AP264" s="285" t="s">
        <v>162</v>
      </c>
      <c r="AQ264" s="287" t="s">
        <v>470</v>
      </c>
      <c r="AV264" s="232"/>
    </row>
    <row r="265" spans="1:48" ht="15" hidden="1" thickBot="1" x14ac:dyDescent="0.25">
      <c r="K265" s="231"/>
      <c r="L265" s="289" t="s">
        <v>232</v>
      </c>
      <c r="M265" s="289"/>
      <c r="N265" t="str">
        <f>X109</f>
        <v>Atammayata</v>
      </c>
      <c r="P265" s="290" t="s">
        <v>232</v>
      </c>
      <c r="Q265" s="291"/>
      <c r="R265" s="288" t="s">
        <v>471</v>
      </c>
      <c r="U265" t="str">
        <f>AG111</f>
        <v>Dexterience</v>
      </c>
      <c r="W265" s="285" t="s">
        <v>205</v>
      </c>
      <c r="X265" s="287" t="s">
        <v>472</v>
      </c>
      <c r="Y265" s="287"/>
      <c r="Z265" s="148"/>
      <c r="AA265" s="148"/>
      <c r="AC265" t="str">
        <f>N116</f>
        <v>Avalremy</v>
      </c>
      <c r="AD265" s="285" t="s">
        <v>203</v>
      </c>
      <c r="AE265" s="287" t="s">
        <v>473</v>
      </c>
      <c r="AG265" s="292" t="s">
        <v>168</v>
      </c>
      <c r="AH265" s="292"/>
      <c r="AI265" t="str">
        <f>X130</f>
        <v>Exdysivity</v>
      </c>
      <c r="AK265" s="293" t="s">
        <v>168</v>
      </c>
      <c r="AL265" s="287" t="s">
        <v>474</v>
      </c>
      <c r="AO265" t="e">
        <f>#REF!</f>
        <v>#REF!</v>
      </c>
      <c r="AP265" s="285" t="s">
        <v>153</v>
      </c>
      <c r="AQ265" s="287" t="s">
        <v>475</v>
      </c>
      <c r="AV265" s="232"/>
    </row>
    <row r="266" spans="1:48" hidden="1" x14ac:dyDescent="0.2">
      <c r="K266" s="231"/>
      <c r="Z266" s="148"/>
      <c r="AA266" s="148"/>
      <c r="AV266" s="232"/>
    </row>
    <row r="267" spans="1:48" ht="27" hidden="1" x14ac:dyDescent="0.35">
      <c r="K267" s="231"/>
      <c r="P267" s="283" t="s">
        <v>14</v>
      </c>
      <c r="Q267" s="283"/>
      <c r="R267" s="284" t="s">
        <v>455</v>
      </c>
      <c r="W267" s="283" t="s">
        <v>10</v>
      </c>
      <c r="X267" s="284" t="s">
        <v>456</v>
      </c>
      <c r="Y267" s="284"/>
      <c r="Z267" s="148"/>
      <c r="AA267" s="148"/>
      <c r="AD267" s="283" t="s">
        <v>16</v>
      </c>
      <c r="AE267" s="219" t="s">
        <v>457</v>
      </c>
      <c r="AK267" s="283" t="s">
        <v>6</v>
      </c>
      <c r="AL267" s="219" t="s">
        <v>458</v>
      </c>
      <c r="AP267" s="283" t="s">
        <v>17</v>
      </c>
      <c r="AQ267" s="219" t="s">
        <v>459</v>
      </c>
      <c r="AV267" s="232"/>
    </row>
    <row r="268" spans="1:48" hidden="1" x14ac:dyDescent="0.2">
      <c r="K268" s="231"/>
      <c r="P268" s="219" t="s">
        <v>476</v>
      </c>
      <c r="Q268" s="219"/>
      <c r="W268" s="219" t="s">
        <v>476</v>
      </c>
      <c r="Z268" s="148"/>
      <c r="AA268" s="148"/>
      <c r="AD268" s="219" t="s">
        <v>476</v>
      </c>
      <c r="AK268" s="219" t="s">
        <v>476</v>
      </c>
      <c r="AP268" s="219" t="s">
        <v>476</v>
      </c>
      <c r="AV268" s="232"/>
    </row>
    <row r="269" spans="1:48" ht="15" hidden="1" thickBot="1" x14ac:dyDescent="0.25">
      <c r="K269" s="231"/>
      <c r="N269" t="str">
        <f>N109</f>
        <v>Avalremy</v>
      </c>
      <c r="P269" s="285" t="s">
        <v>138</v>
      </c>
      <c r="Q269" s="285"/>
      <c r="R269" s="288" t="s">
        <v>477</v>
      </c>
      <c r="T269" s="292" t="s">
        <v>204</v>
      </c>
      <c r="U269" t="str">
        <f>AG112</f>
        <v>Dexterience</v>
      </c>
      <c r="W269" s="293" t="s">
        <v>183</v>
      </c>
      <c r="X269" s="287" t="s">
        <v>478</v>
      </c>
      <c r="Y269" s="287"/>
      <c r="Z269" s="148"/>
      <c r="AA269" s="148"/>
      <c r="AB269" s="289" t="s">
        <v>183</v>
      </c>
      <c r="AC269" t="str">
        <f>AG117</f>
        <v>Dexterience</v>
      </c>
      <c r="AD269" s="293" t="s">
        <v>183</v>
      </c>
      <c r="AE269" s="287" t="s">
        <v>479</v>
      </c>
      <c r="AI269" t="e">
        <f>#REF!</f>
        <v>#REF!</v>
      </c>
      <c r="AK269" s="285" t="s">
        <v>185</v>
      </c>
      <c r="AL269" s="287" t="s">
        <v>480</v>
      </c>
      <c r="AO269" t="str">
        <f>X120</f>
        <v>Atammayata</v>
      </c>
      <c r="AP269" s="285" t="s">
        <v>169</v>
      </c>
      <c r="AQ269" s="287" t="s">
        <v>481</v>
      </c>
      <c r="AV269" s="232"/>
    </row>
    <row r="270" spans="1:48" hidden="1" x14ac:dyDescent="0.2">
      <c r="K270" s="231"/>
      <c r="N270" t="str">
        <f>AG109</f>
        <v>Dexterience</v>
      </c>
      <c r="P270" s="285" t="s">
        <v>222</v>
      </c>
      <c r="Q270" s="285"/>
      <c r="R270" s="286" t="s">
        <v>482</v>
      </c>
      <c r="U270" t="str">
        <f>N127</f>
        <v>Anxergy</v>
      </c>
      <c r="W270" s="285" t="s">
        <v>227</v>
      </c>
      <c r="X270" s="287" t="s">
        <v>483</v>
      </c>
      <c r="Y270" s="287"/>
      <c r="Z270" s="148"/>
      <c r="AA270" s="148"/>
      <c r="AC270" t="str">
        <f>N130</f>
        <v>Anxergy</v>
      </c>
      <c r="AD270" s="285" t="s">
        <v>143</v>
      </c>
      <c r="AE270" s="287" t="s">
        <v>484</v>
      </c>
      <c r="AI270" t="str">
        <f>N119</f>
        <v>Avalremy</v>
      </c>
      <c r="AK270" s="285" t="s">
        <v>197</v>
      </c>
      <c r="AL270" s="287" t="s">
        <v>485</v>
      </c>
      <c r="AO270" t="e">
        <f>#REF!</f>
        <v>#REF!</v>
      </c>
      <c r="AP270" s="285" t="s">
        <v>147</v>
      </c>
      <c r="AQ270" s="287" t="s">
        <v>486</v>
      </c>
      <c r="AV270" s="232"/>
    </row>
    <row r="271" spans="1:48" hidden="1" x14ac:dyDescent="0.2">
      <c r="K271" s="231"/>
      <c r="N271" t="str">
        <f>N123</f>
        <v>Anxergy</v>
      </c>
      <c r="P271" s="285" t="s">
        <v>151</v>
      </c>
      <c r="Q271" s="285"/>
      <c r="R271" s="288" t="s">
        <v>487</v>
      </c>
      <c r="U271" t="str">
        <f>N114</f>
        <v>Avalremy</v>
      </c>
      <c r="W271" s="285" t="s">
        <v>178</v>
      </c>
      <c r="X271" s="287" t="s">
        <v>488</v>
      </c>
      <c r="Y271" s="287"/>
      <c r="Z271" s="148"/>
      <c r="AA271" s="148"/>
      <c r="AC271" t="str">
        <f>X114</f>
        <v>Atammayata</v>
      </c>
      <c r="AD271" s="285" t="s">
        <v>174</v>
      </c>
      <c r="AE271" s="287" t="s">
        <v>489</v>
      </c>
      <c r="AI271" t="str">
        <f>N134</f>
        <v>Anxergy</v>
      </c>
      <c r="AK271" s="285" t="s">
        <v>132</v>
      </c>
      <c r="AL271" s="287" t="s">
        <v>490</v>
      </c>
      <c r="AO271" t="e">
        <f>#REF!</f>
        <v>#REF!</v>
      </c>
      <c r="AP271" s="285" t="s">
        <v>206</v>
      </c>
      <c r="AQ271" s="287" t="s">
        <v>491</v>
      </c>
      <c r="AV271" s="232"/>
    </row>
    <row r="272" spans="1:48" hidden="1" x14ac:dyDescent="0.2">
      <c r="K272" s="231"/>
      <c r="Z272" s="148"/>
      <c r="AA272" s="148"/>
      <c r="AV272" s="232"/>
    </row>
    <row r="273" spans="11:48" ht="27" hidden="1" x14ac:dyDescent="0.35">
      <c r="K273" s="231"/>
      <c r="P273" s="283" t="s">
        <v>8</v>
      </c>
      <c r="Q273" s="283"/>
      <c r="R273" s="284" t="s">
        <v>455</v>
      </c>
      <c r="W273" s="283" t="s">
        <v>18</v>
      </c>
      <c r="X273" s="284" t="s">
        <v>456</v>
      </c>
      <c r="Y273" s="284"/>
      <c r="Z273" s="148"/>
      <c r="AA273" s="148"/>
      <c r="AD273" s="283" t="s">
        <v>19</v>
      </c>
      <c r="AE273" s="219" t="s">
        <v>457</v>
      </c>
      <c r="AK273" s="283" t="s">
        <v>20</v>
      </c>
      <c r="AL273" s="219" t="s">
        <v>458</v>
      </c>
      <c r="AP273" s="283" t="s">
        <v>21</v>
      </c>
      <c r="AQ273" s="219" t="s">
        <v>459</v>
      </c>
      <c r="AV273" s="232"/>
    </row>
    <row r="274" spans="11:48" hidden="1" x14ac:dyDescent="0.2">
      <c r="K274" s="231"/>
      <c r="P274" s="219" t="s">
        <v>492</v>
      </c>
      <c r="Q274" s="219"/>
      <c r="R274" s="294"/>
      <c r="W274" s="219" t="s">
        <v>492</v>
      </c>
      <c r="Z274" s="148"/>
      <c r="AA274" s="148"/>
      <c r="AD274" s="219" t="s">
        <v>492</v>
      </c>
      <c r="AK274" s="219" t="s">
        <v>492</v>
      </c>
      <c r="AP274" s="219" t="s">
        <v>492</v>
      </c>
      <c r="AV274" s="232"/>
    </row>
    <row r="275" spans="11:48" hidden="1" x14ac:dyDescent="0.2">
      <c r="K275" s="231"/>
      <c r="N275" t="str">
        <f>X110</f>
        <v>Atammayata</v>
      </c>
      <c r="P275" s="285" t="s">
        <v>193</v>
      </c>
      <c r="Q275" s="285"/>
      <c r="R275" s="288" t="s">
        <v>493</v>
      </c>
      <c r="S275" s="158"/>
      <c r="U275" t="str">
        <f>AG113</f>
        <v>Dexterience</v>
      </c>
      <c r="W275" s="285" t="s">
        <v>199</v>
      </c>
      <c r="X275" s="287" t="s">
        <v>494</v>
      </c>
      <c r="Y275" s="287"/>
      <c r="Z275" s="148"/>
      <c r="AA275" s="148"/>
      <c r="AC275" t="str">
        <f>N117</f>
        <v>Avalremy</v>
      </c>
      <c r="AD275" s="285" t="s">
        <v>144</v>
      </c>
      <c r="AE275" s="287" t="s">
        <v>495</v>
      </c>
      <c r="AI275" t="str">
        <f>X116</f>
        <v>Atammayata</v>
      </c>
      <c r="AK275" s="285" t="s">
        <v>187</v>
      </c>
      <c r="AL275" s="287" t="s">
        <v>496</v>
      </c>
      <c r="AO275" s="57" t="str">
        <f>X132</f>
        <v>Exdysivity</v>
      </c>
      <c r="AP275" s="285" t="s">
        <v>229</v>
      </c>
      <c r="AQ275" s="287" t="s">
        <v>497</v>
      </c>
      <c r="AV275" s="232"/>
    </row>
    <row r="276" spans="11:48" hidden="1" x14ac:dyDescent="0.2">
      <c r="K276" s="231"/>
      <c r="N276" t="str">
        <f>N124</f>
        <v>Anxergy</v>
      </c>
      <c r="P276" s="285" t="s">
        <v>173</v>
      </c>
      <c r="Q276" s="285"/>
      <c r="R276" s="288" t="s">
        <v>498</v>
      </c>
      <c r="S276" s="158"/>
      <c r="U276" t="str">
        <f>N128</f>
        <v>Anxergy</v>
      </c>
      <c r="W276" s="285" t="s">
        <v>234</v>
      </c>
      <c r="X276" s="287" t="s">
        <v>499</v>
      </c>
      <c r="Y276" s="287"/>
      <c r="Z276" s="148"/>
      <c r="AA276" s="148"/>
      <c r="AC276" t="str">
        <f>N131</f>
        <v>Anxergy</v>
      </c>
      <c r="AD276" s="285" t="s">
        <v>163</v>
      </c>
      <c r="AE276" s="287" t="s">
        <v>500</v>
      </c>
      <c r="AI276" t="e">
        <f>#REF!</f>
        <v>#REF!</v>
      </c>
      <c r="AK276" s="285" t="s">
        <v>202</v>
      </c>
      <c r="AL276" s="287" t="s">
        <v>501</v>
      </c>
      <c r="AO276" t="str">
        <f>X133</f>
        <v>Exdysivity</v>
      </c>
      <c r="AP276" s="285" t="s">
        <v>211</v>
      </c>
      <c r="AQ276" s="287" t="s">
        <v>474</v>
      </c>
      <c r="AV276" s="232"/>
    </row>
    <row r="277" spans="11:48" ht="15" hidden="1" thickBot="1" x14ac:dyDescent="0.25">
      <c r="K277" s="231"/>
      <c r="L277" s="292" t="s">
        <v>136</v>
      </c>
      <c r="M277" s="292"/>
      <c r="N277" t="str">
        <f>N110</f>
        <v>Avalremy</v>
      </c>
      <c r="P277" s="293" t="s">
        <v>232</v>
      </c>
      <c r="Q277" s="295"/>
      <c r="R277" s="288" t="s">
        <v>502</v>
      </c>
      <c r="S277" s="158"/>
      <c r="U277" t="str">
        <f>AG114</f>
        <v>Dexterience</v>
      </c>
      <c r="W277" s="285" t="s">
        <v>213</v>
      </c>
      <c r="X277" s="287" t="s">
        <v>503</v>
      </c>
      <c r="Y277" s="287"/>
      <c r="Z277" s="148"/>
      <c r="AA277" s="148"/>
      <c r="AC277" t="str">
        <f>X128</f>
        <v>Exdysivity</v>
      </c>
      <c r="AD277" s="285" t="s">
        <v>151</v>
      </c>
      <c r="AE277" s="287" t="s">
        <v>504</v>
      </c>
      <c r="AI277" t="str">
        <f>X117</f>
        <v>Atammayata</v>
      </c>
      <c r="AK277" s="285" t="s">
        <v>171</v>
      </c>
      <c r="AL277" s="287" t="s">
        <v>505</v>
      </c>
      <c r="AO277" t="e">
        <f>#REF!</f>
        <v>#REF!</v>
      </c>
      <c r="AP277" s="285" t="s">
        <v>146</v>
      </c>
      <c r="AQ277" s="287" t="s">
        <v>506</v>
      </c>
      <c r="AV277" s="232"/>
    </row>
    <row r="278" spans="11:48" hidden="1" x14ac:dyDescent="0.2">
      <c r="K278" s="231"/>
      <c r="P278" s="288"/>
      <c r="Q278" s="288"/>
      <c r="R278" s="288"/>
      <c r="S278" s="158"/>
      <c r="Z278" s="148"/>
      <c r="AA278" s="148"/>
      <c r="AV278" s="232"/>
    </row>
    <row r="279" spans="11:48" ht="27" hidden="1" x14ac:dyDescent="0.35">
      <c r="K279" s="231"/>
      <c r="P279" s="283" t="s">
        <v>22</v>
      </c>
      <c r="Q279" s="283"/>
      <c r="R279" s="284" t="s">
        <v>455</v>
      </c>
      <c r="S279" s="158"/>
      <c r="W279" s="283" t="s">
        <v>9</v>
      </c>
      <c r="X279" s="284" t="s">
        <v>456</v>
      </c>
      <c r="Y279" s="284"/>
      <c r="Z279" s="148"/>
      <c r="AA279" s="148"/>
      <c r="AD279" s="283" t="s">
        <v>23</v>
      </c>
      <c r="AE279" s="219" t="s">
        <v>457</v>
      </c>
      <c r="AK279" s="283" t="s">
        <v>7</v>
      </c>
      <c r="AL279" s="219" t="s">
        <v>458</v>
      </c>
      <c r="AP279" s="283" t="s">
        <v>13</v>
      </c>
      <c r="AQ279" s="219" t="s">
        <v>459</v>
      </c>
      <c r="AV279" s="232"/>
    </row>
    <row r="280" spans="11:48" hidden="1" x14ac:dyDescent="0.2">
      <c r="K280" s="231"/>
      <c r="P280" s="219" t="s">
        <v>507</v>
      </c>
      <c r="Q280" s="219"/>
      <c r="R280" s="294"/>
      <c r="W280" s="219" t="s">
        <v>507</v>
      </c>
      <c r="Z280" s="148"/>
      <c r="AA280" s="148"/>
      <c r="AD280" s="219" t="s">
        <v>507</v>
      </c>
      <c r="AK280" s="219" t="s">
        <v>507</v>
      </c>
      <c r="AP280" s="219" t="s">
        <v>507</v>
      </c>
      <c r="AV280" s="232"/>
    </row>
    <row r="281" spans="11:48" hidden="1" x14ac:dyDescent="0.2">
      <c r="K281" s="231"/>
      <c r="N281" t="str">
        <f>X125</f>
        <v>Exdysivity</v>
      </c>
      <c r="P281" s="285" t="s">
        <v>156</v>
      </c>
      <c r="Q281" s="285"/>
      <c r="R281" s="288" t="s">
        <v>508</v>
      </c>
      <c r="S281" s="158"/>
      <c r="U281" t="str">
        <f>X126</f>
        <v>Exdysivity</v>
      </c>
      <c r="W281" s="285" t="s">
        <v>171</v>
      </c>
      <c r="X281" s="287" t="s">
        <v>509</v>
      </c>
      <c r="Y281" s="287"/>
      <c r="Z281" s="148"/>
      <c r="AA281" s="148"/>
      <c r="AC281" s="57" t="str">
        <f>N132</f>
        <v>Anxergy</v>
      </c>
      <c r="AD281" s="285" t="s">
        <v>196</v>
      </c>
      <c r="AE281" s="287" t="s">
        <v>510</v>
      </c>
      <c r="AI281" t="str">
        <f>N120</f>
        <v>Avalremy</v>
      </c>
      <c r="AK281" s="285" t="s">
        <v>149</v>
      </c>
      <c r="AL281" s="287" t="s">
        <v>511</v>
      </c>
      <c r="AO281" t="e">
        <f>#REF!</f>
        <v>#REF!</v>
      </c>
      <c r="AP281" s="285" t="s">
        <v>209</v>
      </c>
      <c r="AQ281" s="287" t="s">
        <v>512</v>
      </c>
      <c r="AV281" s="232"/>
    </row>
    <row r="282" spans="11:48" hidden="1" x14ac:dyDescent="0.2">
      <c r="K282" s="231"/>
      <c r="N282" t="str">
        <f>N125</f>
        <v>Anxergy</v>
      </c>
      <c r="P282" s="285" t="s">
        <v>142</v>
      </c>
      <c r="Q282" s="285"/>
      <c r="R282" s="288" t="s">
        <v>513</v>
      </c>
      <c r="S282" s="158"/>
      <c r="U282" t="str">
        <f>AG115</f>
        <v>Dexterience</v>
      </c>
      <c r="W282" s="285" t="s">
        <v>207</v>
      </c>
      <c r="X282" s="287" t="s">
        <v>514</v>
      </c>
      <c r="Y282" s="287"/>
      <c r="Z282" s="148"/>
      <c r="AA282" s="148"/>
      <c r="AC282" s="57" t="str">
        <f>AG118</f>
        <v>Dexterience</v>
      </c>
      <c r="AD282" s="285" t="s">
        <v>170</v>
      </c>
      <c r="AE282" s="287" t="s">
        <v>515</v>
      </c>
      <c r="AI282" s="57" t="str">
        <f>X118</f>
        <v>Atammayata</v>
      </c>
      <c r="AJ282" s="57"/>
      <c r="AK282" s="285" t="s">
        <v>129</v>
      </c>
      <c r="AL282" s="287" t="s">
        <v>516</v>
      </c>
      <c r="AO282" t="str">
        <f>X134</f>
        <v>Exdysivity</v>
      </c>
      <c r="AP282" s="285" t="s">
        <v>176</v>
      </c>
      <c r="AQ282" s="287" t="s">
        <v>517</v>
      </c>
      <c r="AV282" s="232"/>
    </row>
    <row r="283" spans="11:48" ht="15" hidden="1" thickBot="1" x14ac:dyDescent="0.25">
      <c r="K283" s="231"/>
      <c r="L283" s="292" t="s">
        <v>191</v>
      </c>
      <c r="M283" s="292"/>
      <c r="N283" t="str">
        <f>N111</f>
        <v>Avalremy</v>
      </c>
      <c r="P283" s="293" t="s">
        <v>190</v>
      </c>
      <c r="Q283" s="295"/>
      <c r="R283" s="288" t="s">
        <v>518</v>
      </c>
      <c r="S283" s="158"/>
      <c r="U283" t="str">
        <f>N129</f>
        <v>Anxergy</v>
      </c>
      <c r="W283" s="285" t="s">
        <v>218</v>
      </c>
      <c r="X283" s="287" t="s">
        <v>519</v>
      </c>
      <c r="Y283" s="287"/>
      <c r="Z283" s="148"/>
      <c r="AA283" s="148"/>
      <c r="AC283" t="str">
        <f>X129</f>
        <v>Exdysivity</v>
      </c>
      <c r="AD283" s="285" t="s">
        <v>167</v>
      </c>
      <c r="AE283" s="287" t="s">
        <v>520</v>
      </c>
      <c r="AI283" t="e">
        <f>#REF!</f>
        <v>#REF!</v>
      </c>
      <c r="AK283" s="285" t="s">
        <v>186</v>
      </c>
      <c r="AL283" s="287" t="s">
        <v>521</v>
      </c>
      <c r="AO283" t="e">
        <f>#REF!</f>
        <v>#REF!</v>
      </c>
      <c r="AP283" s="285" t="s">
        <v>175</v>
      </c>
      <c r="AQ283" s="287" t="s">
        <v>522</v>
      </c>
      <c r="AV283" s="232"/>
    </row>
    <row r="284" spans="11:48" hidden="1" x14ac:dyDescent="0.2">
      <c r="K284" s="231"/>
      <c r="Z284" s="148"/>
      <c r="AA284" s="148"/>
      <c r="AV284" s="232"/>
    </row>
    <row r="285" spans="11:48" ht="27" hidden="1" x14ac:dyDescent="0.35">
      <c r="K285" s="231"/>
      <c r="P285" s="283" t="s">
        <v>24</v>
      </c>
      <c r="Q285" s="283"/>
      <c r="R285" s="284" t="s">
        <v>455</v>
      </c>
      <c r="W285" s="283" t="s">
        <v>25</v>
      </c>
      <c r="X285" s="284" t="s">
        <v>456</v>
      </c>
      <c r="Y285" s="284"/>
      <c r="Z285" s="148"/>
      <c r="AA285" s="148"/>
      <c r="AD285" s="283" t="s">
        <v>26</v>
      </c>
      <c r="AE285" s="219" t="s">
        <v>457</v>
      </c>
      <c r="AK285" s="283" t="s">
        <v>27</v>
      </c>
      <c r="AL285" s="219" t="s">
        <v>458</v>
      </c>
      <c r="AP285" s="283" t="s">
        <v>28</v>
      </c>
      <c r="AQ285" s="219" t="s">
        <v>459</v>
      </c>
      <c r="AV285" s="232"/>
    </row>
    <row r="286" spans="11:48" hidden="1" x14ac:dyDescent="0.2">
      <c r="K286" s="231"/>
      <c r="P286" s="219" t="s">
        <v>31</v>
      </c>
      <c r="Q286" s="219"/>
      <c r="R286" s="294"/>
      <c r="W286" s="219" t="s">
        <v>31</v>
      </c>
      <c r="Z286" s="148"/>
      <c r="AA286" s="148"/>
      <c r="AD286" s="219" t="s">
        <v>31</v>
      </c>
      <c r="AK286" s="219" t="s">
        <v>31</v>
      </c>
      <c r="AP286" s="219" t="s">
        <v>31</v>
      </c>
      <c r="AV286" s="232"/>
    </row>
    <row r="287" spans="11:48" hidden="1" x14ac:dyDescent="0.2">
      <c r="K287" s="231"/>
      <c r="N287" t="str">
        <f>AG110</f>
        <v>Dexterience</v>
      </c>
      <c r="P287" s="285" t="s">
        <v>212</v>
      </c>
      <c r="Q287" s="285"/>
      <c r="R287" s="288" t="s">
        <v>523</v>
      </c>
      <c r="U287" t="str">
        <f>X112</f>
        <v>Atammayata</v>
      </c>
      <c r="W287" s="285" t="s">
        <v>180</v>
      </c>
      <c r="X287" s="287" t="s">
        <v>524</v>
      </c>
      <c r="Y287" s="287"/>
      <c r="Z287" s="148"/>
      <c r="AA287" s="148"/>
      <c r="AC287" t="str">
        <f>N133</f>
        <v>Anxergy</v>
      </c>
      <c r="AD287" s="285" t="s">
        <v>201</v>
      </c>
      <c r="AE287" s="287" t="s">
        <v>525</v>
      </c>
      <c r="AI287" t="str">
        <f>X131</f>
        <v>Exdysivity</v>
      </c>
      <c r="AK287" s="285" t="s">
        <v>145</v>
      </c>
      <c r="AL287" s="287" t="s">
        <v>526</v>
      </c>
      <c r="AO287" t="e">
        <f>#REF!</f>
        <v>#REF!</v>
      </c>
      <c r="AP287" s="285" t="s">
        <v>208</v>
      </c>
      <c r="AQ287" s="287" t="s">
        <v>527</v>
      </c>
      <c r="AV287" s="232"/>
    </row>
    <row r="288" spans="11:48" hidden="1" x14ac:dyDescent="0.2">
      <c r="K288" s="231"/>
      <c r="N288" t="str">
        <f>X111</f>
        <v>Atammayata</v>
      </c>
      <c r="P288" s="285" t="s">
        <v>224</v>
      </c>
      <c r="Q288" s="285"/>
      <c r="R288" s="288" t="s">
        <v>528</v>
      </c>
      <c r="U288" t="str">
        <f>N115</f>
        <v>Avalremy</v>
      </c>
      <c r="W288" s="285" t="s">
        <v>189</v>
      </c>
      <c r="X288" s="287" t="s">
        <v>529</v>
      </c>
      <c r="Y288" s="287"/>
      <c r="Z288" s="148"/>
      <c r="AA288" s="148"/>
      <c r="AC288" t="str">
        <f>X115</f>
        <v>Atammayata</v>
      </c>
      <c r="AD288" s="285" t="s">
        <v>214</v>
      </c>
      <c r="AE288" s="287" t="s">
        <v>530</v>
      </c>
      <c r="AI288" t="e">
        <f>#REF!</f>
        <v>#REF!</v>
      </c>
      <c r="AK288" s="285" t="s">
        <v>133</v>
      </c>
      <c r="AL288" s="287" t="s">
        <v>531</v>
      </c>
      <c r="AO288" t="e">
        <f>#REF!</f>
        <v>#REF!</v>
      </c>
      <c r="AP288" s="285" t="s">
        <v>200</v>
      </c>
      <c r="AQ288" s="287" t="s">
        <v>532</v>
      </c>
      <c r="AR288" s="287"/>
      <c r="AV288" s="232"/>
    </row>
    <row r="289" spans="11:48" ht="15" hidden="1" thickBot="1" x14ac:dyDescent="0.25">
      <c r="K289" s="231"/>
      <c r="L289" s="292" t="s">
        <v>190</v>
      </c>
      <c r="M289" s="292"/>
      <c r="N289" t="str">
        <f>N112</f>
        <v>Avalremy</v>
      </c>
      <c r="P289" s="293" t="s">
        <v>190</v>
      </c>
      <c r="Q289" s="295"/>
      <c r="R289" s="288" t="s">
        <v>533</v>
      </c>
      <c r="U289" t="str">
        <f>X127</f>
        <v>Exdysivity</v>
      </c>
      <c r="W289" s="285" t="s">
        <v>210</v>
      </c>
      <c r="X289" s="287" t="s">
        <v>534</v>
      </c>
      <c r="Y289" s="287"/>
      <c r="Z289" s="148"/>
      <c r="AA289" s="148"/>
      <c r="AC289" t="str">
        <f>AG119</f>
        <v>Dexterience</v>
      </c>
      <c r="AD289" s="285" t="s">
        <v>188</v>
      </c>
      <c r="AE289" s="287" t="s">
        <v>535</v>
      </c>
      <c r="AG289" s="292" t="s">
        <v>128</v>
      </c>
      <c r="AH289" s="292"/>
      <c r="AI289" t="str">
        <f>X119</f>
        <v>Atammayata</v>
      </c>
      <c r="AK289" s="293" t="s">
        <v>168</v>
      </c>
      <c r="AL289" s="287" t="s">
        <v>536</v>
      </c>
      <c r="AO289" t="e">
        <f>#REF!</f>
        <v>#REF!</v>
      </c>
      <c r="AP289" s="285" t="s">
        <v>154</v>
      </c>
      <c r="AQ289" s="287" t="s">
        <v>537</v>
      </c>
      <c r="AV289" s="232"/>
    </row>
    <row r="290" spans="11:48" ht="15" hidden="1" thickBot="1" x14ac:dyDescent="0.25">
      <c r="K290" s="296"/>
      <c r="L290" s="297"/>
      <c r="M290" s="297"/>
      <c r="N290" s="297"/>
      <c r="O290" s="297"/>
      <c r="P290" s="297"/>
      <c r="Q290" s="297"/>
      <c r="R290" s="297"/>
      <c r="S290" s="297"/>
      <c r="T290" s="297"/>
      <c r="U290" s="297"/>
      <c r="V290" s="297"/>
      <c r="W290" s="297"/>
      <c r="X290" s="297"/>
      <c r="Y290" s="297"/>
      <c r="Z290" s="298"/>
      <c r="AA290" s="298"/>
      <c r="AB290" s="297"/>
      <c r="AC290" s="297"/>
      <c r="AD290" s="297"/>
      <c r="AE290" s="297"/>
      <c r="AF290" s="297"/>
      <c r="AG290" s="297"/>
      <c r="AH290" s="297"/>
      <c r="AI290" s="297"/>
      <c r="AJ290" s="297"/>
      <c r="AK290" s="297"/>
      <c r="AL290" s="297"/>
      <c r="AM290" s="297"/>
      <c r="AN290" s="297"/>
      <c r="AO290" s="297"/>
      <c r="AP290" s="297"/>
      <c r="AQ290" s="297"/>
      <c r="AR290" s="297"/>
      <c r="AS290" s="297"/>
      <c r="AT290" s="297"/>
      <c r="AU290" s="297"/>
      <c r="AV290" s="299"/>
    </row>
    <row r="291" spans="11:48" hidden="1" x14ac:dyDescent="0.2"/>
    <row r="292" spans="11:48" x14ac:dyDescent="0.2">
      <c r="P292" t="s">
        <v>539</v>
      </c>
    </row>
  </sheetData>
  <sortState xmlns:xlrd2="http://schemas.microsoft.com/office/spreadsheetml/2017/richdata2" ref="B237:O260">
    <sortCondition ref="B237:B260"/>
  </sortState>
  <pageMargins left="0.70866141732283472" right="0.70866141732283472" top="0.74803149606299213" bottom="0.74803149606299213" header="0.31496062992125984" footer="0.31496062992125984"/>
  <pageSetup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C176-77D8-4FEE-8A01-99DFFA4BDE9E}">
  <dimension ref="A5:BC296"/>
  <sheetViews>
    <sheetView topLeftCell="A137" workbookViewId="0">
      <pane xSplit="4" ySplit="4" topLeftCell="E252" activePane="bottomRight" state="frozen"/>
      <selection activeCell="A137" sqref="A137"/>
      <selection pane="topRight" activeCell="E137" sqref="E137"/>
      <selection pane="bottomLeft" activeCell="A141" sqref="A141"/>
      <selection pane="bottomRight" activeCell="H304" sqref="H304"/>
    </sheetView>
  </sheetViews>
  <sheetFormatPr defaultRowHeight="14.25" x14ac:dyDescent="0.2"/>
  <cols>
    <col min="2" max="2" width="0" style="148" hidden="1" customWidth="1"/>
    <col min="3" max="3" width="13.25" style="148" hidden="1" customWidth="1"/>
    <col min="4" max="4" width="0" style="148" hidden="1" customWidth="1"/>
    <col min="5" max="5" width="9" style="148"/>
    <col min="6" max="6" width="28.125" style="148" customWidth="1"/>
    <col min="7" max="8" width="22.5" style="148" bestFit="1" customWidth="1"/>
    <col min="9" max="9" width="36.25" style="148" customWidth="1"/>
    <col min="10" max="10" width="20.625" style="148" customWidth="1"/>
    <col min="11" max="11" width="22.875" style="148" customWidth="1"/>
    <col min="12" max="12" width="21.375" style="148" customWidth="1"/>
    <col min="13" max="16" width="10.25" style="148" hidden="1" customWidth="1"/>
    <col min="17" max="17" width="10.125" style="148" hidden="1" customWidth="1"/>
    <col min="18" max="18" width="13.875" hidden="1" customWidth="1"/>
    <col min="19" max="20" width="20.75" hidden="1" customWidth="1"/>
    <col min="21" max="21" width="14" hidden="1" customWidth="1"/>
    <col min="22" max="22" width="16.125" hidden="1" customWidth="1"/>
    <col min="23" max="23" width="15.5" hidden="1" customWidth="1"/>
    <col min="24" max="24" width="11.375" hidden="1" customWidth="1"/>
    <col min="25" max="25" width="21.5" hidden="1" customWidth="1"/>
    <col min="26" max="26" width="16.25" hidden="1" customWidth="1"/>
    <col min="27" max="27" width="15.75" hidden="1" customWidth="1"/>
    <col min="28" max="28" width="14.625" hidden="1" customWidth="1"/>
    <col min="29" max="29" width="14.75" hidden="1" customWidth="1"/>
    <col min="30" max="30" width="16.5" hidden="1" customWidth="1"/>
    <col min="31" max="31" width="16.625" customWidth="1"/>
    <col min="32" max="32" width="10" customWidth="1"/>
    <col min="33" max="33" width="16.125" customWidth="1"/>
    <col min="34" max="34" width="10.5" customWidth="1"/>
    <col min="35" max="35" width="13.625" customWidth="1"/>
    <col min="36" max="36" width="11.25" customWidth="1"/>
    <col min="37" max="37" width="12.625" customWidth="1"/>
    <col min="40" max="40" width="14.125" customWidth="1"/>
    <col min="41" max="41" width="8.75" customWidth="1"/>
    <col min="42" max="42" width="17.75" customWidth="1"/>
    <col min="43" max="43" width="10.25" customWidth="1"/>
    <col min="44" max="44" width="15.75" customWidth="1"/>
    <col min="46" max="46" width="12.75" bestFit="1" customWidth="1"/>
    <col min="49" max="49" width="20.125" customWidth="1"/>
  </cols>
  <sheetData>
    <row r="5" spans="18:26" hidden="1" x14ac:dyDescent="0.2">
      <c r="R5" t="s">
        <v>127</v>
      </c>
    </row>
    <row r="6" spans="18:26" hidden="1" x14ac:dyDescent="0.2">
      <c r="Y6" s="148" t="s">
        <v>128</v>
      </c>
      <c r="Z6" s="213" t="s">
        <v>34</v>
      </c>
    </row>
    <row r="7" spans="18:26" hidden="1" x14ac:dyDescent="0.2">
      <c r="R7" t="s">
        <v>129</v>
      </c>
      <c r="S7" t="s">
        <v>130</v>
      </c>
      <c r="U7" t="s">
        <v>131</v>
      </c>
      <c r="W7" s="214"/>
      <c r="X7" s="214"/>
      <c r="Y7" s="215" t="s">
        <v>129</v>
      </c>
      <c r="Z7" s="216" t="s">
        <v>34</v>
      </c>
    </row>
    <row r="8" spans="18:26" hidden="1" x14ac:dyDescent="0.2">
      <c r="Y8" s="148" t="s">
        <v>132</v>
      </c>
      <c r="Z8" s="149" t="s">
        <v>30</v>
      </c>
    </row>
    <row r="9" spans="18:26" hidden="1" x14ac:dyDescent="0.2">
      <c r="Y9" s="148" t="s">
        <v>133</v>
      </c>
      <c r="Z9" s="217" t="s">
        <v>32</v>
      </c>
    </row>
    <row r="10" spans="18:26" hidden="1" x14ac:dyDescent="0.2">
      <c r="Y10" s="218" t="s">
        <v>134</v>
      </c>
      <c r="Z10" s="219" t="s">
        <v>33</v>
      </c>
    </row>
    <row r="11" spans="18:26" hidden="1" x14ac:dyDescent="0.2">
      <c r="Y11" s="148" t="s">
        <v>135</v>
      </c>
      <c r="Z11" s="217" t="s">
        <v>32</v>
      </c>
    </row>
    <row r="12" spans="18:26" hidden="1" x14ac:dyDescent="0.2">
      <c r="Y12" s="148" t="s">
        <v>136</v>
      </c>
      <c r="Z12" s="219" t="s">
        <v>33</v>
      </c>
    </row>
    <row r="13" spans="18:26" hidden="1" x14ac:dyDescent="0.2">
      <c r="Y13" s="148" t="s">
        <v>137</v>
      </c>
      <c r="Z13" s="149" t="s">
        <v>30</v>
      </c>
    </row>
    <row r="14" spans="18:26" hidden="1" x14ac:dyDescent="0.2">
      <c r="Y14" s="148" t="s">
        <v>138</v>
      </c>
      <c r="Z14" s="219" t="s">
        <v>33</v>
      </c>
    </row>
    <row r="15" spans="18:26" hidden="1" x14ac:dyDescent="0.2">
      <c r="Y15" s="218" t="s">
        <v>139</v>
      </c>
      <c r="Z15" s="219"/>
    </row>
    <row r="16" spans="18:26" hidden="1" x14ac:dyDescent="0.2">
      <c r="Y16" s="217" t="s">
        <v>140</v>
      </c>
      <c r="Z16" s="220" t="s">
        <v>141</v>
      </c>
    </row>
    <row r="17" spans="18:26" hidden="1" x14ac:dyDescent="0.2">
      <c r="R17" t="s">
        <v>142</v>
      </c>
      <c r="S17" t="s">
        <v>130</v>
      </c>
      <c r="U17" t="s">
        <v>143</v>
      </c>
      <c r="W17" s="214"/>
      <c r="X17" s="214"/>
      <c r="Y17" s="215" t="s">
        <v>142</v>
      </c>
      <c r="Z17" s="221" t="s">
        <v>30</v>
      </c>
    </row>
    <row r="18" spans="18:26" hidden="1" x14ac:dyDescent="0.2">
      <c r="R18" t="s">
        <v>144</v>
      </c>
      <c r="S18" t="s">
        <v>130</v>
      </c>
      <c r="U18" t="s">
        <v>138</v>
      </c>
      <c r="W18" s="214"/>
      <c r="X18" s="214"/>
      <c r="Y18" s="215" t="s">
        <v>144</v>
      </c>
      <c r="Z18" s="222" t="s">
        <v>33</v>
      </c>
    </row>
    <row r="19" spans="18:26" hidden="1" x14ac:dyDescent="0.2">
      <c r="Y19" s="148" t="s">
        <v>145</v>
      </c>
      <c r="Z19" s="223" t="s">
        <v>31</v>
      </c>
    </row>
    <row r="20" spans="18:26" hidden="1" x14ac:dyDescent="0.2">
      <c r="Y20" s="148" t="s">
        <v>146</v>
      </c>
      <c r="Z20" s="149" t="s">
        <v>30</v>
      </c>
    </row>
    <row r="21" spans="18:26" hidden="1" x14ac:dyDescent="0.2">
      <c r="R21" t="s">
        <v>147</v>
      </c>
      <c r="S21" t="s">
        <v>130</v>
      </c>
      <c r="U21" t="s">
        <v>148</v>
      </c>
      <c r="W21" s="214"/>
      <c r="X21" s="214"/>
      <c r="Y21" s="215" t="s">
        <v>147</v>
      </c>
      <c r="Z21" s="216" t="s">
        <v>34</v>
      </c>
    </row>
    <row r="22" spans="18:26" hidden="1" x14ac:dyDescent="0.2">
      <c r="Y22" s="148" t="s">
        <v>149</v>
      </c>
      <c r="Z22" s="219" t="s">
        <v>33</v>
      </c>
    </row>
    <row r="23" spans="18:26" hidden="1" x14ac:dyDescent="0.2">
      <c r="Y23" s="218" t="s">
        <v>150</v>
      </c>
      <c r="Z23" s="219" t="s">
        <v>33</v>
      </c>
    </row>
    <row r="24" spans="18:26" hidden="1" x14ac:dyDescent="0.2">
      <c r="W24" s="214"/>
      <c r="X24" s="214"/>
      <c r="Y24" s="215" t="s">
        <v>151</v>
      </c>
      <c r="Z24" s="221" t="s">
        <v>30</v>
      </c>
    </row>
    <row r="25" spans="18:26" hidden="1" x14ac:dyDescent="0.2">
      <c r="R25" t="s">
        <v>151</v>
      </c>
      <c r="S25" t="s">
        <v>130</v>
      </c>
      <c r="U25" t="s">
        <v>152</v>
      </c>
      <c r="W25" s="214"/>
      <c r="X25" s="214"/>
      <c r="Y25" s="215" t="s">
        <v>151</v>
      </c>
      <c r="Z25" s="224" t="s">
        <v>31</v>
      </c>
    </row>
    <row r="26" spans="18:26" hidden="1" x14ac:dyDescent="0.2">
      <c r="Y26" s="148" t="s">
        <v>153</v>
      </c>
      <c r="Z26" s="219" t="s">
        <v>33</v>
      </c>
    </row>
    <row r="27" spans="18:26" hidden="1" x14ac:dyDescent="0.2">
      <c r="R27" t="s">
        <v>154</v>
      </c>
      <c r="S27" t="s">
        <v>130</v>
      </c>
      <c r="U27" t="s">
        <v>155</v>
      </c>
      <c r="Y27" s="148" t="s">
        <v>154</v>
      </c>
      <c r="Z27" s="223" t="s">
        <v>31</v>
      </c>
    </row>
    <row r="28" spans="18:26" hidden="1" x14ac:dyDescent="0.2">
      <c r="Y28" s="148" t="s">
        <v>156</v>
      </c>
      <c r="Z28" s="223" t="s">
        <v>31</v>
      </c>
    </row>
    <row r="29" spans="18:26" hidden="1" x14ac:dyDescent="0.2">
      <c r="Y29" s="218" t="s">
        <v>157</v>
      </c>
      <c r="Z29" s="223" t="s">
        <v>31</v>
      </c>
    </row>
    <row r="30" spans="18:26" hidden="1" x14ac:dyDescent="0.2">
      <c r="Y30" s="148" t="s">
        <v>158</v>
      </c>
      <c r="Z30" s="223" t="s">
        <v>31</v>
      </c>
    </row>
    <row r="31" spans="18:26" hidden="1" x14ac:dyDescent="0.2">
      <c r="R31" t="s">
        <v>159</v>
      </c>
      <c r="S31" t="s">
        <v>160</v>
      </c>
      <c r="Y31" s="225" t="s">
        <v>161</v>
      </c>
      <c r="Z31" s="219" t="s">
        <v>33</v>
      </c>
    </row>
    <row r="32" spans="18:26" hidden="1" x14ac:dyDescent="0.2">
      <c r="Y32" s="148" t="s">
        <v>162</v>
      </c>
      <c r="Z32" s="217" t="s">
        <v>32</v>
      </c>
    </row>
    <row r="33" spans="18:26" hidden="1" x14ac:dyDescent="0.2">
      <c r="Y33" s="148" t="s">
        <v>163</v>
      </c>
      <c r="Z33" s="149" t="s">
        <v>30</v>
      </c>
    </row>
    <row r="34" spans="18:26" hidden="1" x14ac:dyDescent="0.2">
      <c r="Y34" s="217" t="s">
        <v>164</v>
      </c>
      <c r="Z34" s="220" t="s">
        <v>141</v>
      </c>
    </row>
    <row r="35" spans="18:26" hidden="1" x14ac:dyDescent="0.2">
      <c r="Y35" s="217" t="s">
        <v>165</v>
      </c>
      <c r="Z35" s="220" t="s">
        <v>141</v>
      </c>
    </row>
    <row r="36" spans="18:26" hidden="1" x14ac:dyDescent="0.2">
      <c r="Y36" s="217" t="s">
        <v>166</v>
      </c>
      <c r="Z36" s="220" t="s">
        <v>141</v>
      </c>
    </row>
    <row r="37" spans="18:26" hidden="1" x14ac:dyDescent="0.2">
      <c r="Y37" s="148" t="s">
        <v>167</v>
      </c>
      <c r="Z37" s="223" t="s">
        <v>31</v>
      </c>
    </row>
    <row r="38" spans="18:26" hidden="1" x14ac:dyDescent="0.2">
      <c r="Y38" s="148" t="s">
        <v>168</v>
      </c>
      <c r="Z38" s="223" t="s">
        <v>31</v>
      </c>
    </row>
    <row r="39" spans="18:26" hidden="1" x14ac:dyDescent="0.2">
      <c r="R39" t="s">
        <v>169</v>
      </c>
      <c r="S39" t="s">
        <v>130</v>
      </c>
      <c r="U39" t="s">
        <v>170</v>
      </c>
      <c r="W39" s="214"/>
      <c r="X39" s="214"/>
      <c r="Y39" s="215" t="s">
        <v>169</v>
      </c>
      <c r="Z39" s="216" t="s">
        <v>34</v>
      </c>
    </row>
    <row r="40" spans="18:26" hidden="1" x14ac:dyDescent="0.2">
      <c r="W40" s="214"/>
      <c r="X40" s="214"/>
      <c r="Y40" s="215" t="s">
        <v>171</v>
      </c>
      <c r="Z40" s="216" t="s">
        <v>34</v>
      </c>
    </row>
    <row r="41" spans="18:26" hidden="1" x14ac:dyDescent="0.2">
      <c r="R41" t="s">
        <v>171</v>
      </c>
      <c r="S41" t="s">
        <v>130</v>
      </c>
      <c r="U41" t="s">
        <v>152</v>
      </c>
      <c r="W41" s="214"/>
      <c r="X41" s="214"/>
      <c r="Y41" s="215" t="s">
        <v>171</v>
      </c>
      <c r="Z41" s="224" t="s">
        <v>31</v>
      </c>
    </row>
    <row r="42" spans="18:26" hidden="1" x14ac:dyDescent="0.2">
      <c r="R42" t="s">
        <v>155</v>
      </c>
      <c r="S42" t="s">
        <v>130</v>
      </c>
      <c r="U42" t="s">
        <v>172</v>
      </c>
      <c r="W42" s="214"/>
      <c r="X42" s="214"/>
      <c r="Y42" s="215" t="s">
        <v>155</v>
      </c>
      <c r="Z42" s="216" t="s">
        <v>34</v>
      </c>
    </row>
    <row r="43" spans="18:26" hidden="1" x14ac:dyDescent="0.2">
      <c r="Y43" s="148" t="s">
        <v>173</v>
      </c>
      <c r="Z43" s="149" t="s">
        <v>30</v>
      </c>
    </row>
    <row r="44" spans="18:26" hidden="1" x14ac:dyDescent="0.2">
      <c r="Y44" s="148" t="s">
        <v>174</v>
      </c>
      <c r="Z44" s="213" t="s">
        <v>34</v>
      </c>
    </row>
    <row r="45" spans="18:26" hidden="1" x14ac:dyDescent="0.2">
      <c r="Y45" s="148" t="s">
        <v>175</v>
      </c>
      <c r="Z45" s="213" t="s">
        <v>34</v>
      </c>
    </row>
    <row r="46" spans="18:26" hidden="1" x14ac:dyDescent="0.2">
      <c r="Y46" s="148" t="s">
        <v>176</v>
      </c>
      <c r="Z46" s="223" t="s">
        <v>31</v>
      </c>
    </row>
    <row r="47" spans="18:26" hidden="1" x14ac:dyDescent="0.2">
      <c r="Y47" s="217" t="s">
        <v>177</v>
      </c>
      <c r="Z47" s="220" t="s">
        <v>141</v>
      </c>
    </row>
    <row r="48" spans="18:26" hidden="1" x14ac:dyDescent="0.2">
      <c r="R48" t="s">
        <v>178</v>
      </c>
      <c r="S48" t="s">
        <v>179</v>
      </c>
      <c r="U48" t="s">
        <v>150</v>
      </c>
      <c r="W48" s="214"/>
      <c r="X48" s="214"/>
      <c r="Y48" s="215" t="s">
        <v>178</v>
      </c>
      <c r="Z48" s="222" t="s">
        <v>33</v>
      </c>
    </row>
    <row r="49" spans="18:26" hidden="1" x14ac:dyDescent="0.2">
      <c r="Y49" s="148" t="s">
        <v>143</v>
      </c>
      <c r="Z49" s="149" t="s">
        <v>30</v>
      </c>
    </row>
    <row r="50" spans="18:26" hidden="1" x14ac:dyDescent="0.2">
      <c r="Y50" s="148" t="s">
        <v>180</v>
      </c>
      <c r="Z50" s="213" t="s">
        <v>34</v>
      </c>
    </row>
    <row r="51" spans="18:26" hidden="1" x14ac:dyDescent="0.2">
      <c r="Y51" s="217" t="s">
        <v>181</v>
      </c>
      <c r="Z51" s="220" t="s">
        <v>141</v>
      </c>
    </row>
    <row r="52" spans="18:26" hidden="1" x14ac:dyDescent="0.2">
      <c r="Y52" s="148" t="s">
        <v>182</v>
      </c>
      <c r="Z52" s="223" t="s">
        <v>31</v>
      </c>
    </row>
    <row r="53" spans="18:26" hidden="1" x14ac:dyDescent="0.2">
      <c r="Y53" s="148" t="s">
        <v>183</v>
      </c>
      <c r="Z53" s="217" t="s">
        <v>32</v>
      </c>
    </row>
    <row r="54" spans="18:26" hidden="1" x14ac:dyDescent="0.2">
      <c r="Y54" s="148" t="s">
        <v>184</v>
      </c>
      <c r="Z54" s="217" t="s">
        <v>32</v>
      </c>
    </row>
    <row r="55" spans="18:26" hidden="1" x14ac:dyDescent="0.2">
      <c r="Y55" s="148" t="s">
        <v>185</v>
      </c>
      <c r="Z55" s="217" t="s">
        <v>32</v>
      </c>
    </row>
    <row r="56" spans="18:26" hidden="1" x14ac:dyDescent="0.2">
      <c r="Y56" s="148" t="s">
        <v>186</v>
      </c>
      <c r="Z56" s="219" t="s">
        <v>33</v>
      </c>
    </row>
    <row r="57" spans="18:26" hidden="1" x14ac:dyDescent="0.2">
      <c r="Y57" s="148" t="s">
        <v>187</v>
      </c>
      <c r="Z57" s="213" t="s">
        <v>34</v>
      </c>
    </row>
    <row r="58" spans="18:26" hidden="1" x14ac:dyDescent="0.2">
      <c r="Y58" s="148" t="s">
        <v>188</v>
      </c>
      <c r="Z58" s="217" t="s">
        <v>32</v>
      </c>
    </row>
    <row r="59" spans="18:26" hidden="1" x14ac:dyDescent="0.2">
      <c r="Y59" s="148" t="s">
        <v>189</v>
      </c>
      <c r="Z59" s="219" t="s">
        <v>33</v>
      </c>
    </row>
    <row r="60" spans="18:26" hidden="1" x14ac:dyDescent="0.2">
      <c r="R60" t="s">
        <v>190</v>
      </c>
      <c r="S60" t="s">
        <v>130</v>
      </c>
      <c r="U60" t="s">
        <v>191</v>
      </c>
      <c r="W60" s="214"/>
      <c r="X60" s="214"/>
      <c r="Y60" s="215" t="s">
        <v>190</v>
      </c>
      <c r="Z60" s="222" t="s">
        <v>33</v>
      </c>
    </row>
    <row r="61" spans="18:26" hidden="1" x14ac:dyDescent="0.2">
      <c r="Y61" s="217" t="s">
        <v>192</v>
      </c>
      <c r="Z61" s="220" t="s">
        <v>141</v>
      </c>
    </row>
    <row r="62" spans="18:26" hidden="1" x14ac:dyDescent="0.2">
      <c r="Y62" s="148" t="s">
        <v>193</v>
      </c>
      <c r="Z62" s="213" t="s">
        <v>34</v>
      </c>
    </row>
    <row r="63" spans="18:26" hidden="1" x14ac:dyDescent="0.2">
      <c r="Y63" s="217" t="s">
        <v>194</v>
      </c>
      <c r="Z63" s="220" t="s">
        <v>141</v>
      </c>
    </row>
    <row r="64" spans="18:26" hidden="1" x14ac:dyDescent="0.2">
      <c r="Y64" s="217" t="s">
        <v>195</v>
      </c>
      <c r="Z64" s="220" t="s">
        <v>141</v>
      </c>
    </row>
    <row r="65" spans="18:26" hidden="1" x14ac:dyDescent="0.2">
      <c r="Y65" s="148" t="s">
        <v>196</v>
      </c>
      <c r="Z65" s="149" t="s">
        <v>30</v>
      </c>
    </row>
    <row r="66" spans="18:26" hidden="1" x14ac:dyDescent="0.2">
      <c r="R66" t="s">
        <v>197</v>
      </c>
      <c r="S66" t="s">
        <v>130</v>
      </c>
      <c r="U66" t="s">
        <v>198</v>
      </c>
      <c r="W66" s="214"/>
      <c r="X66" s="214"/>
      <c r="Y66" s="215" t="s">
        <v>197</v>
      </c>
      <c r="Z66" s="222" t="s">
        <v>33</v>
      </c>
    </row>
    <row r="67" spans="18:26" hidden="1" x14ac:dyDescent="0.2">
      <c r="Y67" s="148" t="s">
        <v>199</v>
      </c>
      <c r="Z67" s="217" t="s">
        <v>32</v>
      </c>
    </row>
    <row r="68" spans="18:26" hidden="1" x14ac:dyDescent="0.2">
      <c r="Y68" s="148" t="s">
        <v>200</v>
      </c>
      <c r="Z68" s="223" t="s">
        <v>31</v>
      </c>
    </row>
    <row r="69" spans="18:26" hidden="1" x14ac:dyDescent="0.2">
      <c r="Y69" s="148" t="s">
        <v>201</v>
      </c>
      <c r="Z69" s="149" t="s">
        <v>30</v>
      </c>
    </row>
    <row r="70" spans="18:26" hidden="1" x14ac:dyDescent="0.2">
      <c r="R70" t="s">
        <v>202</v>
      </c>
      <c r="S70" t="s">
        <v>130</v>
      </c>
      <c r="U70" t="s">
        <v>201</v>
      </c>
      <c r="Y70" s="148" t="s">
        <v>202</v>
      </c>
      <c r="Z70" s="149" t="s">
        <v>30</v>
      </c>
    </row>
    <row r="71" spans="18:26" hidden="1" x14ac:dyDescent="0.2">
      <c r="Y71" s="148" t="s">
        <v>203</v>
      </c>
      <c r="Z71" s="219" t="s">
        <v>33</v>
      </c>
    </row>
    <row r="72" spans="18:26" hidden="1" x14ac:dyDescent="0.2">
      <c r="Y72" s="148" t="s">
        <v>191</v>
      </c>
      <c r="Z72" s="219" t="s">
        <v>33</v>
      </c>
    </row>
    <row r="73" spans="18:26" hidden="1" x14ac:dyDescent="0.2">
      <c r="Y73" s="148" t="s">
        <v>198</v>
      </c>
      <c r="Z73" s="219" t="s">
        <v>33</v>
      </c>
    </row>
    <row r="74" spans="18:26" hidden="1" x14ac:dyDescent="0.2">
      <c r="Y74" s="148" t="s">
        <v>204</v>
      </c>
      <c r="Z74" s="217" t="s">
        <v>32</v>
      </c>
    </row>
    <row r="75" spans="18:26" hidden="1" x14ac:dyDescent="0.2">
      <c r="Y75" s="148" t="s">
        <v>205</v>
      </c>
      <c r="Z75" s="217" t="s">
        <v>32</v>
      </c>
    </row>
    <row r="76" spans="18:26" hidden="1" x14ac:dyDescent="0.2">
      <c r="R76" t="s">
        <v>206</v>
      </c>
      <c r="S76" t="s">
        <v>130</v>
      </c>
      <c r="U76" t="s">
        <v>171</v>
      </c>
      <c r="W76" s="214"/>
      <c r="X76" s="214"/>
      <c r="Y76" s="215" t="s">
        <v>206</v>
      </c>
      <c r="Z76" s="221" t="s">
        <v>30</v>
      </c>
    </row>
    <row r="77" spans="18:26" hidden="1" x14ac:dyDescent="0.2">
      <c r="R77" t="s">
        <v>207</v>
      </c>
      <c r="S77" t="s">
        <v>130</v>
      </c>
      <c r="U77" t="s">
        <v>204</v>
      </c>
      <c r="W77" s="214"/>
      <c r="X77" s="214"/>
      <c r="Y77" s="215" t="s">
        <v>207</v>
      </c>
      <c r="Z77" s="226" t="s">
        <v>32</v>
      </c>
    </row>
    <row r="78" spans="18:26" hidden="1" x14ac:dyDescent="0.2">
      <c r="Y78" s="148" t="s">
        <v>208</v>
      </c>
      <c r="Z78" s="223" t="s">
        <v>31</v>
      </c>
    </row>
    <row r="79" spans="18:26" hidden="1" x14ac:dyDescent="0.2">
      <c r="Y79" s="148" t="s">
        <v>209</v>
      </c>
      <c r="Z79" s="213" t="s">
        <v>34</v>
      </c>
    </row>
    <row r="80" spans="18:26" hidden="1" x14ac:dyDescent="0.2">
      <c r="Y80" s="148" t="s">
        <v>210</v>
      </c>
      <c r="Z80" s="223" t="s">
        <v>31</v>
      </c>
    </row>
    <row r="81" spans="18:32" hidden="1" x14ac:dyDescent="0.2">
      <c r="Y81" s="148" t="s">
        <v>211</v>
      </c>
      <c r="Z81" s="223" t="s">
        <v>31</v>
      </c>
    </row>
    <row r="82" spans="18:32" hidden="1" x14ac:dyDescent="0.2">
      <c r="R82" t="s">
        <v>212</v>
      </c>
      <c r="S82" t="s">
        <v>130</v>
      </c>
      <c r="U82" t="s">
        <v>213</v>
      </c>
      <c r="W82" s="214"/>
      <c r="X82" s="214"/>
      <c r="Y82" s="215" t="s">
        <v>212</v>
      </c>
      <c r="Z82" s="226" t="s">
        <v>32</v>
      </c>
    </row>
    <row r="83" spans="18:32" hidden="1" x14ac:dyDescent="0.2">
      <c r="Y83" s="148" t="s">
        <v>214</v>
      </c>
      <c r="Z83" s="213" t="s">
        <v>34</v>
      </c>
      <c r="AE83" t="s">
        <v>215</v>
      </c>
    </row>
    <row r="84" spans="18:32" hidden="1" x14ac:dyDescent="0.2">
      <c r="Y84" s="217" t="s">
        <v>216</v>
      </c>
      <c r="Z84" s="220" t="s">
        <v>141</v>
      </c>
      <c r="AE84" t="s">
        <v>217</v>
      </c>
    </row>
    <row r="85" spans="18:32" hidden="1" x14ac:dyDescent="0.2">
      <c r="Y85" s="148" t="s">
        <v>172</v>
      </c>
      <c r="Z85" s="219" t="s">
        <v>33</v>
      </c>
      <c r="AE85" t="s">
        <v>157</v>
      </c>
    </row>
    <row r="86" spans="18:32" hidden="1" x14ac:dyDescent="0.2">
      <c r="Y86" s="148" t="s">
        <v>218</v>
      </c>
      <c r="Z86" s="149" t="s">
        <v>30</v>
      </c>
      <c r="AE86" t="s">
        <v>219</v>
      </c>
    </row>
    <row r="87" spans="18:32" hidden="1" x14ac:dyDescent="0.2">
      <c r="Y87" s="217" t="s">
        <v>220</v>
      </c>
      <c r="Z87" s="220" t="s">
        <v>141</v>
      </c>
      <c r="AE87" t="s">
        <v>221</v>
      </c>
    </row>
    <row r="88" spans="18:32" hidden="1" x14ac:dyDescent="0.2">
      <c r="Y88" s="148" t="s">
        <v>222</v>
      </c>
      <c r="Z88" s="217" t="s">
        <v>32</v>
      </c>
      <c r="AE88" t="s">
        <v>223</v>
      </c>
    </row>
    <row r="89" spans="18:32" hidden="1" x14ac:dyDescent="0.2">
      <c r="Y89" s="148" t="s">
        <v>224</v>
      </c>
      <c r="Z89" s="213" t="s">
        <v>34</v>
      </c>
      <c r="AE89" t="s">
        <v>225</v>
      </c>
    </row>
    <row r="90" spans="18:32" hidden="1" x14ac:dyDescent="0.2">
      <c r="Y90" s="217" t="s">
        <v>226</v>
      </c>
      <c r="Z90" s="220" t="s">
        <v>141</v>
      </c>
    </row>
    <row r="91" spans="18:32" hidden="1" x14ac:dyDescent="0.2">
      <c r="R91" t="s">
        <v>227</v>
      </c>
      <c r="S91" t="s">
        <v>130</v>
      </c>
      <c r="U91" t="s">
        <v>176</v>
      </c>
      <c r="W91" s="214"/>
      <c r="X91" s="214"/>
      <c r="Y91" s="215" t="s">
        <v>227</v>
      </c>
      <c r="Z91" s="221" t="s">
        <v>30</v>
      </c>
      <c r="AE91" t="s">
        <v>223</v>
      </c>
    </row>
    <row r="92" spans="18:32" hidden="1" x14ac:dyDescent="0.2">
      <c r="Y92" s="148" t="s">
        <v>213</v>
      </c>
      <c r="Z92" s="217" t="s">
        <v>32</v>
      </c>
      <c r="AE92" t="s">
        <v>228</v>
      </c>
    </row>
    <row r="93" spans="18:32" hidden="1" x14ac:dyDescent="0.2">
      <c r="R93" t="s">
        <v>229</v>
      </c>
      <c r="S93" t="s">
        <v>130</v>
      </c>
      <c r="U93" t="s">
        <v>146</v>
      </c>
      <c r="W93" s="214"/>
      <c r="X93" s="214"/>
      <c r="Y93" s="215" t="s">
        <v>229</v>
      </c>
      <c r="Z93" s="224" t="s">
        <v>31</v>
      </c>
    </row>
    <row r="94" spans="18:32" hidden="1" x14ac:dyDescent="0.2">
      <c r="Y94" s="217" t="s">
        <v>230</v>
      </c>
      <c r="Z94" s="220" t="s">
        <v>141</v>
      </c>
    </row>
    <row r="95" spans="18:32" hidden="1" x14ac:dyDescent="0.2">
      <c r="Y95" s="148" t="s">
        <v>170</v>
      </c>
      <c r="Z95" s="217" t="s">
        <v>32</v>
      </c>
      <c r="AE95" s="217" t="s">
        <v>231</v>
      </c>
      <c r="AF95" s="217"/>
    </row>
    <row r="96" spans="18:32" hidden="1" x14ac:dyDescent="0.2">
      <c r="R96" t="s">
        <v>232</v>
      </c>
      <c r="U96" t="s">
        <v>233</v>
      </c>
      <c r="W96" s="214"/>
      <c r="X96" s="214"/>
      <c r="Y96" s="215" t="s">
        <v>232</v>
      </c>
      <c r="Z96" s="216" t="s">
        <v>34</v>
      </c>
    </row>
    <row r="97" spans="18:55" hidden="1" x14ac:dyDescent="0.2">
      <c r="Y97" s="148" t="s">
        <v>234</v>
      </c>
      <c r="Z97" s="149" t="s">
        <v>30</v>
      </c>
    </row>
    <row r="98" spans="18:55" hidden="1" x14ac:dyDescent="0.2">
      <c r="Y98" s="217" t="s">
        <v>235</v>
      </c>
      <c r="Z98" s="220" t="s">
        <v>141</v>
      </c>
    </row>
    <row r="99" spans="18:55" hidden="1" x14ac:dyDescent="0.2">
      <c r="Y99" s="217" t="s">
        <v>236</v>
      </c>
      <c r="Z99" s="220" t="s">
        <v>141</v>
      </c>
    </row>
    <row r="100" spans="18:55" hidden="1" x14ac:dyDescent="0.2"/>
    <row r="103" spans="18:55" ht="15" thickBot="1" x14ac:dyDescent="0.25"/>
    <row r="104" spans="18:55" ht="18" x14ac:dyDescent="0.25">
      <c r="R104" s="227" t="s">
        <v>237</v>
      </c>
      <c r="S104" s="228"/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9"/>
      <c r="AH104" s="229"/>
      <c r="AI104" s="228"/>
      <c r="AJ104" s="228"/>
      <c r="AK104" s="228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 s="228"/>
      <c r="AX104" s="228"/>
      <c r="AY104" s="228"/>
      <c r="AZ104" s="228"/>
      <c r="BA104" s="228"/>
      <c r="BB104" s="228"/>
      <c r="BC104" s="230"/>
    </row>
    <row r="105" spans="18:55" x14ac:dyDescent="0.2">
      <c r="R105" s="231"/>
      <c r="AG105" s="148"/>
      <c r="AH105" s="148"/>
      <c r="AU105" s="141" t="s">
        <v>238</v>
      </c>
      <c r="BC105" s="232"/>
    </row>
    <row r="106" spans="18:55" ht="18" x14ac:dyDescent="0.25">
      <c r="R106" s="231"/>
      <c r="S106" s="233" t="s">
        <v>239</v>
      </c>
      <c r="T106" s="233"/>
      <c r="AG106" s="148"/>
      <c r="AH106" s="148"/>
      <c r="AU106" s="234" t="s">
        <v>240</v>
      </c>
      <c r="AV106" s="148">
        <v>1</v>
      </c>
      <c r="AW106" s="217" t="s">
        <v>164</v>
      </c>
      <c r="AX106" s="148" t="s">
        <v>241</v>
      </c>
      <c r="AZ106" s="235" t="s">
        <v>242</v>
      </c>
      <c r="BC106" s="232"/>
    </row>
    <row r="107" spans="18:55" ht="15" thickBot="1" x14ac:dyDescent="0.25">
      <c r="R107" s="231"/>
      <c r="Y107" s="236" t="s">
        <v>243</v>
      </c>
      <c r="AG107" s="148"/>
      <c r="AH107" s="148"/>
      <c r="AU107" s="141">
        <v>22</v>
      </c>
      <c r="AV107" s="148">
        <v>2</v>
      </c>
      <c r="AW107" s="217" t="s">
        <v>244</v>
      </c>
      <c r="AX107" s="148" t="s">
        <v>241</v>
      </c>
      <c r="AZ107" s="235" t="s">
        <v>245</v>
      </c>
      <c r="BC107" s="232"/>
    </row>
    <row r="108" spans="18:55" ht="15" thickBot="1" x14ac:dyDescent="0.25">
      <c r="R108" s="231"/>
      <c r="S108" s="219">
        <v>1</v>
      </c>
      <c r="T108" s="219"/>
      <c r="U108" s="219" t="s">
        <v>33</v>
      </c>
      <c r="V108" s="237"/>
      <c r="W108" s="237"/>
      <c r="X108" s="237"/>
      <c r="Y108" s="237"/>
      <c r="Z108" s="237"/>
      <c r="AA108" s="238" t="s">
        <v>246</v>
      </c>
      <c r="AD108" s="219">
        <v>3</v>
      </c>
      <c r="AE108" s="219" t="s">
        <v>34</v>
      </c>
      <c r="AF108" s="215"/>
      <c r="AG108" s="215"/>
      <c r="AH108" s="215"/>
      <c r="AI108" s="215"/>
      <c r="AJ108" s="215"/>
      <c r="AK108" s="238" t="s">
        <v>246</v>
      </c>
      <c r="AM108" s="219">
        <v>5</v>
      </c>
      <c r="AN108" s="219" t="s">
        <v>32</v>
      </c>
      <c r="AO108" s="239"/>
      <c r="AP108" s="239"/>
      <c r="AQ108" s="239"/>
      <c r="AR108" s="239"/>
      <c r="AS108" s="239"/>
      <c r="AT108" s="238" t="s">
        <v>246</v>
      </c>
      <c r="AU108" s="141">
        <v>33</v>
      </c>
      <c r="AV108" s="148">
        <v>3</v>
      </c>
      <c r="AW108" s="217" t="s">
        <v>247</v>
      </c>
      <c r="AX108" s="148" t="s">
        <v>241</v>
      </c>
      <c r="AZ108" s="235" t="s">
        <v>248</v>
      </c>
      <c r="BC108" s="232"/>
    </row>
    <row r="109" spans="18:55" x14ac:dyDescent="0.2">
      <c r="R109" s="231"/>
      <c r="U109" s="219" t="s">
        <v>33</v>
      </c>
      <c r="V109" s="240">
        <v>1</v>
      </c>
      <c r="W109" s="240" t="s">
        <v>138</v>
      </c>
      <c r="X109" s="240" t="s">
        <v>249</v>
      </c>
      <c r="Y109" s="215" t="s">
        <v>197</v>
      </c>
      <c r="Z109" s="240" t="s">
        <v>250</v>
      </c>
      <c r="AA109" t="str">
        <f>AA142</f>
        <v>กำแพงเมือง</v>
      </c>
      <c r="AE109" s="219" t="s">
        <v>34</v>
      </c>
      <c r="AF109" s="240">
        <v>1</v>
      </c>
      <c r="AG109" s="240" t="s">
        <v>193</v>
      </c>
      <c r="AH109" s="240" t="s">
        <v>249</v>
      </c>
      <c r="AI109" s="240" t="s">
        <v>251</v>
      </c>
      <c r="AJ109" s="240" t="s">
        <v>252</v>
      </c>
      <c r="AK109" t="str">
        <f>AA145</f>
        <v>ดาวในจักรวาล</v>
      </c>
      <c r="AN109" s="219" t="s">
        <v>32</v>
      </c>
      <c r="AO109" s="240">
        <v>1</v>
      </c>
      <c r="AP109" s="240" t="s">
        <v>222</v>
      </c>
      <c r="AQ109" s="240" t="s">
        <v>249</v>
      </c>
      <c r="AR109" s="240" t="s">
        <v>253</v>
      </c>
      <c r="AS109" s="240" t="s">
        <v>254</v>
      </c>
      <c r="AT109" t="str">
        <f>AA141</f>
        <v>ใช้ขวานผ่าฟืน</v>
      </c>
      <c r="AU109" s="141">
        <v>44</v>
      </c>
      <c r="AV109" s="148">
        <v>4</v>
      </c>
      <c r="AW109" s="217" t="s">
        <v>255</v>
      </c>
      <c r="AX109" s="148" t="s">
        <v>241</v>
      </c>
      <c r="AZ109" s="235" t="s">
        <v>256</v>
      </c>
      <c r="BC109" s="232"/>
    </row>
    <row r="110" spans="18:55" x14ac:dyDescent="0.2">
      <c r="R110" s="231"/>
      <c r="U110" s="219" t="s">
        <v>33</v>
      </c>
      <c r="V110" s="240">
        <v>2</v>
      </c>
      <c r="W110" s="241" t="s">
        <v>257</v>
      </c>
      <c r="X110" s="240" t="s">
        <v>249</v>
      </c>
      <c r="Y110" s="240" t="s">
        <v>173</v>
      </c>
      <c r="Z110" s="240" t="s">
        <v>250</v>
      </c>
      <c r="AA110" t="str">
        <f>AB142</f>
        <v>ยานอวกาศ</v>
      </c>
      <c r="AE110" s="219" t="s">
        <v>34</v>
      </c>
      <c r="AF110" s="240">
        <v>2</v>
      </c>
      <c r="AG110" s="240" t="s">
        <v>224</v>
      </c>
      <c r="AH110" s="240" t="s">
        <v>249</v>
      </c>
      <c r="AI110" s="240" t="s">
        <v>258</v>
      </c>
      <c r="AJ110" s="240" t="s">
        <v>252</v>
      </c>
      <c r="AK110" t="str">
        <f>AB145</f>
        <v>คลื่นทะเล</v>
      </c>
      <c r="AN110" s="219" t="s">
        <v>32</v>
      </c>
      <c r="AO110" s="240">
        <v>2</v>
      </c>
      <c r="AP110" s="240" t="s">
        <v>205</v>
      </c>
      <c r="AQ110" s="240" t="s">
        <v>249</v>
      </c>
      <c r="AR110" s="240" t="s">
        <v>259</v>
      </c>
      <c r="AS110" s="240" t="s">
        <v>254</v>
      </c>
      <c r="AT110" t="str">
        <f>AB141</f>
        <v>เข็มเย็บผ้า</v>
      </c>
      <c r="AU110" s="141">
        <v>55</v>
      </c>
      <c r="AV110" s="148">
        <v>5</v>
      </c>
      <c r="AW110" s="217" t="s">
        <v>260</v>
      </c>
      <c r="AX110" s="148" t="s">
        <v>241</v>
      </c>
      <c r="AZ110" s="235" t="s">
        <v>261</v>
      </c>
      <c r="BC110" s="232"/>
    </row>
    <row r="111" spans="18:55" x14ac:dyDescent="0.2">
      <c r="R111" s="231"/>
      <c r="U111" s="219" t="s">
        <v>33</v>
      </c>
      <c r="V111" s="240">
        <v>3</v>
      </c>
      <c r="W111" s="240" t="s">
        <v>191</v>
      </c>
      <c r="X111" s="240" t="s">
        <v>249</v>
      </c>
      <c r="Y111" s="242" t="s">
        <v>262</v>
      </c>
      <c r="Z111" s="240" t="s">
        <v>250</v>
      </c>
      <c r="AA111" t="str">
        <f>AC142</f>
        <v>ปิรามิด</v>
      </c>
      <c r="AE111" s="219" t="s">
        <v>34</v>
      </c>
      <c r="AF111" s="240">
        <v>3</v>
      </c>
      <c r="AG111" s="240" t="s">
        <v>180</v>
      </c>
      <c r="AH111" s="240" t="s">
        <v>249</v>
      </c>
      <c r="AI111" s="240" t="s">
        <v>263</v>
      </c>
      <c r="AJ111" s="240" t="s">
        <v>252</v>
      </c>
      <c r="AK111" t="str">
        <f>AC145</f>
        <v>ดวงอาทิตย์</v>
      </c>
      <c r="AN111" s="219" t="s">
        <v>32</v>
      </c>
      <c r="AO111" s="240">
        <v>3</v>
      </c>
      <c r="AP111" s="240" t="s">
        <v>204</v>
      </c>
      <c r="AQ111" s="240" t="s">
        <v>249</v>
      </c>
      <c r="AR111" s="240" t="s">
        <v>264</v>
      </c>
      <c r="AS111" s="240" t="s">
        <v>254</v>
      </c>
      <c r="AT111" s="214" t="str">
        <f>AC141</f>
        <v>ลูกกุญแจ</v>
      </c>
      <c r="AU111" s="141">
        <v>66</v>
      </c>
      <c r="AV111" s="148">
        <v>6</v>
      </c>
      <c r="AW111" s="217" t="s">
        <v>265</v>
      </c>
      <c r="AX111" s="148" t="s">
        <v>241</v>
      </c>
      <c r="AZ111" s="235" t="s">
        <v>266</v>
      </c>
      <c r="BC111" s="232"/>
    </row>
    <row r="112" spans="18:55" x14ac:dyDescent="0.2">
      <c r="R112" s="231"/>
      <c r="U112" s="219" t="s">
        <v>33</v>
      </c>
      <c r="V112" s="240">
        <v>4</v>
      </c>
      <c r="W112" s="240" t="s">
        <v>134</v>
      </c>
      <c r="X112" s="240" t="s">
        <v>249</v>
      </c>
      <c r="Y112" s="240" t="s">
        <v>267</v>
      </c>
      <c r="Z112" s="240" t="s">
        <v>250</v>
      </c>
      <c r="AA112" t="str">
        <f>AD142</f>
        <v>เขื่อนกั้นน้ำ</v>
      </c>
      <c r="AE112" s="219" t="s">
        <v>34</v>
      </c>
      <c r="AF112" s="240">
        <v>4</v>
      </c>
      <c r="AG112" s="240" t="s">
        <v>174</v>
      </c>
      <c r="AH112" s="240" t="s">
        <v>249</v>
      </c>
      <c r="AI112" s="240" t="s">
        <v>268</v>
      </c>
      <c r="AJ112" s="240" t="s">
        <v>252</v>
      </c>
      <c r="AK112" t="str">
        <f>AD145</f>
        <v>พระจันทร์</v>
      </c>
      <c r="AN112" s="219" t="s">
        <v>32</v>
      </c>
      <c r="AO112" s="240">
        <v>4</v>
      </c>
      <c r="AP112" s="240" t="s">
        <v>199</v>
      </c>
      <c r="AQ112" s="240" t="s">
        <v>249</v>
      </c>
      <c r="AR112" s="242" t="s">
        <v>269</v>
      </c>
      <c r="AS112" s="240" t="s">
        <v>254</v>
      </c>
      <c r="AT112" t="str">
        <f>AD141</f>
        <v>ค้อนตอกตะปู</v>
      </c>
      <c r="AU112" s="141">
        <v>77</v>
      </c>
      <c r="AV112" s="148">
        <v>7</v>
      </c>
      <c r="AW112" s="217" t="s">
        <v>270</v>
      </c>
      <c r="AX112" s="148" t="s">
        <v>241</v>
      </c>
      <c r="AZ112" s="235" t="s">
        <v>271</v>
      </c>
      <c r="BC112" s="232"/>
    </row>
    <row r="113" spans="18:55" x14ac:dyDescent="0.2">
      <c r="R113" s="231"/>
      <c r="U113" s="219" t="s">
        <v>33</v>
      </c>
      <c r="V113" s="240">
        <v>5</v>
      </c>
      <c r="W113" s="240" t="s">
        <v>172</v>
      </c>
      <c r="X113" s="240" t="s">
        <v>249</v>
      </c>
      <c r="Y113" s="242" t="s">
        <v>272</v>
      </c>
      <c r="Z113" s="240" t="s">
        <v>250</v>
      </c>
      <c r="AA113" t="str">
        <f>AA143</f>
        <v>วงล้อบนเกวียน</v>
      </c>
      <c r="AE113" s="219" t="s">
        <v>34</v>
      </c>
      <c r="AF113" s="240">
        <v>5</v>
      </c>
      <c r="AG113" s="240" t="s">
        <v>212</v>
      </c>
      <c r="AH113" s="240" t="s">
        <v>249</v>
      </c>
      <c r="AI113" s="240" t="s">
        <v>273</v>
      </c>
      <c r="AJ113" s="240" t="s">
        <v>252</v>
      </c>
      <c r="AK113" t="str">
        <f>AA153</f>
        <v>จิตกรวาดภาพ</v>
      </c>
      <c r="AN113" s="219" t="s">
        <v>32</v>
      </c>
      <c r="AO113" s="240">
        <v>5</v>
      </c>
      <c r="AP113" s="242" t="s">
        <v>274</v>
      </c>
      <c r="AQ113" s="240" t="s">
        <v>249</v>
      </c>
      <c r="AR113" s="242" t="s">
        <v>221</v>
      </c>
      <c r="AS113" s="240" t="s">
        <v>254</v>
      </c>
      <c r="AT113" t="str">
        <f>AA146</f>
        <v>งานปั้นหม้อ</v>
      </c>
      <c r="AU113" s="141">
        <v>88</v>
      </c>
      <c r="AV113" s="148">
        <v>8</v>
      </c>
      <c r="AW113" s="217" t="s">
        <v>140</v>
      </c>
      <c r="AX113" s="148" t="s">
        <v>241</v>
      </c>
      <c r="AZ113" s="235" t="s">
        <v>275</v>
      </c>
      <c r="BC113" s="232"/>
    </row>
    <row r="114" spans="18:55" x14ac:dyDescent="0.2">
      <c r="R114" s="231"/>
      <c r="U114" s="219" t="s">
        <v>33</v>
      </c>
      <c r="V114" s="240">
        <v>6</v>
      </c>
      <c r="W114" s="240" t="s">
        <v>150</v>
      </c>
      <c r="X114" s="240" t="s">
        <v>249</v>
      </c>
      <c r="Y114" s="240" t="s">
        <v>276</v>
      </c>
      <c r="Z114" s="240" t="s">
        <v>250</v>
      </c>
      <c r="AA114" t="str">
        <f>AB143</f>
        <v>บันไดทางขึ้น</v>
      </c>
      <c r="AE114" s="219" t="s">
        <v>34</v>
      </c>
      <c r="AF114" s="240">
        <v>6</v>
      </c>
      <c r="AG114" s="240" t="s">
        <v>159</v>
      </c>
      <c r="AH114" s="240" t="s">
        <v>249</v>
      </c>
      <c r="AI114" s="240" t="s">
        <v>161</v>
      </c>
      <c r="AJ114" s="240" t="s">
        <v>252</v>
      </c>
      <c r="AK114" t="str">
        <f>AB153</f>
        <v>ช่างปั้นรูปปั้น</v>
      </c>
      <c r="AN114" s="219" t="s">
        <v>32</v>
      </c>
      <c r="AO114" s="240">
        <v>6</v>
      </c>
      <c r="AP114" s="240" t="s">
        <v>170</v>
      </c>
      <c r="AQ114" s="240" t="s">
        <v>249</v>
      </c>
      <c r="AR114" s="240" t="s">
        <v>277</v>
      </c>
      <c r="AS114" s="240" t="s">
        <v>254</v>
      </c>
      <c r="AT114" t="str">
        <f>AB146</f>
        <v>งานทอผ้า</v>
      </c>
      <c r="AU114" s="141">
        <v>99</v>
      </c>
      <c r="AV114" s="148">
        <v>9</v>
      </c>
      <c r="AW114" s="217" t="s">
        <v>278</v>
      </c>
      <c r="AX114" s="148" t="s">
        <v>241</v>
      </c>
      <c r="AZ114" s="235" t="s">
        <v>279</v>
      </c>
      <c r="BC114" s="232"/>
    </row>
    <row r="115" spans="18:55" x14ac:dyDescent="0.2">
      <c r="R115" s="231"/>
      <c r="U115" s="219" t="s">
        <v>33</v>
      </c>
      <c r="V115" s="240">
        <v>7</v>
      </c>
      <c r="W115" s="240" t="s">
        <v>203</v>
      </c>
      <c r="X115" s="240" t="s">
        <v>249</v>
      </c>
      <c r="Y115" s="215" t="s">
        <v>217</v>
      </c>
      <c r="Z115" s="240" t="s">
        <v>250</v>
      </c>
      <c r="AA115" t="str">
        <f>AC143</f>
        <v>รางรถไฟ</v>
      </c>
      <c r="AE115" s="219" t="s">
        <v>34</v>
      </c>
      <c r="AF115" s="240">
        <v>7</v>
      </c>
      <c r="AG115" s="240" t="s">
        <v>171</v>
      </c>
      <c r="AH115" s="240" t="s">
        <v>249</v>
      </c>
      <c r="AI115" s="240" t="s">
        <v>206</v>
      </c>
      <c r="AJ115" s="240" t="s">
        <v>252</v>
      </c>
      <c r="AK115" t="str">
        <f>AC153</f>
        <v>นักมายากล</v>
      </c>
      <c r="AN115" s="219" t="s">
        <v>32</v>
      </c>
      <c r="AO115" s="240">
        <v>7</v>
      </c>
      <c r="AP115" s="240" t="s">
        <v>188</v>
      </c>
      <c r="AQ115" s="240" t="s">
        <v>249</v>
      </c>
      <c r="AR115" s="240" t="s">
        <v>280</v>
      </c>
      <c r="AS115" s="240" t="s">
        <v>254</v>
      </c>
      <c r="AT115" t="str">
        <f>AC146</f>
        <v>ทำนาข้าว</v>
      </c>
      <c r="AU115" s="243">
        <v>100</v>
      </c>
      <c r="AV115" s="148">
        <v>10</v>
      </c>
      <c r="AW115" s="217" t="s">
        <v>281</v>
      </c>
      <c r="AX115" s="148" t="s">
        <v>241</v>
      </c>
      <c r="AZ115" s="235" t="s">
        <v>282</v>
      </c>
      <c r="BC115" s="232"/>
    </row>
    <row r="116" spans="18:55" x14ac:dyDescent="0.2">
      <c r="R116" s="231"/>
      <c r="U116" s="219" t="s">
        <v>33</v>
      </c>
      <c r="V116" s="240">
        <v>8</v>
      </c>
      <c r="W116" s="240" t="s">
        <v>198</v>
      </c>
      <c r="X116" s="240" t="s">
        <v>249</v>
      </c>
      <c r="Y116" s="240" t="s">
        <v>283</v>
      </c>
      <c r="Z116" s="240" t="s">
        <v>250</v>
      </c>
      <c r="AA116" t="str">
        <f>AD143</f>
        <v>เครื่องบินบนฟ้า</v>
      </c>
      <c r="AE116" s="219" t="s">
        <v>34</v>
      </c>
      <c r="AF116" s="240">
        <v>8</v>
      </c>
      <c r="AG116" s="240" t="s">
        <v>128</v>
      </c>
      <c r="AH116" s="240" t="s">
        <v>249</v>
      </c>
      <c r="AI116" s="240" t="s">
        <v>284</v>
      </c>
      <c r="AJ116" s="240" t="s">
        <v>252</v>
      </c>
      <c r="AK116" t="str">
        <f>AA155</f>
        <v>ดอกบัว</v>
      </c>
      <c r="AN116" s="219" t="s">
        <v>32</v>
      </c>
      <c r="AO116" s="240">
        <v>8</v>
      </c>
      <c r="AP116" s="240" t="s">
        <v>135</v>
      </c>
      <c r="AQ116" s="240" t="s">
        <v>249</v>
      </c>
      <c r="AR116" s="240" t="s">
        <v>285</v>
      </c>
      <c r="AS116" s="240" t="s">
        <v>254</v>
      </c>
      <c r="AT116" t="str">
        <f>AD146</f>
        <v>ถ้ำอยู่อาศัย</v>
      </c>
      <c r="AU116" s="141">
        <v>111</v>
      </c>
      <c r="AV116" s="148">
        <v>11</v>
      </c>
      <c r="AW116" s="217" t="s">
        <v>286</v>
      </c>
      <c r="AX116" s="148" t="s">
        <v>241</v>
      </c>
      <c r="AZ116" s="235" t="s">
        <v>287</v>
      </c>
      <c r="BC116" s="232"/>
    </row>
    <row r="117" spans="18:55" x14ac:dyDescent="0.2">
      <c r="R117" s="231"/>
      <c r="U117" s="219" t="s">
        <v>33</v>
      </c>
      <c r="V117" s="240">
        <v>9</v>
      </c>
      <c r="W117" s="240" t="s">
        <v>149</v>
      </c>
      <c r="X117" s="240" t="s">
        <v>249</v>
      </c>
      <c r="Y117" s="240" t="s">
        <v>288</v>
      </c>
      <c r="Z117" s="240" t="s">
        <v>250</v>
      </c>
      <c r="AA117" t="str">
        <f>AA152</f>
        <v>ถ้วยรางวัล</v>
      </c>
      <c r="AE117" s="219" t="s">
        <v>34</v>
      </c>
      <c r="AF117" s="240">
        <v>9</v>
      </c>
      <c r="AG117" s="240" t="s">
        <v>209</v>
      </c>
      <c r="AH117" s="240" t="s">
        <v>249</v>
      </c>
      <c r="AI117" s="240" t="s">
        <v>289</v>
      </c>
      <c r="AJ117" s="240" t="s">
        <v>252</v>
      </c>
      <c r="AK117" t="str">
        <f>AD153</f>
        <v>นักแสดงบนเวที</v>
      </c>
      <c r="AN117" s="219" t="s">
        <v>32</v>
      </c>
      <c r="AO117" s="240">
        <v>9</v>
      </c>
      <c r="AP117" s="240" t="s">
        <v>185</v>
      </c>
      <c r="AQ117" s="240" t="s">
        <v>249</v>
      </c>
      <c r="AR117" s="241" t="s">
        <v>290</v>
      </c>
      <c r="AS117" s="240" t="s">
        <v>254</v>
      </c>
      <c r="AT117" t="str">
        <f>AA148</f>
        <v>รถดับเพลิง</v>
      </c>
      <c r="AU117" s="141">
        <v>112</v>
      </c>
      <c r="AV117" s="148">
        <v>12</v>
      </c>
      <c r="AW117" s="217" t="s">
        <v>291</v>
      </c>
      <c r="AX117" s="148" t="s">
        <v>241</v>
      </c>
      <c r="AZ117" s="235" t="s">
        <v>292</v>
      </c>
      <c r="BC117" s="232"/>
    </row>
    <row r="118" spans="18:55" x14ac:dyDescent="0.2">
      <c r="R118" s="231"/>
      <c r="U118" s="219" t="s">
        <v>33</v>
      </c>
      <c r="V118" s="240">
        <v>10</v>
      </c>
      <c r="W118" s="240" t="s">
        <v>186</v>
      </c>
      <c r="X118" s="240" t="s">
        <v>249</v>
      </c>
      <c r="Y118" s="242" t="s">
        <v>293</v>
      </c>
      <c r="Z118" s="240" t="s">
        <v>250</v>
      </c>
      <c r="AA118" t="str">
        <f>AB152</f>
        <v>หีบสมบัติ</v>
      </c>
      <c r="AE118" s="219" t="s">
        <v>34</v>
      </c>
      <c r="AF118" s="240">
        <v>10</v>
      </c>
      <c r="AG118" s="240" t="s">
        <v>175</v>
      </c>
      <c r="AH118" s="240" t="s">
        <v>249</v>
      </c>
      <c r="AI118" s="240" t="s">
        <v>294</v>
      </c>
      <c r="AJ118" s="240" t="s">
        <v>252</v>
      </c>
      <c r="AK118" t="str">
        <f>AB155</f>
        <v>คนนั่งสมาธิ</v>
      </c>
      <c r="AN118" s="219" t="s">
        <v>32</v>
      </c>
      <c r="AO118" s="240">
        <v>10</v>
      </c>
      <c r="AP118" s="242" t="s">
        <v>295</v>
      </c>
      <c r="AQ118" s="240" t="s">
        <v>249</v>
      </c>
      <c r="AR118" s="240" t="s">
        <v>296</v>
      </c>
      <c r="AS118" s="240" t="s">
        <v>254</v>
      </c>
      <c r="AT118" t="str">
        <f>AB148</f>
        <v>ห้องฉุกเฉิน</v>
      </c>
      <c r="AU118" s="141">
        <v>113</v>
      </c>
      <c r="AV118" s="148">
        <v>13</v>
      </c>
      <c r="AW118" s="217" t="s">
        <v>230</v>
      </c>
      <c r="AX118" s="148" t="s">
        <v>241</v>
      </c>
      <c r="AZ118" s="235" t="s">
        <v>297</v>
      </c>
      <c r="BC118" s="232"/>
    </row>
    <row r="119" spans="18:55" x14ac:dyDescent="0.2">
      <c r="R119" s="231"/>
      <c r="U119" s="219" t="s">
        <v>33</v>
      </c>
      <c r="V119" s="240">
        <v>11</v>
      </c>
      <c r="W119" s="240" t="s">
        <v>153</v>
      </c>
      <c r="X119" s="240" t="s">
        <v>249</v>
      </c>
      <c r="Y119" s="240" t="s">
        <v>298</v>
      </c>
      <c r="Z119" s="240" t="s">
        <v>250</v>
      </c>
      <c r="AA119" t="str">
        <f>AC152</f>
        <v>กล่องของขวัญ</v>
      </c>
      <c r="AE119" s="219" t="s">
        <v>34</v>
      </c>
      <c r="AF119" s="240">
        <v>11</v>
      </c>
      <c r="AG119" s="240" t="s">
        <v>189</v>
      </c>
      <c r="AH119" s="240" t="s">
        <v>249</v>
      </c>
      <c r="AI119" s="242" t="s">
        <v>299</v>
      </c>
      <c r="AJ119" s="240" t="s">
        <v>252</v>
      </c>
      <c r="AK119" t="str">
        <f>AD155</f>
        <v>ครูสอนนักเรียน</v>
      </c>
      <c r="AN119" s="219" t="s">
        <v>32</v>
      </c>
      <c r="AO119" s="240">
        <v>11</v>
      </c>
      <c r="AP119" s="240" t="s">
        <v>162</v>
      </c>
      <c r="AQ119" s="240" t="s">
        <v>249</v>
      </c>
      <c r="AR119" s="240" t="s">
        <v>300</v>
      </c>
      <c r="AS119" s="240" t="s">
        <v>254</v>
      </c>
      <c r="AT119" t="str">
        <f>AC148</f>
        <v>โรงงาน</v>
      </c>
      <c r="AU119" s="141">
        <v>114</v>
      </c>
      <c r="AV119" s="148">
        <v>14</v>
      </c>
      <c r="AW119" s="217" t="s">
        <v>220</v>
      </c>
      <c r="AX119" s="148" t="s">
        <v>241</v>
      </c>
      <c r="AZ119" s="235" t="s">
        <v>301</v>
      </c>
      <c r="BC119" s="232"/>
    </row>
    <row r="120" spans="18:55" x14ac:dyDescent="0.2">
      <c r="R120" s="231"/>
      <c r="U120" s="219" t="s">
        <v>33</v>
      </c>
      <c r="V120" s="240">
        <v>12</v>
      </c>
      <c r="W120" s="240" t="s">
        <v>156</v>
      </c>
      <c r="X120" s="240" t="s">
        <v>249</v>
      </c>
      <c r="Y120" s="240" t="s">
        <v>137</v>
      </c>
      <c r="Z120" s="240" t="s">
        <v>250</v>
      </c>
      <c r="AA120" t="str">
        <f>AD152</f>
        <v>เหรียญรางวัล</v>
      </c>
      <c r="AE120" s="219" t="s">
        <v>34</v>
      </c>
      <c r="AF120" s="240">
        <v>12</v>
      </c>
      <c r="AG120" s="240" t="s">
        <v>183</v>
      </c>
      <c r="AH120" s="240" t="s">
        <v>249</v>
      </c>
      <c r="AI120" s="240" t="s">
        <v>302</v>
      </c>
      <c r="AJ120" s="240" t="s">
        <v>252</v>
      </c>
      <c r="AK120" t="str">
        <f>AC155</f>
        <v>หมากรุก</v>
      </c>
      <c r="AN120" s="219" t="s">
        <v>32</v>
      </c>
      <c r="AO120" s="240">
        <v>12</v>
      </c>
      <c r="AP120" s="240" t="s">
        <v>139</v>
      </c>
      <c r="AQ120" s="240" t="s">
        <v>249</v>
      </c>
      <c r="AR120" s="240" t="s">
        <v>303</v>
      </c>
      <c r="AS120" s="240" t="s">
        <v>254</v>
      </c>
      <c r="AT120" t="str">
        <f>AD148</f>
        <v>เรือบรรทุกสินค้า</v>
      </c>
      <c r="AU120" s="141">
        <v>115</v>
      </c>
      <c r="AV120" s="148">
        <v>15</v>
      </c>
      <c r="AW120" s="217" t="s">
        <v>304</v>
      </c>
      <c r="AX120" s="148" t="s">
        <v>241</v>
      </c>
      <c r="AZ120" s="244" t="s">
        <v>305</v>
      </c>
      <c r="BA120" s="214"/>
      <c r="BB120" s="214"/>
      <c r="BC120" s="232"/>
    </row>
    <row r="121" spans="18:55" ht="15" thickBot="1" x14ac:dyDescent="0.25">
      <c r="R121" s="231"/>
      <c r="W121" s="148"/>
      <c r="X121" s="148"/>
      <c r="Y121" s="158"/>
      <c r="AG121" s="148"/>
      <c r="AH121" s="148"/>
      <c r="AI121" s="158"/>
      <c r="BC121" s="232"/>
    </row>
    <row r="122" spans="18:55" ht="15" thickBot="1" x14ac:dyDescent="0.25">
      <c r="R122" s="231"/>
      <c r="S122" s="219">
        <v>2</v>
      </c>
      <c r="T122" s="219"/>
      <c r="U122" s="219" t="s">
        <v>30</v>
      </c>
      <c r="V122" s="245"/>
      <c r="W122" s="245"/>
      <c r="X122" s="245"/>
      <c r="Y122" s="245"/>
      <c r="Z122" s="245"/>
      <c r="AA122" s="238" t="s">
        <v>246</v>
      </c>
      <c r="AD122" s="219">
        <v>4</v>
      </c>
      <c r="AE122" s="219" t="s">
        <v>31</v>
      </c>
      <c r="AF122" s="246"/>
      <c r="AG122" s="246"/>
      <c r="AH122" s="246"/>
      <c r="AI122" s="246"/>
      <c r="AJ122" s="246"/>
      <c r="AK122" s="238" t="s">
        <v>246</v>
      </c>
      <c r="AW122" s="217"/>
      <c r="BC122" s="232"/>
    </row>
    <row r="123" spans="18:55" x14ac:dyDescent="0.2">
      <c r="R123" s="231"/>
      <c r="U123" s="219" t="s">
        <v>30</v>
      </c>
      <c r="V123" s="240">
        <v>1</v>
      </c>
      <c r="W123" s="240" t="s">
        <v>151</v>
      </c>
      <c r="X123" s="240" t="s">
        <v>249</v>
      </c>
      <c r="Y123" s="242" t="s">
        <v>306</v>
      </c>
      <c r="Z123" s="240" t="s">
        <v>307</v>
      </c>
      <c r="AA123" t="str">
        <f>AA147</f>
        <v>กองเชียร์</v>
      </c>
      <c r="AE123" s="219" t="s">
        <v>31</v>
      </c>
      <c r="AF123" s="240">
        <v>1</v>
      </c>
      <c r="AG123" s="240" t="s">
        <v>182</v>
      </c>
      <c r="AH123" s="240" t="s">
        <v>249</v>
      </c>
      <c r="AI123" s="240" t="s">
        <v>308</v>
      </c>
      <c r="AJ123" s="240" t="s">
        <v>309</v>
      </c>
      <c r="AK123" t="str">
        <f>AA144</f>
        <v>งูลอกคราบ</v>
      </c>
      <c r="AW123" s="217"/>
      <c r="BC123" s="232"/>
    </row>
    <row r="124" spans="18:55" x14ac:dyDescent="0.2">
      <c r="R124" s="231"/>
      <c r="U124" s="219" t="s">
        <v>30</v>
      </c>
      <c r="V124" s="240">
        <v>2</v>
      </c>
      <c r="W124" s="242" t="s">
        <v>310</v>
      </c>
      <c r="X124" s="240" t="s">
        <v>249</v>
      </c>
      <c r="Y124" s="240" t="s">
        <v>311</v>
      </c>
      <c r="Z124" s="240" t="s">
        <v>307</v>
      </c>
      <c r="AA124" t="str">
        <f>AB147</f>
        <v>ขบวนสวนสนาม</v>
      </c>
      <c r="AE124" s="219" t="s">
        <v>31</v>
      </c>
      <c r="AF124" s="240">
        <v>2</v>
      </c>
      <c r="AG124" s="240" t="s">
        <v>158</v>
      </c>
      <c r="AH124" s="240" t="s">
        <v>249</v>
      </c>
      <c r="AI124" s="242" t="s">
        <v>133</v>
      </c>
      <c r="AJ124" s="240" t="s">
        <v>309</v>
      </c>
      <c r="AK124" t="str">
        <f>AB144</f>
        <v>สิงห์โตล่าเหยื่อ</v>
      </c>
      <c r="AW124" s="217"/>
      <c r="BC124" s="232"/>
    </row>
    <row r="125" spans="18:55" x14ac:dyDescent="0.2">
      <c r="R125" s="231"/>
      <c r="U125" s="219" t="s">
        <v>30</v>
      </c>
      <c r="V125" s="240">
        <v>3</v>
      </c>
      <c r="W125" s="242" t="s">
        <v>312</v>
      </c>
      <c r="X125" s="240" t="s">
        <v>249</v>
      </c>
      <c r="Y125" s="240" t="s">
        <v>313</v>
      </c>
      <c r="Z125" s="240" t="s">
        <v>307</v>
      </c>
      <c r="AA125" t="str">
        <f>AC147</f>
        <v>วงดนตรี</v>
      </c>
      <c r="AE125" s="219" t="s">
        <v>31</v>
      </c>
      <c r="AF125" s="240">
        <v>3</v>
      </c>
      <c r="AG125" s="240" t="s">
        <v>184</v>
      </c>
      <c r="AH125" s="240" t="s">
        <v>249</v>
      </c>
      <c r="AI125" s="240" t="s">
        <v>154</v>
      </c>
      <c r="AJ125" s="240" t="s">
        <v>309</v>
      </c>
      <c r="AK125" t="str">
        <f>AC144</f>
        <v>ฝูงปลาว่าย</v>
      </c>
      <c r="BC125" s="232"/>
    </row>
    <row r="126" spans="18:55" x14ac:dyDescent="0.2">
      <c r="R126" s="231"/>
      <c r="U126" s="219" t="s">
        <v>30</v>
      </c>
      <c r="V126" s="240">
        <v>4</v>
      </c>
      <c r="W126" s="240" t="s">
        <v>234</v>
      </c>
      <c r="X126" s="240" t="s">
        <v>249</v>
      </c>
      <c r="Y126" s="240" t="s">
        <v>223</v>
      </c>
      <c r="Z126" s="240" t="s">
        <v>307</v>
      </c>
      <c r="AA126" t="str">
        <f>AD147</f>
        <v>งานก่อสร้าง</v>
      </c>
      <c r="AE126" s="219" t="s">
        <v>31</v>
      </c>
      <c r="AF126" s="240">
        <v>4</v>
      </c>
      <c r="AG126" s="240" t="s">
        <v>210</v>
      </c>
      <c r="AH126" s="240" t="s">
        <v>249</v>
      </c>
      <c r="AI126" s="240" t="s">
        <v>314</v>
      </c>
      <c r="AJ126" s="240" t="s">
        <v>309</v>
      </c>
      <c r="AK126" t="str">
        <f>AD144</f>
        <v>นกบินอพยพ</v>
      </c>
      <c r="BC126" s="232"/>
    </row>
    <row r="127" spans="18:55" x14ac:dyDescent="0.2">
      <c r="R127" s="231"/>
      <c r="U127" s="219" t="s">
        <v>30</v>
      </c>
      <c r="V127" s="240">
        <v>5</v>
      </c>
      <c r="W127" s="240" t="s">
        <v>218</v>
      </c>
      <c r="X127" s="240" t="s">
        <v>249</v>
      </c>
      <c r="Y127" s="242" t="s">
        <v>315</v>
      </c>
      <c r="Z127" s="240" t="s">
        <v>307</v>
      </c>
      <c r="AA127" t="str">
        <f>AA150</f>
        <v>ประภาคาร</v>
      </c>
      <c r="AE127" s="219" t="s">
        <v>31</v>
      </c>
      <c r="AF127" s="240">
        <v>5</v>
      </c>
      <c r="AG127" s="240" t="s">
        <v>167</v>
      </c>
      <c r="AH127" s="240" t="s">
        <v>249</v>
      </c>
      <c r="AI127" s="240" t="s">
        <v>316</v>
      </c>
      <c r="AJ127" s="240" t="s">
        <v>309</v>
      </c>
      <c r="AK127" t="str">
        <f>AA149</f>
        <v>คนอ่านหนังสือ</v>
      </c>
      <c r="BC127" s="232"/>
    </row>
    <row r="128" spans="18:55" x14ac:dyDescent="0.2">
      <c r="R128" s="231"/>
      <c r="U128" s="219" t="s">
        <v>30</v>
      </c>
      <c r="V128" s="240">
        <v>6</v>
      </c>
      <c r="W128" s="240" t="s">
        <v>317</v>
      </c>
      <c r="X128" s="240" t="s">
        <v>249</v>
      </c>
      <c r="Y128" s="240" t="s">
        <v>318</v>
      </c>
      <c r="Z128" s="240" t="s">
        <v>307</v>
      </c>
      <c r="AA128" t="str">
        <f>AB150</f>
        <v>เข็มทิศ</v>
      </c>
      <c r="AE128" s="219" t="s">
        <v>31</v>
      </c>
      <c r="AF128" s="240">
        <v>6</v>
      </c>
      <c r="AG128" s="240" t="s">
        <v>168</v>
      </c>
      <c r="AH128" s="240" t="s">
        <v>249</v>
      </c>
      <c r="AI128" s="240" t="s">
        <v>129</v>
      </c>
      <c r="AJ128" s="240" t="s">
        <v>309</v>
      </c>
      <c r="AK128" t="str">
        <f>AB149</f>
        <v>ห้องทดลอง</v>
      </c>
      <c r="BC128" s="232"/>
    </row>
    <row r="129" spans="1:55" x14ac:dyDescent="0.2">
      <c r="R129" s="231"/>
      <c r="U129" s="219" t="s">
        <v>30</v>
      </c>
      <c r="V129" s="240">
        <v>7</v>
      </c>
      <c r="W129" s="240" t="s">
        <v>163</v>
      </c>
      <c r="X129" s="240" t="s">
        <v>249</v>
      </c>
      <c r="Y129" s="240" t="s">
        <v>319</v>
      </c>
      <c r="Z129" s="240" t="s">
        <v>307</v>
      </c>
      <c r="AA129" t="str">
        <f>AC150</f>
        <v>แว่นขยาย</v>
      </c>
      <c r="AE129" s="219" t="s">
        <v>31</v>
      </c>
      <c r="AF129" s="240">
        <v>7</v>
      </c>
      <c r="AG129" s="240" t="s">
        <v>145</v>
      </c>
      <c r="AH129" s="240" t="s">
        <v>249</v>
      </c>
      <c r="AI129" s="240" t="s">
        <v>320</v>
      </c>
      <c r="AJ129" s="240" t="s">
        <v>309</v>
      </c>
      <c r="AK129" t="str">
        <f>AC149</f>
        <v>คนเดียวนั่งคิด</v>
      </c>
      <c r="AO129" t="s">
        <v>321</v>
      </c>
      <c r="BC129" s="232"/>
    </row>
    <row r="130" spans="1:55" x14ac:dyDescent="0.2">
      <c r="R130" s="231"/>
      <c r="U130" s="219" t="s">
        <v>30</v>
      </c>
      <c r="V130" s="240">
        <v>8</v>
      </c>
      <c r="W130" s="240" t="s">
        <v>196</v>
      </c>
      <c r="X130" s="240" t="s">
        <v>249</v>
      </c>
      <c r="Y130" s="240" t="s">
        <v>322</v>
      </c>
      <c r="Z130" s="240" t="s">
        <v>307</v>
      </c>
      <c r="AA130" t="str">
        <f>AD150</f>
        <v>แผนที่โลก</v>
      </c>
      <c r="AE130" s="219" t="s">
        <v>31</v>
      </c>
      <c r="AF130" s="240">
        <v>8</v>
      </c>
      <c r="AG130" s="240" t="s">
        <v>323</v>
      </c>
      <c r="AH130" s="240" t="s">
        <v>249</v>
      </c>
      <c r="AI130" s="240" t="s">
        <v>215</v>
      </c>
      <c r="AJ130" s="240" t="s">
        <v>309</v>
      </c>
      <c r="AK130" t="str">
        <f>AD149</f>
        <v>คนในห้องประชุม</v>
      </c>
      <c r="AO130" t="s">
        <v>324</v>
      </c>
      <c r="BC130" s="232"/>
    </row>
    <row r="131" spans="1:55" x14ac:dyDescent="0.2">
      <c r="R131" s="231"/>
      <c r="U131" s="219" t="s">
        <v>30</v>
      </c>
      <c r="V131" s="240">
        <v>9</v>
      </c>
      <c r="W131" s="240" t="s">
        <v>201</v>
      </c>
      <c r="X131" s="240" t="s">
        <v>249</v>
      </c>
      <c r="Y131" s="240" t="s">
        <v>202</v>
      </c>
      <c r="Z131" s="240" t="s">
        <v>307</v>
      </c>
      <c r="AA131" t="str">
        <f>AA151</f>
        <v>ภูเขาไฟระเบิด</v>
      </c>
      <c r="AE131" s="219" t="s">
        <v>31</v>
      </c>
      <c r="AF131" s="240">
        <v>9</v>
      </c>
      <c r="AG131" s="240" t="s">
        <v>211</v>
      </c>
      <c r="AH131" s="240" t="s">
        <v>249</v>
      </c>
      <c r="AI131" s="242" t="s">
        <v>213</v>
      </c>
      <c r="AJ131" s="240" t="s">
        <v>309</v>
      </c>
      <c r="AK131" t="str">
        <f>AA154</f>
        <v>ผังองค์กร</v>
      </c>
      <c r="AO131">
        <v>1</v>
      </c>
      <c r="AP131" t="s">
        <v>325</v>
      </c>
      <c r="BC131" s="232"/>
    </row>
    <row r="132" spans="1:55" x14ac:dyDescent="0.2">
      <c r="R132" s="231"/>
      <c r="U132" s="219" t="s">
        <v>30</v>
      </c>
      <c r="V132" s="240">
        <v>10</v>
      </c>
      <c r="W132" s="240" t="s">
        <v>132</v>
      </c>
      <c r="X132" s="240" t="s">
        <v>249</v>
      </c>
      <c r="Y132" s="240" t="s">
        <v>326</v>
      </c>
      <c r="Z132" s="240" t="s">
        <v>307</v>
      </c>
      <c r="AA132" t="str">
        <f>AB151</f>
        <v>ลมพายุ</v>
      </c>
      <c r="AE132" s="219" t="s">
        <v>31</v>
      </c>
      <c r="AF132" s="240">
        <v>10</v>
      </c>
      <c r="AG132" s="240" t="s">
        <v>176</v>
      </c>
      <c r="AH132" s="240" t="s">
        <v>249</v>
      </c>
      <c r="AI132" s="240" t="s">
        <v>227</v>
      </c>
      <c r="AJ132" s="240" t="s">
        <v>309</v>
      </c>
      <c r="AK132" t="str">
        <f>AB154</f>
        <v>ชาร์ตควบคุม</v>
      </c>
      <c r="AO132">
        <v>2</v>
      </c>
      <c r="AP132" t="s">
        <v>327</v>
      </c>
      <c r="BC132" s="232"/>
    </row>
    <row r="133" spans="1:55" x14ac:dyDescent="0.2">
      <c r="R133" s="231"/>
      <c r="U133" s="219" t="s">
        <v>30</v>
      </c>
      <c r="V133" s="240">
        <v>11</v>
      </c>
      <c r="W133" s="240" t="s">
        <v>146</v>
      </c>
      <c r="X133" s="240" t="s">
        <v>249</v>
      </c>
      <c r="Y133" s="240" t="s">
        <v>328</v>
      </c>
      <c r="Z133" s="240" t="s">
        <v>307</v>
      </c>
      <c r="AA133" t="str">
        <f>AC151</f>
        <v>ฝนตก</v>
      </c>
      <c r="AE133" s="219" t="s">
        <v>31</v>
      </c>
      <c r="AF133" s="240">
        <v>11</v>
      </c>
      <c r="AG133" s="240" t="s">
        <v>208</v>
      </c>
      <c r="AH133" s="240" t="s">
        <v>249</v>
      </c>
      <c r="AI133" s="240" t="s">
        <v>329</v>
      </c>
      <c r="AJ133" s="240" t="s">
        <v>309</v>
      </c>
      <c r="AK133" t="str">
        <f>AC154</f>
        <v>2 คนเชคแฮนด์</v>
      </c>
      <c r="AO133">
        <v>3</v>
      </c>
      <c r="AP133" t="s">
        <v>330</v>
      </c>
      <c r="BC133" s="232"/>
    </row>
    <row r="134" spans="1:55" x14ac:dyDescent="0.2">
      <c r="R134" s="231"/>
      <c r="U134" s="219" t="s">
        <v>30</v>
      </c>
      <c r="V134" s="240">
        <v>12</v>
      </c>
      <c r="W134" s="240" t="s">
        <v>187</v>
      </c>
      <c r="X134" s="240" t="s">
        <v>249</v>
      </c>
      <c r="Y134" s="240" t="s">
        <v>331</v>
      </c>
      <c r="Z134" s="240" t="s">
        <v>307</v>
      </c>
      <c r="AA134" t="str">
        <f>AD151</f>
        <v>หิมะตก</v>
      </c>
      <c r="AE134" s="219" t="s">
        <v>31</v>
      </c>
      <c r="AF134" s="240">
        <v>12</v>
      </c>
      <c r="AG134" s="240" t="s">
        <v>200</v>
      </c>
      <c r="AH134" s="240" t="s">
        <v>249</v>
      </c>
      <c r="AI134" s="240" t="s">
        <v>332</v>
      </c>
      <c r="AJ134" s="240" t="s">
        <v>309</v>
      </c>
      <c r="AK134" t="str">
        <f>AD154</f>
        <v>ฝักไข่เป็นตัว</v>
      </c>
      <c r="AO134">
        <v>4</v>
      </c>
      <c r="AP134" t="s">
        <v>333</v>
      </c>
      <c r="BC134" s="232"/>
    </row>
    <row r="135" spans="1:55" x14ac:dyDescent="0.2">
      <c r="R135" s="231"/>
      <c r="AG135" s="148"/>
      <c r="AH135" s="148"/>
      <c r="AO135">
        <v>5</v>
      </c>
      <c r="AP135" t="s">
        <v>334</v>
      </c>
      <c r="BC135" s="232"/>
    </row>
    <row r="136" spans="1:55" x14ac:dyDescent="0.2">
      <c r="R136" s="231"/>
      <c r="AG136" s="148"/>
      <c r="AH136" s="148"/>
      <c r="AO136">
        <v>6</v>
      </c>
      <c r="AP136" t="s">
        <v>335</v>
      </c>
      <c r="BC136" s="232"/>
    </row>
    <row r="137" spans="1:55" x14ac:dyDescent="0.2">
      <c r="R137" s="231"/>
      <c r="AG137" s="148"/>
      <c r="AH137" s="148"/>
      <c r="AO137">
        <v>7</v>
      </c>
      <c r="AP137" t="s">
        <v>336</v>
      </c>
      <c r="BC137" s="232"/>
    </row>
    <row r="138" spans="1:55" x14ac:dyDescent="0.2">
      <c r="R138" s="231"/>
      <c r="AG138" s="148"/>
      <c r="AH138" s="148"/>
      <c r="BC138" s="232"/>
    </row>
    <row r="139" spans="1:55" ht="18.75" thickBot="1" x14ac:dyDescent="0.3">
      <c r="R139" s="231"/>
      <c r="S139" s="247" t="s">
        <v>337</v>
      </c>
      <c r="T139" s="247"/>
      <c r="X139" s="141" t="s">
        <v>338</v>
      </c>
      <c r="AA139" s="248">
        <v>1</v>
      </c>
      <c r="AB139" s="248">
        <v>2</v>
      </c>
      <c r="AC139" s="248">
        <v>3</v>
      </c>
      <c r="AD139" s="248">
        <v>4</v>
      </c>
      <c r="AG139" s="148"/>
      <c r="AH139" s="148"/>
      <c r="BC139" s="232"/>
    </row>
    <row r="140" spans="1:55" ht="61.5" customHeight="1" thickBot="1" x14ac:dyDescent="0.25">
      <c r="A140" s="662" t="s">
        <v>1047</v>
      </c>
      <c r="B140" s="662" t="s">
        <v>37</v>
      </c>
      <c r="C140" s="662" t="s">
        <v>538</v>
      </c>
      <c r="D140" s="663" t="s">
        <v>540</v>
      </c>
      <c r="E140" s="664" t="s">
        <v>1047</v>
      </c>
      <c r="F140" s="662" t="s">
        <v>897</v>
      </c>
      <c r="G140" s="662" t="s">
        <v>820</v>
      </c>
      <c r="H140" s="663" t="s">
        <v>820</v>
      </c>
      <c r="I140" s="665" t="s">
        <v>824</v>
      </c>
      <c r="J140" s="665" t="s">
        <v>825</v>
      </c>
      <c r="K140" s="666" t="s">
        <v>821</v>
      </c>
      <c r="L140" s="666" t="s">
        <v>876</v>
      </c>
      <c r="M140" s="316"/>
      <c r="N140" s="309"/>
      <c r="O140" s="309"/>
      <c r="P140" s="309"/>
      <c r="Q140" s="309"/>
      <c r="R140" s="238"/>
      <c r="S140" s="310" t="s">
        <v>340</v>
      </c>
      <c r="T140" s="238" t="s">
        <v>341</v>
      </c>
      <c r="U140" s="238" t="s">
        <v>342</v>
      </c>
      <c r="V140" s="238" t="s">
        <v>343</v>
      </c>
      <c r="AA140" s="249"/>
      <c r="AB140" s="249"/>
      <c r="AC140" s="249"/>
      <c r="AD140" s="249"/>
      <c r="AG140" s="148"/>
      <c r="AH140" s="148"/>
      <c r="BC140" s="232"/>
    </row>
    <row r="141" spans="1:55" ht="15" x14ac:dyDescent="0.25">
      <c r="A141" s="667">
        <v>1</v>
      </c>
      <c r="B141" s="668">
        <v>1</v>
      </c>
      <c r="C141" s="669">
        <v>1</v>
      </c>
      <c r="D141" s="668">
        <v>2</v>
      </c>
      <c r="E141" s="670">
        <v>1</v>
      </c>
      <c r="F141" s="671" t="s">
        <v>898</v>
      </c>
      <c r="G141" s="672" t="s">
        <v>796</v>
      </c>
      <c r="H141" s="672" t="s">
        <v>808</v>
      </c>
      <c r="I141" s="672" t="s">
        <v>822</v>
      </c>
      <c r="J141" s="672" t="str">
        <f>U141</f>
        <v>Commit</v>
      </c>
      <c r="K141" s="673">
        <f>'Standard Avalrem Table'!C40</f>
        <v>30.556329701673157</v>
      </c>
      <c r="L141" s="674">
        <f>K141</f>
        <v>30.556329701673157</v>
      </c>
      <c r="M141" s="307"/>
      <c r="N141" s="307"/>
      <c r="O141" s="307"/>
      <c r="P141" s="307"/>
      <c r="Q141" s="307"/>
      <c r="R141" s="308"/>
      <c r="S141" s="261" t="s">
        <v>30</v>
      </c>
      <c r="T141" s="262"/>
      <c r="U141" s="263" t="str">
        <f>$Y$123</f>
        <v>Commit</v>
      </c>
      <c r="V141" s="264" t="s">
        <v>356</v>
      </c>
      <c r="X141">
        <v>1</v>
      </c>
      <c r="Y141" t="s">
        <v>345</v>
      </c>
      <c r="Z141" s="217" t="s">
        <v>32</v>
      </c>
      <c r="AA141" s="254" t="s">
        <v>346</v>
      </c>
      <c r="AB141" s="254" t="s">
        <v>347</v>
      </c>
      <c r="AC141" s="255" t="s">
        <v>348</v>
      </c>
      <c r="AD141" s="254" t="s">
        <v>349</v>
      </c>
      <c r="AG141" s="148"/>
      <c r="AH141" s="148"/>
      <c r="BC141" s="232"/>
    </row>
    <row r="142" spans="1:55" ht="15" x14ac:dyDescent="0.25">
      <c r="A142" s="675">
        <v>2</v>
      </c>
      <c r="B142" s="668">
        <v>1</v>
      </c>
      <c r="C142" s="676">
        <v>1</v>
      </c>
      <c r="D142" s="668">
        <v>1</v>
      </c>
      <c r="E142" s="677">
        <v>2</v>
      </c>
      <c r="F142" s="678" t="s">
        <v>898</v>
      </c>
      <c r="G142" s="679" t="s">
        <v>796</v>
      </c>
      <c r="H142" s="679" t="s">
        <v>808</v>
      </c>
      <c r="I142" s="679" t="s">
        <v>823</v>
      </c>
      <c r="J142" s="679" t="str">
        <f t="shared" ref="J142:J205" si="0">U142</f>
        <v>Confirm</v>
      </c>
      <c r="K142" s="680">
        <f>'Standard Avalrem Table'!C25</f>
        <v>12.468302506855878</v>
      </c>
      <c r="L142" s="681">
        <f t="shared" ref="L142:L207" si="1">K142</f>
        <v>12.468302506855878</v>
      </c>
      <c r="M142" s="307"/>
      <c r="N142" s="307"/>
      <c r="O142" s="307"/>
      <c r="P142" s="307"/>
      <c r="Q142" s="307"/>
      <c r="R142" s="311"/>
      <c r="S142" s="261" t="s">
        <v>30</v>
      </c>
      <c r="T142" s="262"/>
      <c r="U142" s="263" t="str">
        <f>$W$123</f>
        <v>Confirm</v>
      </c>
      <c r="V142" s="264" t="s">
        <v>356</v>
      </c>
      <c r="X142">
        <v>2</v>
      </c>
      <c r="Y142" t="s">
        <v>351</v>
      </c>
      <c r="Z142" s="219" t="s">
        <v>33</v>
      </c>
      <c r="AA142" s="254" t="s">
        <v>352</v>
      </c>
      <c r="AB142" s="254" t="s">
        <v>353</v>
      </c>
      <c r="AC142" s="254" t="s">
        <v>354</v>
      </c>
      <c r="AD142" s="254" t="s">
        <v>355</v>
      </c>
      <c r="AG142" s="148"/>
      <c r="AH142" s="148"/>
      <c r="BC142" s="232"/>
    </row>
    <row r="143" spans="1:55" ht="15" x14ac:dyDescent="0.25">
      <c r="A143" s="675">
        <v>3</v>
      </c>
      <c r="B143" s="668">
        <v>2</v>
      </c>
      <c r="C143" s="676">
        <v>1</v>
      </c>
      <c r="D143" s="668">
        <v>2</v>
      </c>
      <c r="E143" s="677">
        <v>3</v>
      </c>
      <c r="F143" s="678" t="s">
        <v>898</v>
      </c>
      <c r="G143" s="679" t="s">
        <v>797</v>
      </c>
      <c r="H143" s="679" t="s">
        <v>809</v>
      </c>
      <c r="I143" s="679" t="s">
        <v>826</v>
      </c>
      <c r="J143" s="679" t="str">
        <f t="shared" si="0"/>
        <v>Assess</v>
      </c>
      <c r="K143" s="680">
        <f>'Standard Avalrem Table'!C41</f>
        <v>31.849172107335839</v>
      </c>
      <c r="L143" s="681">
        <f t="shared" si="1"/>
        <v>31.849172107335839</v>
      </c>
      <c r="M143" s="307"/>
      <c r="N143" s="307"/>
      <c r="O143" s="307"/>
      <c r="P143" s="307"/>
      <c r="Q143" s="307"/>
      <c r="R143" s="311"/>
      <c r="S143" s="261" t="s">
        <v>30</v>
      </c>
      <c r="T143" s="262"/>
      <c r="U143" s="263" t="str">
        <f>$Y$124</f>
        <v>Assess</v>
      </c>
      <c r="V143" s="264" t="s">
        <v>356</v>
      </c>
      <c r="X143">
        <v>3</v>
      </c>
      <c r="Y143" t="s">
        <v>357</v>
      </c>
      <c r="Z143" s="219" t="s">
        <v>33</v>
      </c>
      <c r="AA143" s="254" t="s">
        <v>358</v>
      </c>
      <c r="AB143" s="254" t="s">
        <v>359</v>
      </c>
      <c r="AC143" s="254" t="s">
        <v>360</v>
      </c>
      <c r="AD143" s="254" t="s">
        <v>361</v>
      </c>
      <c r="AG143" s="148"/>
      <c r="AH143" s="148"/>
      <c r="BC143" s="232"/>
    </row>
    <row r="144" spans="1:55" ht="15" x14ac:dyDescent="0.25">
      <c r="A144" s="675">
        <v>4</v>
      </c>
      <c r="B144" s="668">
        <v>2</v>
      </c>
      <c r="C144" s="676">
        <v>1</v>
      </c>
      <c r="D144" s="668">
        <v>1</v>
      </c>
      <c r="E144" s="677">
        <v>4</v>
      </c>
      <c r="F144" s="678" t="s">
        <v>898</v>
      </c>
      <c r="G144" s="679" t="s">
        <v>797</v>
      </c>
      <c r="H144" s="679" t="s">
        <v>809</v>
      </c>
      <c r="I144" s="679" t="s">
        <v>827</v>
      </c>
      <c r="J144" s="679" t="str">
        <f t="shared" si="0"/>
        <v>Forecast</v>
      </c>
      <c r="K144" s="680">
        <f>'Standard Avalrem Table'!C26</f>
        <v>15.430302415329463</v>
      </c>
      <c r="L144" s="681">
        <f t="shared" si="1"/>
        <v>15.430302415329463</v>
      </c>
      <c r="M144" s="307"/>
      <c r="N144" s="307"/>
      <c r="O144" s="307"/>
      <c r="P144" s="307"/>
      <c r="Q144" s="307"/>
      <c r="R144" s="311"/>
      <c r="S144" s="261" t="s">
        <v>30</v>
      </c>
      <c r="T144" s="262" t="s">
        <v>173</v>
      </c>
      <c r="U144" s="263" t="str">
        <f>$W$124</f>
        <v>Forecast</v>
      </c>
      <c r="V144" s="264" t="s">
        <v>356</v>
      </c>
      <c r="X144">
        <v>4</v>
      </c>
      <c r="Y144" t="s">
        <v>363</v>
      </c>
      <c r="Z144" s="223" t="s">
        <v>31</v>
      </c>
      <c r="AA144" s="254" t="s">
        <v>364</v>
      </c>
      <c r="AB144" s="254" t="s">
        <v>365</v>
      </c>
      <c r="AC144" s="254" t="s">
        <v>366</v>
      </c>
      <c r="AD144" s="254" t="s">
        <v>367</v>
      </c>
      <c r="AG144" s="148"/>
      <c r="AH144" s="148"/>
      <c r="BC144" s="232"/>
    </row>
    <row r="145" spans="1:55" ht="15" x14ac:dyDescent="0.25">
      <c r="A145" s="675">
        <v>5</v>
      </c>
      <c r="B145" s="668">
        <v>3</v>
      </c>
      <c r="C145" s="676">
        <v>1</v>
      </c>
      <c r="D145" s="668">
        <v>2</v>
      </c>
      <c r="E145" s="677">
        <v>5</v>
      </c>
      <c r="F145" s="678" t="s">
        <v>898</v>
      </c>
      <c r="G145" s="679" t="s">
        <v>798</v>
      </c>
      <c r="H145" s="679" t="s">
        <v>810</v>
      </c>
      <c r="I145" s="679" t="s">
        <v>828</v>
      </c>
      <c r="J145" s="679" t="str">
        <f t="shared" si="0"/>
        <v>Formalize</v>
      </c>
      <c r="K145" s="680">
        <f>'Standard Avalrem Table'!C42</f>
        <v>33.142014512998522</v>
      </c>
      <c r="L145" s="681">
        <f t="shared" si="1"/>
        <v>33.142014512998522</v>
      </c>
      <c r="M145" s="307"/>
      <c r="N145" s="307"/>
      <c r="O145" s="307"/>
      <c r="P145" s="307"/>
      <c r="Q145" s="307"/>
      <c r="R145" s="311"/>
      <c r="S145" s="261" t="s">
        <v>30</v>
      </c>
      <c r="T145" s="262"/>
      <c r="U145" s="263" t="str">
        <f>$Y$125</f>
        <v>Formalize</v>
      </c>
      <c r="V145" s="264" t="s">
        <v>356</v>
      </c>
      <c r="X145">
        <v>5</v>
      </c>
      <c r="Y145" t="s">
        <v>368</v>
      </c>
      <c r="Z145" s="268" t="s">
        <v>34</v>
      </c>
      <c r="AA145" s="254" t="s">
        <v>369</v>
      </c>
      <c r="AB145" s="254" t="s">
        <v>370</v>
      </c>
      <c r="AC145" s="254" t="s">
        <v>371</v>
      </c>
      <c r="AD145" s="254" t="s">
        <v>372</v>
      </c>
      <c r="AG145" s="148"/>
      <c r="AH145" s="148"/>
      <c r="BC145" s="232"/>
    </row>
    <row r="146" spans="1:55" ht="15" x14ac:dyDescent="0.25">
      <c r="A146" s="675">
        <v>6</v>
      </c>
      <c r="B146" s="668">
        <v>3</v>
      </c>
      <c r="C146" s="676">
        <v>1</v>
      </c>
      <c r="D146" s="668">
        <v>1</v>
      </c>
      <c r="E146" s="677">
        <v>6</v>
      </c>
      <c r="F146" s="678" t="s">
        <v>898</v>
      </c>
      <c r="G146" s="679" t="s">
        <v>798</v>
      </c>
      <c r="H146" s="679" t="s">
        <v>810</v>
      </c>
      <c r="I146" s="679" t="s">
        <v>829</v>
      </c>
      <c r="J146" s="679" t="str">
        <f t="shared" si="0"/>
        <v>Order</v>
      </c>
      <c r="K146" s="680">
        <f>'Standard Avalrem Table'!C27</f>
        <v>15.474167876835413</v>
      </c>
      <c r="L146" s="681">
        <f t="shared" si="1"/>
        <v>15.474167876835413</v>
      </c>
      <c r="M146" s="307"/>
      <c r="N146" s="307"/>
      <c r="O146" s="307"/>
      <c r="P146" s="307"/>
      <c r="Q146" s="307"/>
      <c r="R146" s="311"/>
      <c r="S146" s="261" t="s">
        <v>30</v>
      </c>
      <c r="T146" s="262" t="s">
        <v>137</v>
      </c>
      <c r="U146" s="263" t="str">
        <f>$W$125</f>
        <v>Order</v>
      </c>
      <c r="V146" s="264" t="s">
        <v>356</v>
      </c>
      <c r="X146">
        <v>6</v>
      </c>
      <c r="Y146" t="s">
        <v>374</v>
      </c>
      <c r="Z146" s="217" t="s">
        <v>32</v>
      </c>
      <c r="AA146" s="254" t="s">
        <v>375</v>
      </c>
      <c r="AB146" s="254" t="s">
        <v>376</v>
      </c>
      <c r="AC146" s="254" t="s">
        <v>377</v>
      </c>
      <c r="AD146" s="254" t="s">
        <v>378</v>
      </c>
      <c r="AG146" s="148"/>
      <c r="AH146" s="148"/>
      <c r="BC146" s="232"/>
    </row>
    <row r="147" spans="1:55" ht="15" x14ac:dyDescent="0.25">
      <c r="A147" s="675">
        <v>7</v>
      </c>
      <c r="B147" s="668">
        <v>4</v>
      </c>
      <c r="C147" s="676">
        <v>1</v>
      </c>
      <c r="D147" s="668">
        <v>2</v>
      </c>
      <c r="E147" s="677">
        <v>7</v>
      </c>
      <c r="F147" s="678" t="s">
        <v>898</v>
      </c>
      <c r="G147" s="679" t="s">
        <v>799</v>
      </c>
      <c r="H147" s="679" t="s">
        <v>811</v>
      </c>
      <c r="I147" s="679" t="s">
        <v>830</v>
      </c>
      <c r="J147" s="679" t="str">
        <f t="shared" si="0"/>
        <v>Inform</v>
      </c>
      <c r="K147" s="680">
        <f>'Standard Avalrem Table'!C43</f>
        <v>33.142014512998522</v>
      </c>
      <c r="L147" s="681">
        <f t="shared" si="1"/>
        <v>33.142014512998522</v>
      </c>
      <c r="M147" s="307"/>
      <c r="N147" s="307"/>
      <c r="O147" s="307"/>
      <c r="P147" s="307"/>
      <c r="Q147" s="307"/>
      <c r="R147" s="311"/>
      <c r="S147" s="261" t="s">
        <v>30</v>
      </c>
      <c r="T147" s="262"/>
      <c r="U147" s="263" t="str">
        <f>$Y$126</f>
        <v>Inform</v>
      </c>
      <c r="V147" s="264" t="s">
        <v>356</v>
      </c>
      <c r="X147">
        <v>7</v>
      </c>
      <c r="Y147" t="s">
        <v>380</v>
      </c>
      <c r="Z147" s="272" t="s">
        <v>30</v>
      </c>
      <c r="AA147" s="254" t="s">
        <v>381</v>
      </c>
      <c r="AB147" s="254" t="s">
        <v>382</v>
      </c>
      <c r="AC147" s="254" t="s">
        <v>383</v>
      </c>
      <c r="AD147" s="254" t="s">
        <v>384</v>
      </c>
      <c r="AG147" s="148"/>
      <c r="AH147" s="148"/>
      <c r="BC147" s="232"/>
    </row>
    <row r="148" spans="1:55" ht="15" x14ac:dyDescent="0.25">
      <c r="A148" s="675">
        <v>8</v>
      </c>
      <c r="B148" s="668">
        <v>4</v>
      </c>
      <c r="C148" s="676">
        <v>1</v>
      </c>
      <c r="D148" s="668">
        <v>1</v>
      </c>
      <c r="E148" s="677">
        <v>8</v>
      </c>
      <c r="F148" s="678" t="s">
        <v>898</v>
      </c>
      <c r="G148" s="679" t="s">
        <v>799</v>
      </c>
      <c r="H148" s="679" t="s">
        <v>811</v>
      </c>
      <c r="I148" s="679" t="s">
        <v>831</v>
      </c>
      <c r="J148" s="679" t="str">
        <f t="shared" si="0"/>
        <v>Update</v>
      </c>
      <c r="K148" s="680">
        <f>'Standard Avalrem Table'!C28</f>
        <v>16.710066481666534</v>
      </c>
      <c r="L148" s="681">
        <f t="shared" si="1"/>
        <v>16.710066481666534</v>
      </c>
      <c r="M148" s="307"/>
      <c r="N148" s="307"/>
      <c r="O148" s="307"/>
      <c r="P148" s="307"/>
      <c r="Q148" s="307"/>
      <c r="R148" s="311"/>
      <c r="S148" s="261" t="s">
        <v>30</v>
      </c>
      <c r="T148" s="262"/>
      <c r="U148" s="263" t="str">
        <f>$W$126</f>
        <v>Update</v>
      </c>
      <c r="V148" s="264" t="s">
        <v>356</v>
      </c>
      <c r="X148">
        <v>8</v>
      </c>
      <c r="Y148" t="s">
        <v>385</v>
      </c>
      <c r="Z148" s="217" t="s">
        <v>32</v>
      </c>
      <c r="AA148" s="254" t="s">
        <v>386</v>
      </c>
      <c r="AB148" s="254" t="s">
        <v>387</v>
      </c>
      <c r="AC148" s="254" t="s">
        <v>388</v>
      </c>
      <c r="AD148" s="254" t="s">
        <v>389</v>
      </c>
      <c r="AG148" s="148"/>
      <c r="AH148" s="148"/>
      <c r="BC148" s="232"/>
    </row>
    <row r="149" spans="1:55" ht="15" x14ac:dyDescent="0.25">
      <c r="A149" s="675">
        <v>9</v>
      </c>
      <c r="B149" s="668">
        <v>5</v>
      </c>
      <c r="C149" s="676">
        <v>1</v>
      </c>
      <c r="D149" s="668">
        <v>2</v>
      </c>
      <c r="E149" s="677">
        <v>9</v>
      </c>
      <c r="F149" s="678" t="s">
        <v>898</v>
      </c>
      <c r="G149" s="679" t="s">
        <v>800</v>
      </c>
      <c r="H149" s="679" t="s">
        <v>812</v>
      </c>
      <c r="I149" s="679" t="s">
        <v>832</v>
      </c>
      <c r="J149" s="679" t="str">
        <f t="shared" si="0"/>
        <v>Obtain</v>
      </c>
      <c r="K149" s="680">
        <f>'Standard Avalrem Table'!C44</f>
        <v>31.849172107335839</v>
      </c>
      <c r="L149" s="681">
        <f t="shared" si="1"/>
        <v>31.849172107335839</v>
      </c>
      <c r="M149" s="307"/>
      <c r="N149" s="307"/>
      <c r="O149" s="307"/>
      <c r="P149" s="307"/>
      <c r="Q149" s="307"/>
      <c r="R149" s="311"/>
      <c r="S149" s="261" t="s">
        <v>30</v>
      </c>
      <c r="T149" s="262" t="s">
        <v>135</v>
      </c>
      <c r="U149" s="263" t="str">
        <f>$Y$127</f>
        <v>Obtain</v>
      </c>
      <c r="V149" s="264" t="s">
        <v>356</v>
      </c>
      <c r="X149">
        <v>9</v>
      </c>
      <c r="Y149" t="s">
        <v>390</v>
      </c>
      <c r="Z149" s="223" t="s">
        <v>31</v>
      </c>
      <c r="AA149" s="254" t="s">
        <v>391</v>
      </c>
      <c r="AB149" s="254" t="s">
        <v>392</v>
      </c>
      <c r="AC149" s="254" t="s">
        <v>393</v>
      </c>
      <c r="AD149" s="254" t="s">
        <v>394</v>
      </c>
      <c r="AG149" s="148"/>
      <c r="AH149" s="148"/>
      <c r="BC149" s="232"/>
    </row>
    <row r="150" spans="1:55" ht="15" x14ac:dyDescent="0.25">
      <c r="A150" s="675">
        <v>10</v>
      </c>
      <c r="B150" s="668">
        <v>5</v>
      </c>
      <c r="C150" s="676">
        <v>1</v>
      </c>
      <c r="D150" s="668">
        <v>1</v>
      </c>
      <c r="E150" s="677">
        <v>10</v>
      </c>
      <c r="F150" s="678" t="s">
        <v>898</v>
      </c>
      <c r="G150" s="679" t="s">
        <v>800</v>
      </c>
      <c r="H150" s="679" t="s">
        <v>812</v>
      </c>
      <c r="I150" s="679" t="s">
        <v>833</v>
      </c>
      <c r="J150" s="679" t="str">
        <f t="shared" si="0"/>
        <v>Share</v>
      </c>
      <c r="K150" s="680">
        <f>'Standard Avalrem Table'!C29</f>
        <v>13.748066573192935</v>
      </c>
      <c r="L150" s="681">
        <f t="shared" si="1"/>
        <v>13.748066573192935</v>
      </c>
      <c r="M150" s="307"/>
      <c r="N150" s="307"/>
      <c r="O150" s="307"/>
      <c r="P150" s="307"/>
      <c r="Q150" s="307"/>
      <c r="R150" s="311"/>
      <c r="S150" s="261" t="s">
        <v>30</v>
      </c>
      <c r="T150" s="262"/>
      <c r="U150" s="263" t="str">
        <f>$W$127</f>
        <v>Share</v>
      </c>
      <c r="V150" s="264" t="s">
        <v>356</v>
      </c>
      <c r="X150">
        <v>10</v>
      </c>
      <c r="Y150" t="s">
        <v>395</v>
      </c>
      <c r="Z150" s="272" t="s">
        <v>30</v>
      </c>
      <c r="AA150" s="254" t="s">
        <v>396</v>
      </c>
      <c r="AB150" s="254" t="s">
        <v>397</v>
      </c>
      <c r="AC150" s="254" t="s">
        <v>398</v>
      </c>
      <c r="AD150" s="254" t="s">
        <v>399</v>
      </c>
      <c r="AG150" s="148"/>
      <c r="AH150" s="148"/>
      <c r="BC150" s="232"/>
    </row>
    <row r="151" spans="1:55" ht="15" x14ac:dyDescent="0.25">
      <c r="A151" s="675">
        <v>11</v>
      </c>
      <c r="B151" s="668">
        <v>6</v>
      </c>
      <c r="C151" s="676">
        <v>1</v>
      </c>
      <c r="D151" s="668">
        <v>1</v>
      </c>
      <c r="E151" s="677">
        <v>11</v>
      </c>
      <c r="F151" s="678" t="s">
        <v>898</v>
      </c>
      <c r="G151" s="679" t="s">
        <v>801</v>
      </c>
      <c r="H151" s="679" t="s">
        <v>813</v>
      </c>
      <c r="I151" s="679" t="s">
        <v>834</v>
      </c>
      <c r="J151" s="679" t="str">
        <f t="shared" si="0"/>
        <v>Follow-up</v>
      </c>
      <c r="K151" s="680">
        <f>'Standard Avalrem Table'!C30</f>
        <v>13.704201111686999</v>
      </c>
      <c r="L151" s="681">
        <f t="shared" si="1"/>
        <v>13.704201111686999</v>
      </c>
      <c r="M151" s="307"/>
      <c r="N151" s="307"/>
      <c r="O151" s="307"/>
      <c r="P151" s="307"/>
      <c r="Q151" s="307"/>
      <c r="R151" s="311"/>
      <c r="S151" s="261" t="s">
        <v>30</v>
      </c>
      <c r="T151" s="262"/>
      <c r="U151" s="263" t="str">
        <f>$W$128</f>
        <v>Follow-up</v>
      </c>
      <c r="V151" s="264" t="s">
        <v>356</v>
      </c>
      <c r="X151">
        <v>11</v>
      </c>
      <c r="Y151" t="s">
        <v>400</v>
      </c>
      <c r="Z151" s="272" t="s">
        <v>30</v>
      </c>
      <c r="AA151" s="254" t="s">
        <v>401</v>
      </c>
      <c r="AB151" s="254" t="s">
        <v>402</v>
      </c>
      <c r="AC151" s="254" t="s">
        <v>403</v>
      </c>
      <c r="AD151" s="254" t="s">
        <v>404</v>
      </c>
      <c r="AG151" s="148"/>
      <c r="AH151" s="148"/>
      <c r="BC151" s="232"/>
    </row>
    <row r="152" spans="1:55" ht="15" x14ac:dyDescent="0.25">
      <c r="A152" s="675">
        <v>12</v>
      </c>
      <c r="B152" s="668">
        <v>6</v>
      </c>
      <c r="C152" s="676">
        <v>1</v>
      </c>
      <c r="D152" s="668">
        <v>2</v>
      </c>
      <c r="E152" s="677">
        <v>12</v>
      </c>
      <c r="F152" s="678" t="s">
        <v>898</v>
      </c>
      <c r="G152" s="679" t="s">
        <v>801</v>
      </c>
      <c r="H152" s="679" t="s">
        <v>813</v>
      </c>
      <c r="I152" s="679" t="s">
        <v>835</v>
      </c>
      <c r="J152" s="679" t="str">
        <f t="shared" si="0"/>
        <v>Warn</v>
      </c>
      <c r="K152" s="680">
        <f>'Standard Avalrem Table'!C45</f>
        <v>30.556329701673157</v>
      </c>
      <c r="L152" s="681">
        <f t="shared" si="1"/>
        <v>30.556329701673157</v>
      </c>
      <c r="M152" s="307"/>
      <c r="N152" s="307"/>
      <c r="O152" s="307"/>
      <c r="P152" s="307"/>
      <c r="Q152" s="307"/>
      <c r="R152" s="311"/>
      <c r="S152" s="261" t="s">
        <v>30</v>
      </c>
      <c r="T152" s="262"/>
      <c r="U152" s="263" t="str">
        <f>$Y$128</f>
        <v>Warn</v>
      </c>
      <c r="V152" s="264" t="s">
        <v>356</v>
      </c>
      <c r="X152">
        <v>12</v>
      </c>
      <c r="Y152" t="s">
        <v>405</v>
      </c>
      <c r="Z152" s="219" t="s">
        <v>33</v>
      </c>
      <c r="AA152" s="254" t="s">
        <v>406</v>
      </c>
      <c r="AB152" s="254" t="s">
        <v>407</v>
      </c>
      <c r="AC152" s="254" t="s">
        <v>408</v>
      </c>
      <c r="AD152" s="254" t="s">
        <v>409</v>
      </c>
      <c r="AG152" s="148"/>
      <c r="AH152" s="148"/>
      <c r="BC152" s="232"/>
    </row>
    <row r="153" spans="1:55" ht="15" x14ac:dyDescent="0.25">
      <c r="A153" s="675">
        <v>13</v>
      </c>
      <c r="B153" s="668">
        <v>7</v>
      </c>
      <c r="C153" s="676">
        <v>1</v>
      </c>
      <c r="D153" s="668">
        <v>1</v>
      </c>
      <c r="E153" s="677">
        <v>13</v>
      </c>
      <c r="F153" s="678" t="s">
        <v>898</v>
      </c>
      <c r="G153" s="679" t="s">
        <v>802</v>
      </c>
      <c r="H153" s="679" t="s">
        <v>814</v>
      </c>
      <c r="I153" s="679" t="s">
        <v>836</v>
      </c>
      <c r="J153" s="679" t="str">
        <f t="shared" si="0"/>
        <v>Discuss</v>
      </c>
      <c r="K153" s="680">
        <f>'Standard Avalrem Table'!C31</f>
        <v>12.468302506855878</v>
      </c>
      <c r="L153" s="681">
        <f t="shared" si="1"/>
        <v>12.468302506855878</v>
      </c>
      <c r="M153" s="307"/>
      <c r="N153" s="307"/>
      <c r="O153" s="307"/>
      <c r="P153" s="307"/>
      <c r="Q153" s="307"/>
      <c r="R153" s="311"/>
      <c r="S153" s="261" t="s">
        <v>30</v>
      </c>
      <c r="T153" s="262"/>
      <c r="U153" s="263" t="str">
        <f>$W$129</f>
        <v>Discuss</v>
      </c>
      <c r="V153" s="264" t="s">
        <v>356</v>
      </c>
      <c r="X153">
        <v>13</v>
      </c>
      <c r="Y153" t="s">
        <v>410</v>
      </c>
      <c r="Z153" s="268" t="s">
        <v>34</v>
      </c>
      <c r="AA153" s="254" t="s">
        <v>411</v>
      </c>
      <c r="AB153" s="254" t="s">
        <v>412</v>
      </c>
      <c r="AC153" s="254" t="s">
        <v>413</v>
      </c>
      <c r="AD153" s="254" t="s">
        <v>414</v>
      </c>
      <c r="AG153" s="148"/>
      <c r="AH153" s="148"/>
      <c r="BC153" s="232"/>
    </row>
    <row r="154" spans="1:55" ht="15" x14ac:dyDescent="0.25">
      <c r="A154" s="675">
        <v>14</v>
      </c>
      <c r="B154" s="668">
        <v>7</v>
      </c>
      <c r="C154" s="676">
        <v>1</v>
      </c>
      <c r="D154" s="668">
        <v>2</v>
      </c>
      <c r="E154" s="677">
        <v>14</v>
      </c>
      <c r="F154" s="678" t="s">
        <v>898</v>
      </c>
      <c r="G154" s="679" t="s">
        <v>802</v>
      </c>
      <c r="H154" s="679" t="s">
        <v>814</v>
      </c>
      <c r="I154" s="679" t="s">
        <v>837</v>
      </c>
      <c r="J154" s="679" t="str">
        <f t="shared" si="0"/>
        <v>Meet</v>
      </c>
      <c r="K154" s="680">
        <f>'Standard Avalrem Table'!C46</f>
        <v>30.556329701673157</v>
      </c>
      <c r="L154" s="681">
        <f t="shared" si="1"/>
        <v>30.556329701673157</v>
      </c>
      <c r="M154" s="307"/>
      <c r="N154" s="307"/>
      <c r="O154" s="307"/>
      <c r="P154" s="307"/>
      <c r="Q154" s="307"/>
      <c r="R154" s="311"/>
      <c r="S154" s="261" t="s">
        <v>30</v>
      </c>
      <c r="T154" s="262"/>
      <c r="U154" s="263" t="str">
        <f>$Y$129</f>
        <v>Meet</v>
      </c>
      <c r="V154" s="264" t="s">
        <v>356</v>
      </c>
      <c r="X154">
        <v>14</v>
      </c>
      <c r="Y154" t="s">
        <v>415</v>
      </c>
      <c r="Z154" s="223" t="s">
        <v>31</v>
      </c>
      <c r="AA154" s="254" t="s">
        <v>416</v>
      </c>
      <c r="AB154" s="254" t="s">
        <v>417</v>
      </c>
      <c r="AC154" s="254" t="s">
        <v>418</v>
      </c>
      <c r="AD154" s="254" t="s">
        <v>419</v>
      </c>
      <c r="AG154" s="148"/>
      <c r="AH154" s="148"/>
      <c r="BC154" s="232"/>
    </row>
    <row r="155" spans="1:55" ht="15" x14ac:dyDescent="0.25">
      <c r="A155" s="675">
        <v>15</v>
      </c>
      <c r="B155" s="668">
        <v>8</v>
      </c>
      <c r="C155" s="676">
        <v>1</v>
      </c>
      <c r="D155" s="668">
        <v>2</v>
      </c>
      <c r="E155" s="677">
        <v>15</v>
      </c>
      <c r="F155" s="678" t="s">
        <v>898</v>
      </c>
      <c r="G155" s="679" t="s">
        <v>803</v>
      </c>
      <c r="H155" s="679" t="s">
        <v>815</v>
      </c>
      <c r="I155" s="679" t="s">
        <v>838</v>
      </c>
      <c r="J155" s="679" t="str">
        <f t="shared" si="0"/>
        <v>Learn</v>
      </c>
      <c r="K155" s="680">
        <f>'Standard Avalrem Table'!C47</f>
        <v>31.849172107335839</v>
      </c>
      <c r="L155" s="681">
        <f t="shared" si="1"/>
        <v>31.849172107335839</v>
      </c>
      <c r="M155" s="307"/>
      <c r="N155" s="307"/>
      <c r="O155" s="307"/>
      <c r="P155" s="307"/>
      <c r="Q155" s="307"/>
      <c r="R155" s="311"/>
      <c r="S155" s="261" t="s">
        <v>30</v>
      </c>
      <c r="T155" s="262"/>
      <c r="U155" s="263" t="str">
        <f>$Y$130</f>
        <v>Learn</v>
      </c>
      <c r="V155" s="264" t="s">
        <v>356</v>
      </c>
      <c r="W155" s="148">
        <f>15*4</f>
        <v>60</v>
      </c>
      <c r="X155">
        <v>15</v>
      </c>
      <c r="Y155" t="s">
        <v>420</v>
      </c>
      <c r="Z155" s="268" t="s">
        <v>34</v>
      </c>
      <c r="AA155" s="254" t="s">
        <v>421</v>
      </c>
      <c r="AB155" s="254" t="s">
        <v>422</v>
      </c>
      <c r="AC155" s="254" t="s">
        <v>423</v>
      </c>
      <c r="AD155" s="254" t="s">
        <v>424</v>
      </c>
      <c r="AG155" s="148"/>
      <c r="AH155" s="148"/>
      <c r="BC155" s="232"/>
    </row>
    <row r="156" spans="1:55" ht="15" x14ac:dyDescent="0.25">
      <c r="A156" s="675">
        <v>16</v>
      </c>
      <c r="B156" s="668">
        <v>8</v>
      </c>
      <c r="C156" s="676">
        <v>1</v>
      </c>
      <c r="D156" s="668">
        <v>1</v>
      </c>
      <c r="E156" s="677">
        <v>16</v>
      </c>
      <c r="F156" s="678" t="s">
        <v>898</v>
      </c>
      <c r="G156" s="679" t="s">
        <v>803</v>
      </c>
      <c r="H156" s="679" t="s">
        <v>815</v>
      </c>
      <c r="I156" s="679" t="s">
        <v>839</v>
      </c>
      <c r="J156" s="679" t="str">
        <f t="shared" si="0"/>
        <v>Listen</v>
      </c>
      <c r="K156" s="680">
        <f>'Standard Avalrem Table'!C32</f>
        <v>15.430302415329463</v>
      </c>
      <c r="L156" s="681">
        <f t="shared" si="1"/>
        <v>15.430302415329463</v>
      </c>
      <c r="M156" s="307"/>
      <c r="N156" s="307"/>
      <c r="O156" s="307"/>
      <c r="P156" s="307"/>
      <c r="Q156" s="307"/>
      <c r="R156" s="311"/>
      <c r="S156" s="261" t="s">
        <v>30</v>
      </c>
      <c r="T156" s="262"/>
      <c r="U156" s="263" t="str">
        <f>$W$130</f>
        <v>Listen</v>
      </c>
      <c r="V156" s="264" t="s">
        <v>356</v>
      </c>
      <c r="W156" s="148"/>
      <c r="AG156" s="148"/>
      <c r="AH156" s="148"/>
      <c r="BC156" s="232"/>
    </row>
    <row r="157" spans="1:55" ht="15" x14ac:dyDescent="0.25">
      <c r="A157" s="675">
        <v>17</v>
      </c>
      <c r="B157" s="668">
        <v>9</v>
      </c>
      <c r="C157" s="676">
        <v>1</v>
      </c>
      <c r="D157" s="668">
        <v>1</v>
      </c>
      <c r="E157" s="677">
        <v>17</v>
      </c>
      <c r="F157" s="678" t="s">
        <v>898</v>
      </c>
      <c r="G157" s="679" t="s">
        <v>804</v>
      </c>
      <c r="H157" s="679" t="s">
        <v>816</v>
      </c>
      <c r="I157" s="679" t="s">
        <v>840</v>
      </c>
      <c r="J157" s="679" t="str">
        <f t="shared" si="0"/>
        <v>Monitor</v>
      </c>
      <c r="K157" s="680">
        <f>'Standard Avalrem Table'!C33</f>
        <v>15.474167876835413</v>
      </c>
      <c r="L157" s="681">
        <f t="shared" si="1"/>
        <v>15.474167876835413</v>
      </c>
      <c r="M157" s="307"/>
      <c r="N157" s="307"/>
      <c r="O157" s="307"/>
      <c r="P157" s="307"/>
      <c r="Q157" s="307"/>
      <c r="R157" s="311"/>
      <c r="S157" s="261" t="s">
        <v>30</v>
      </c>
      <c r="T157" s="262"/>
      <c r="U157" s="263" t="str">
        <f>$W$131</f>
        <v>Monitor</v>
      </c>
      <c r="V157" s="264" t="s">
        <v>356</v>
      </c>
      <c r="W157" s="148"/>
      <c r="AG157" s="148"/>
      <c r="AH157" s="148"/>
      <c r="BC157" s="232"/>
    </row>
    <row r="158" spans="1:55" ht="15" x14ac:dyDescent="0.25">
      <c r="A158" s="675">
        <v>18</v>
      </c>
      <c r="B158" s="668">
        <v>9</v>
      </c>
      <c r="C158" s="676">
        <v>1</v>
      </c>
      <c r="D158" s="668">
        <v>2</v>
      </c>
      <c r="E158" s="677">
        <v>18</v>
      </c>
      <c r="F158" s="678" t="s">
        <v>898</v>
      </c>
      <c r="G158" s="679" t="s">
        <v>804</v>
      </c>
      <c r="H158" s="679" t="s">
        <v>816</v>
      </c>
      <c r="I158" s="679" t="s">
        <v>841</v>
      </c>
      <c r="J158" s="679" t="str">
        <f t="shared" si="0"/>
        <v>Observe</v>
      </c>
      <c r="K158" s="680">
        <f>'Standard Avalrem Table'!C48</f>
        <v>33.142014512998522</v>
      </c>
      <c r="L158" s="681">
        <f t="shared" si="1"/>
        <v>33.142014512998522</v>
      </c>
      <c r="M158" s="307"/>
      <c r="N158" s="307"/>
      <c r="O158" s="307"/>
      <c r="P158" s="307"/>
      <c r="Q158" s="307"/>
      <c r="R158" s="311"/>
      <c r="S158" s="261" t="s">
        <v>30</v>
      </c>
      <c r="T158" s="262"/>
      <c r="U158" s="263" t="str">
        <f>$Y$131</f>
        <v>Observe</v>
      </c>
      <c r="V158" s="264" t="s">
        <v>356</v>
      </c>
      <c r="W158" s="148"/>
      <c r="X158" s="141" t="s">
        <v>425</v>
      </c>
      <c r="Z158" s="252" t="s">
        <v>426</v>
      </c>
      <c r="AG158" s="148"/>
      <c r="AH158" s="148"/>
      <c r="BC158" s="232"/>
    </row>
    <row r="159" spans="1:55" ht="15" x14ac:dyDescent="0.25">
      <c r="A159" s="675">
        <v>19</v>
      </c>
      <c r="B159" s="668">
        <v>10</v>
      </c>
      <c r="C159" s="676">
        <v>1</v>
      </c>
      <c r="D159" s="668">
        <v>1</v>
      </c>
      <c r="E159" s="677">
        <v>19</v>
      </c>
      <c r="F159" s="678" t="s">
        <v>898</v>
      </c>
      <c r="G159" s="679" t="s">
        <v>805</v>
      </c>
      <c r="H159" s="679" t="s">
        <v>817</v>
      </c>
      <c r="I159" s="679" t="s">
        <v>842</v>
      </c>
      <c r="J159" s="679" t="str">
        <f t="shared" si="0"/>
        <v>Accelerate</v>
      </c>
      <c r="K159" s="680">
        <f>'Standard Avalrem Table'!C34</f>
        <v>16.710066481666534</v>
      </c>
      <c r="L159" s="681">
        <f t="shared" si="1"/>
        <v>16.710066481666534</v>
      </c>
      <c r="M159" s="307"/>
      <c r="N159" s="307"/>
      <c r="O159" s="307"/>
      <c r="P159" s="307"/>
      <c r="Q159" s="307"/>
      <c r="R159" s="311"/>
      <c r="S159" s="261" t="s">
        <v>30</v>
      </c>
      <c r="T159" s="262"/>
      <c r="U159" s="263" t="str">
        <f>$W$132</f>
        <v>Accelerate</v>
      </c>
      <c r="V159" s="264" t="s">
        <v>356</v>
      </c>
      <c r="W159" s="148"/>
      <c r="Z159" s="254" t="s">
        <v>427</v>
      </c>
      <c r="AA159" s="254" t="s">
        <v>428</v>
      </c>
      <c r="AB159" s="254" t="s">
        <v>429</v>
      </c>
      <c r="AC159" s="254" t="s">
        <v>430</v>
      </c>
      <c r="AD159" s="254" t="s">
        <v>431</v>
      </c>
      <c r="AG159" s="148"/>
      <c r="AH159" s="148"/>
      <c r="BC159" s="232"/>
    </row>
    <row r="160" spans="1:55" ht="15" x14ac:dyDescent="0.25">
      <c r="A160" s="675">
        <v>20</v>
      </c>
      <c r="B160" s="668">
        <v>10</v>
      </c>
      <c r="C160" s="676">
        <v>1</v>
      </c>
      <c r="D160" s="668">
        <v>2</v>
      </c>
      <c r="E160" s="677">
        <v>20</v>
      </c>
      <c r="F160" s="678" t="s">
        <v>898</v>
      </c>
      <c r="G160" s="679" t="s">
        <v>805</v>
      </c>
      <c r="H160" s="679" t="s">
        <v>817</v>
      </c>
      <c r="I160" s="679" t="s">
        <v>843</v>
      </c>
      <c r="J160" s="679" t="str">
        <f t="shared" si="0"/>
        <v>Run</v>
      </c>
      <c r="K160" s="680">
        <f>'Standard Avalrem Table'!C49</f>
        <v>33.142014512998522</v>
      </c>
      <c r="L160" s="681">
        <f t="shared" si="1"/>
        <v>33.142014512998522</v>
      </c>
      <c r="M160" s="307"/>
      <c r="N160" s="307"/>
      <c r="O160" s="307"/>
      <c r="P160" s="307"/>
      <c r="Q160" s="307"/>
      <c r="R160" s="311"/>
      <c r="S160" s="261" t="s">
        <v>30</v>
      </c>
      <c r="T160" s="262"/>
      <c r="U160" s="263" t="str">
        <f>$Y$132</f>
        <v>Run</v>
      </c>
      <c r="V160" s="264" t="s">
        <v>356</v>
      </c>
      <c r="W160" s="148"/>
      <c r="Z160" s="254" t="s">
        <v>432</v>
      </c>
      <c r="AA160" s="254" t="s">
        <v>433</v>
      </c>
      <c r="AB160" s="254" t="s">
        <v>434</v>
      </c>
      <c r="AC160" s="254" t="s">
        <v>435</v>
      </c>
      <c r="AD160" s="254" t="s">
        <v>436</v>
      </c>
      <c r="AG160" s="148"/>
      <c r="AH160" s="148"/>
      <c r="BC160" s="232"/>
    </row>
    <row r="161" spans="1:55" ht="15" x14ac:dyDescent="0.25">
      <c r="A161" s="675">
        <v>21</v>
      </c>
      <c r="B161" s="668">
        <v>11</v>
      </c>
      <c r="C161" s="676">
        <v>1</v>
      </c>
      <c r="D161" s="668">
        <v>1</v>
      </c>
      <c r="E161" s="677">
        <v>21</v>
      </c>
      <c r="F161" s="678" t="s">
        <v>898</v>
      </c>
      <c r="G161" s="679" t="s">
        <v>806</v>
      </c>
      <c r="H161" s="679" t="s">
        <v>818</v>
      </c>
      <c r="I161" s="679" t="s">
        <v>844</v>
      </c>
      <c r="J161" s="679" t="str">
        <f t="shared" si="0"/>
        <v>Check</v>
      </c>
      <c r="K161" s="680">
        <f>'Standard Avalrem Table'!C35</f>
        <v>13.748066573192935</v>
      </c>
      <c r="L161" s="681">
        <f t="shared" si="1"/>
        <v>13.748066573192935</v>
      </c>
      <c r="M161" s="307"/>
      <c r="N161" s="307"/>
      <c r="O161" s="307"/>
      <c r="P161" s="307"/>
      <c r="Q161" s="307"/>
      <c r="R161" s="311"/>
      <c r="S161" s="261" t="s">
        <v>30</v>
      </c>
      <c r="T161" s="262"/>
      <c r="U161" s="263" t="str">
        <f>$W$133</f>
        <v>Check</v>
      </c>
      <c r="V161" s="264" t="s">
        <v>356</v>
      </c>
      <c r="W161" s="148">
        <f>3*5</f>
        <v>15</v>
      </c>
      <c r="Z161" s="254"/>
      <c r="AA161" s="254" t="s">
        <v>437</v>
      </c>
      <c r="AB161" s="254" t="s">
        <v>438</v>
      </c>
      <c r="AC161" s="254" t="s">
        <v>439</v>
      </c>
      <c r="AD161" s="254" t="s">
        <v>440</v>
      </c>
      <c r="AG161" s="148"/>
      <c r="AH161" s="148"/>
      <c r="BC161" s="232"/>
    </row>
    <row r="162" spans="1:55" ht="15" x14ac:dyDescent="0.25">
      <c r="A162" s="675">
        <v>22</v>
      </c>
      <c r="B162" s="668">
        <v>11</v>
      </c>
      <c r="C162" s="676">
        <v>1</v>
      </c>
      <c r="D162" s="668">
        <v>2</v>
      </c>
      <c r="E162" s="677">
        <v>22</v>
      </c>
      <c r="F162" s="678" t="s">
        <v>898</v>
      </c>
      <c r="G162" s="679" t="s">
        <v>806</v>
      </c>
      <c r="H162" s="679" t="s">
        <v>818</v>
      </c>
      <c r="I162" s="679" t="s">
        <v>845</v>
      </c>
      <c r="J162" s="679" t="str">
        <f t="shared" si="0"/>
        <v>Review</v>
      </c>
      <c r="K162" s="680">
        <f>'Standard Avalrem Table'!C50</f>
        <v>31.849172107335839</v>
      </c>
      <c r="L162" s="681">
        <f t="shared" si="1"/>
        <v>31.849172107335839</v>
      </c>
      <c r="M162" s="307"/>
      <c r="N162" s="307"/>
      <c r="O162" s="307"/>
      <c r="P162" s="307"/>
      <c r="Q162" s="307"/>
      <c r="R162" s="311"/>
      <c r="S162" s="261" t="s">
        <v>30</v>
      </c>
      <c r="T162" s="262"/>
      <c r="U162" s="263" t="str">
        <f>$Y$133</f>
        <v>Review</v>
      </c>
      <c r="V162" s="264" t="s">
        <v>356</v>
      </c>
      <c r="W162" s="148"/>
      <c r="AG162" s="148"/>
      <c r="AH162" s="148"/>
      <c r="BC162" s="232"/>
    </row>
    <row r="163" spans="1:55" ht="15" x14ac:dyDescent="0.25">
      <c r="A163" s="675">
        <v>23</v>
      </c>
      <c r="B163" s="668">
        <v>12</v>
      </c>
      <c r="C163" s="676">
        <v>1</v>
      </c>
      <c r="D163" s="668">
        <v>2</v>
      </c>
      <c r="E163" s="677">
        <v>23</v>
      </c>
      <c r="F163" s="678" t="s">
        <v>898</v>
      </c>
      <c r="G163" s="679" t="s">
        <v>807</v>
      </c>
      <c r="H163" s="679" t="s">
        <v>819</v>
      </c>
      <c r="I163" s="679" t="s">
        <v>846</v>
      </c>
      <c r="J163" s="679" t="str">
        <f t="shared" si="0"/>
        <v>Identify</v>
      </c>
      <c r="K163" s="680">
        <f>'Standard Avalrem Table'!C51</f>
        <v>30.556329701673157</v>
      </c>
      <c r="L163" s="681">
        <f t="shared" si="1"/>
        <v>30.556329701673157</v>
      </c>
      <c r="M163" s="307"/>
      <c r="N163" s="307"/>
      <c r="O163" s="307"/>
      <c r="P163" s="307"/>
      <c r="Q163" s="307"/>
      <c r="R163" s="311"/>
      <c r="S163" s="261" t="s">
        <v>30</v>
      </c>
      <c r="T163" s="262"/>
      <c r="U163" s="263" t="str">
        <f>$Y$134</f>
        <v>Identify</v>
      </c>
      <c r="V163" s="264" t="s">
        <v>356</v>
      </c>
      <c r="W163" s="148"/>
      <c r="AG163" s="148"/>
      <c r="AH163" s="148"/>
      <c r="BC163" s="232"/>
    </row>
    <row r="164" spans="1:55" ht="15.75" thickBot="1" x14ac:dyDescent="0.3">
      <c r="A164" s="675">
        <v>24</v>
      </c>
      <c r="B164" s="668">
        <v>12</v>
      </c>
      <c r="C164" s="676">
        <v>1</v>
      </c>
      <c r="D164" s="668">
        <v>1</v>
      </c>
      <c r="E164" s="682">
        <v>24</v>
      </c>
      <c r="F164" s="683" t="s">
        <v>898</v>
      </c>
      <c r="G164" s="684" t="s">
        <v>807</v>
      </c>
      <c r="H164" s="684" t="s">
        <v>819</v>
      </c>
      <c r="I164" s="684" t="s">
        <v>847</v>
      </c>
      <c r="J164" s="684" t="str">
        <f t="shared" si="0"/>
        <v>Investigate</v>
      </c>
      <c r="K164" s="685">
        <f>'Standard Avalrem Table'!C36</f>
        <v>13.704201111686999</v>
      </c>
      <c r="L164" s="686">
        <f t="shared" si="1"/>
        <v>13.704201111686999</v>
      </c>
      <c r="M164" s="307"/>
      <c r="N164" s="307"/>
      <c r="O164" s="307"/>
      <c r="P164" s="307"/>
      <c r="Q164" s="307"/>
      <c r="R164" s="311"/>
      <c r="S164" s="261" t="s">
        <v>30</v>
      </c>
      <c r="T164" s="262"/>
      <c r="U164" s="263" t="str">
        <f>$W$134</f>
        <v>Investigate</v>
      </c>
      <c r="V164" s="264" t="s">
        <v>356</v>
      </c>
      <c r="W164" s="148"/>
      <c r="X164" s="141" t="s">
        <v>441</v>
      </c>
      <c r="Z164" s="252" t="s">
        <v>442</v>
      </c>
      <c r="AA164" s="273" t="s">
        <v>443</v>
      </c>
      <c r="AB164" s="214"/>
      <c r="AC164" s="214"/>
      <c r="AG164" s="148"/>
      <c r="AH164" s="148"/>
      <c r="BC164" s="232"/>
    </row>
    <row r="165" spans="1:55" ht="45.75" hidden="1" thickBot="1" x14ac:dyDescent="0.3">
      <c r="A165" s="675"/>
      <c r="B165" s="668"/>
      <c r="C165" s="676"/>
      <c r="D165" s="668"/>
      <c r="E165" s="687" t="s">
        <v>1047</v>
      </c>
      <c r="F165" s="688" t="s">
        <v>897</v>
      </c>
      <c r="G165" s="689" t="s">
        <v>820</v>
      </c>
      <c r="H165" s="689" t="s">
        <v>820</v>
      </c>
      <c r="I165" s="690" t="s">
        <v>824</v>
      </c>
      <c r="J165" s="690" t="s">
        <v>825</v>
      </c>
      <c r="K165" s="690" t="s">
        <v>821</v>
      </c>
      <c r="L165" s="691" t="s">
        <v>876</v>
      </c>
      <c r="M165" s="307"/>
      <c r="N165" s="307"/>
      <c r="O165" s="307"/>
      <c r="P165" s="307"/>
      <c r="Q165" s="307"/>
      <c r="R165" s="311"/>
      <c r="S165" s="261"/>
      <c r="T165" s="262"/>
      <c r="U165" s="263"/>
      <c r="V165" s="264"/>
      <c r="W165" s="148"/>
      <c r="X165" s="141"/>
      <c r="Z165" s="252"/>
      <c r="AA165" s="273"/>
      <c r="AB165" s="214"/>
      <c r="AC165" s="214"/>
      <c r="AG165" s="148"/>
      <c r="AH165" s="148"/>
      <c r="BC165" s="232"/>
    </row>
    <row r="166" spans="1:55" ht="15.75" thickBot="1" x14ac:dyDescent="0.3">
      <c r="A166" s="675">
        <v>25</v>
      </c>
      <c r="B166" s="692">
        <v>1</v>
      </c>
      <c r="C166" s="693">
        <v>5</v>
      </c>
      <c r="D166" s="692">
        <v>2</v>
      </c>
      <c r="E166" s="670">
        <v>1</v>
      </c>
      <c r="F166" s="694" t="s">
        <v>899</v>
      </c>
      <c r="G166" s="672" t="s">
        <v>848</v>
      </c>
      <c r="H166" s="672" t="s">
        <v>860</v>
      </c>
      <c r="I166" s="672" t="s">
        <v>872</v>
      </c>
      <c r="J166" s="695" t="str">
        <f t="shared" si="0"/>
        <v>Correct</v>
      </c>
      <c r="K166" s="673">
        <f>'Standard Avalrem Table'!G40</f>
        <v>27.982311437835833</v>
      </c>
      <c r="L166" s="696">
        <f t="shared" si="1"/>
        <v>27.982311437835833</v>
      </c>
      <c r="M166" s="215"/>
      <c r="N166" s="215"/>
      <c r="O166" s="215"/>
      <c r="P166" s="215"/>
      <c r="Q166" s="215"/>
      <c r="R166" s="315"/>
      <c r="S166" s="214" t="s">
        <v>34</v>
      </c>
      <c r="T166" s="251"/>
      <c r="U166" s="252" t="str">
        <f>$AI$109</f>
        <v>Correct</v>
      </c>
      <c r="V166" s="253" t="s">
        <v>344</v>
      </c>
      <c r="W166" s="148"/>
      <c r="Z166" s="274" t="s">
        <v>444</v>
      </c>
      <c r="AA166" s="275" t="s">
        <v>445</v>
      </c>
      <c r="AB166" s="275" t="s">
        <v>446</v>
      </c>
      <c r="AC166" s="275" t="s">
        <v>447</v>
      </c>
      <c r="AD166" s="276" t="s">
        <v>448</v>
      </c>
      <c r="AG166" s="148"/>
      <c r="AH166" s="148"/>
      <c r="BC166" s="232"/>
    </row>
    <row r="167" spans="1:55" ht="15.75" thickBot="1" x14ac:dyDescent="0.3">
      <c r="A167" s="675">
        <v>26</v>
      </c>
      <c r="B167" s="692">
        <v>1</v>
      </c>
      <c r="C167" s="693">
        <v>5</v>
      </c>
      <c r="D167" s="692">
        <v>1</v>
      </c>
      <c r="E167" s="677">
        <v>2</v>
      </c>
      <c r="F167" s="679" t="s">
        <v>899</v>
      </c>
      <c r="G167" s="679" t="s">
        <v>848</v>
      </c>
      <c r="H167" s="679" t="s">
        <v>860</v>
      </c>
      <c r="I167" s="679" t="s">
        <v>873</v>
      </c>
      <c r="J167" s="697" t="str">
        <f t="shared" si="0"/>
        <v>Justify</v>
      </c>
      <c r="K167" s="680">
        <f>'Standard Avalrem Table'!G25</f>
        <v>12.067767424188476</v>
      </c>
      <c r="L167" s="698">
        <f t="shared" si="1"/>
        <v>12.067767424188476</v>
      </c>
      <c r="M167" s="215"/>
      <c r="N167" s="215"/>
      <c r="O167" s="215"/>
      <c r="P167" s="215"/>
      <c r="Q167" s="215"/>
      <c r="R167" s="315"/>
      <c r="S167" s="214" t="s">
        <v>34</v>
      </c>
      <c r="T167" s="251"/>
      <c r="U167" s="252" t="str">
        <f>$AG$109</f>
        <v>Justify</v>
      </c>
      <c r="V167" s="253" t="s">
        <v>344</v>
      </c>
      <c r="W167" s="148"/>
      <c r="Y167" s="249"/>
      <c r="Z167" s="277" t="s">
        <v>6</v>
      </c>
      <c r="AA167" s="277" t="s">
        <v>7</v>
      </c>
      <c r="AB167" s="277" t="s">
        <v>8</v>
      </c>
      <c r="AC167" s="277" t="s">
        <v>9</v>
      </c>
      <c r="AD167" s="277" t="s">
        <v>10</v>
      </c>
      <c r="AG167" s="148"/>
      <c r="AH167" s="148"/>
      <c r="BC167" s="232"/>
    </row>
    <row r="168" spans="1:55" ht="15" x14ac:dyDescent="0.25">
      <c r="A168" s="675">
        <v>27</v>
      </c>
      <c r="B168" s="692">
        <v>2</v>
      </c>
      <c r="C168" s="693">
        <v>5</v>
      </c>
      <c r="D168" s="692">
        <v>2</v>
      </c>
      <c r="E168" s="677">
        <v>3</v>
      </c>
      <c r="F168" s="679" t="s">
        <v>899</v>
      </c>
      <c r="G168" s="679" t="s">
        <v>849</v>
      </c>
      <c r="H168" s="679" t="s">
        <v>861</v>
      </c>
      <c r="I168" s="679" t="s">
        <v>874</v>
      </c>
      <c r="J168" s="697" t="str">
        <f t="shared" si="0"/>
        <v>Prevent</v>
      </c>
      <c r="K168" s="680">
        <f>'Standard Avalrem Table'!G41</f>
        <v>29.303635221686054</v>
      </c>
      <c r="L168" s="698">
        <f t="shared" si="1"/>
        <v>29.303635221686054</v>
      </c>
      <c r="M168" s="215"/>
      <c r="N168" s="215"/>
      <c r="O168" s="215"/>
      <c r="P168" s="215"/>
      <c r="Q168" s="215"/>
      <c r="R168" s="315"/>
      <c r="S168" s="214" t="s">
        <v>34</v>
      </c>
      <c r="T168" s="251"/>
      <c r="U168" s="252" t="str">
        <f>$AI$110</f>
        <v>Prevent</v>
      </c>
      <c r="V168" s="253" t="s">
        <v>344</v>
      </c>
      <c r="W168" s="148"/>
      <c r="X168" s="278" t="s">
        <v>449</v>
      </c>
      <c r="Y168" s="279" t="s">
        <v>13</v>
      </c>
      <c r="Z168" s="254" t="s">
        <v>450</v>
      </c>
      <c r="AA168" s="254" t="s">
        <v>450</v>
      </c>
      <c r="AB168" s="254" t="s">
        <v>450</v>
      </c>
      <c r="AC168" s="254" t="s">
        <v>450</v>
      </c>
      <c r="AD168" s="254" t="s">
        <v>450</v>
      </c>
      <c r="AG168" s="148"/>
      <c r="AH168" s="148"/>
      <c r="BC168" s="232"/>
    </row>
    <row r="169" spans="1:55" ht="15" x14ac:dyDescent="0.25">
      <c r="A169" s="675">
        <v>28</v>
      </c>
      <c r="B169" s="692">
        <v>2</v>
      </c>
      <c r="C169" s="693">
        <v>5</v>
      </c>
      <c r="D169" s="692">
        <v>1</v>
      </c>
      <c r="E169" s="677">
        <v>4</v>
      </c>
      <c r="F169" s="679" t="s">
        <v>899</v>
      </c>
      <c r="G169" s="679" t="s">
        <v>849</v>
      </c>
      <c r="H169" s="679" t="s">
        <v>861</v>
      </c>
      <c r="I169" s="679" t="s">
        <v>875</v>
      </c>
      <c r="J169" s="697" t="str">
        <f t="shared" si="0"/>
        <v>Stop</v>
      </c>
      <c r="K169" s="680">
        <f>'Standard Avalrem Table'!G26</f>
        <v>14.635038472325055</v>
      </c>
      <c r="L169" s="698">
        <f t="shared" si="1"/>
        <v>14.635038472325055</v>
      </c>
      <c r="M169" s="215"/>
      <c r="N169" s="215"/>
      <c r="O169" s="215"/>
      <c r="P169" s="215"/>
      <c r="Q169" s="215"/>
      <c r="R169" s="315"/>
      <c r="S169" s="214" t="s">
        <v>34</v>
      </c>
      <c r="T169" s="251"/>
      <c r="U169" s="252" t="str">
        <f>$AG$110</f>
        <v>Stop</v>
      </c>
      <c r="V169" s="253" t="s">
        <v>344</v>
      </c>
      <c r="W169" s="148"/>
      <c r="X169" s="280" t="s">
        <v>451</v>
      </c>
      <c r="Y169" s="279" t="s">
        <v>3</v>
      </c>
      <c r="Z169" s="254" t="s">
        <v>450</v>
      </c>
      <c r="AA169" s="254" t="s">
        <v>450</v>
      </c>
      <c r="AB169" s="254" t="s">
        <v>450</v>
      </c>
      <c r="AC169" s="254" t="s">
        <v>450</v>
      </c>
      <c r="AD169" s="254" t="s">
        <v>450</v>
      </c>
      <c r="AG169" s="148"/>
      <c r="AH169" s="148"/>
      <c r="BC169" s="232"/>
    </row>
    <row r="170" spans="1:55" ht="15" x14ac:dyDescent="0.25">
      <c r="A170" s="675">
        <v>29</v>
      </c>
      <c r="B170" s="692">
        <v>3</v>
      </c>
      <c r="C170" s="693">
        <v>5</v>
      </c>
      <c r="D170" s="692">
        <v>1</v>
      </c>
      <c r="E170" s="677">
        <v>5</v>
      </c>
      <c r="F170" s="679" t="s">
        <v>899</v>
      </c>
      <c r="G170" s="679" t="s">
        <v>850</v>
      </c>
      <c r="H170" s="679" t="s">
        <v>862</v>
      </c>
      <c r="I170" s="679" t="s">
        <v>877</v>
      </c>
      <c r="J170" s="697" t="str">
        <f t="shared" si="0"/>
        <v>Force</v>
      </c>
      <c r="K170" s="680">
        <f>'Standard Avalrem Table'!G27</f>
        <v>14.739004328364159</v>
      </c>
      <c r="L170" s="698">
        <f t="shared" si="1"/>
        <v>14.739004328364159</v>
      </c>
      <c r="M170" s="215"/>
      <c r="N170" s="215"/>
      <c r="O170" s="215"/>
      <c r="P170" s="215"/>
      <c r="Q170" s="215"/>
      <c r="R170" s="315"/>
      <c r="S170" s="214" t="s">
        <v>34</v>
      </c>
      <c r="T170" s="251"/>
      <c r="U170" s="252" t="str">
        <f>$AG$111</f>
        <v>Force</v>
      </c>
      <c r="V170" s="253" t="s">
        <v>344</v>
      </c>
      <c r="W170" s="148"/>
      <c r="X170" s="280" t="s">
        <v>452</v>
      </c>
      <c r="Y170" s="279" t="s">
        <v>14</v>
      </c>
      <c r="Z170" s="254" t="s">
        <v>450</v>
      </c>
      <c r="AA170" s="254" t="s">
        <v>450</v>
      </c>
      <c r="AB170" s="254" t="s">
        <v>450</v>
      </c>
      <c r="AC170" s="254" t="s">
        <v>450</v>
      </c>
      <c r="AD170" s="254" t="s">
        <v>450</v>
      </c>
      <c r="AG170" s="148"/>
      <c r="AH170" s="148"/>
      <c r="BC170" s="232"/>
    </row>
    <row r="171" spans="1:55" ht="15" x14ac:dyDescent="0.25">
      <c r="A171" s="675">
        <v>30</v>
      </c>
      <c r="B171" s="692">
        <v>3</v>
      </c>
      <c r="C171" s="693">
        <v>5</v>
      </c>
      <c r="D171" s="692">
        <v>2</v>
      </c>
      <c r="E171" s="677">
        <v>6</v>
      </c>
      <c r="F171" s="679" t="s">
        <v>899</v>
      </c>
      <c r="G171" s="679" t="s">
        <v>850</v>
      </c>
      <c r="H171" s="679" t="s">
        <v>862</v>
      </c>
      <c r="I171" s="679" t="s">
        <v>878</v>
      </c>
      <c r="J171" s="697" t="str">
        <f t="shared" si="0"/>
        <v>Push</v>
      </c>
      <c r="K171" s="680">
        <f>'Standard Avalrem Table'!G42</f>
        <v>30.624959005536269</v>
      </c>
      <c r="L171" s="698">
        <f t="shared" si="1"/>
        <v>30.624959005536269</v>
      </c>
      <c r="M171" s="215"/>
      <c r="N171" s="215"/>
      <c r="O171" s="215"/>
      <c r="P171" s="215"/>
      <c r="Q171" s="215"/>
      <c r="R171" s="315"/>
      <c r="S171" s="214" t="s">
        <v>34</v>
      </c>
      <c r="T171" s="251"/>
      <c r="U171" s="252" t="str">
        <f>$AI$111</f>
        <v>Push</v>
      </c>
      <c r="V171" s="253" t="s">
        <v>344</v>
      </c>
      <c r="W171" s="148"/>
      <c r="X171" s="280" t="s">
        <v>453</v>
      </c>
      <c r="Y171" s="279" t="s">
        <v>8</v>
      </c>
      <c r="Z171" s="254" t="s">
        <v>450</v>
      </c>
      <c r="AA171" s="254" t="s">
        <v>450</v>
      </c>
      <c r="AB171" s="254" t="s">
        <v>450</v>
      </c>
      <c r="AC171" s="254" t="s">
        <v>450</v>
      </c>
      <c r="AD171" s="254" t="s">
        <v>450</v>
      </c>
      <c r="AG171" s="148"/>
      <c r="AH171" s="148"/>
      <c r="BC171" s="232"/>
    </row>
    <row r="172" spans="1:55" ht="15.75" thickBot="1" x14ac:dyDescent="0.3">
      <c r="A172" s="675">
        <v>31</v>
      </c>
      <c r="B172" s="692">
        <v>4</v>
      </c>
      <c r="C172" s="693">
        <v>5</v>
      </c>
      <c r="D172" s="692">
        <v>1</v>
      </c>
      <c r="E172" s="677">
        <v>7</v>
      </c>
      <c r="F172" s="679" t="s">
        <v>899</v>
      </c>
      <c r="G172" s="679" t="s">
        <v>851</v>
      </c>
      <c r="H172" s="679" t="s">
        <v>863</v>
      </c>
      <c r="I172" s="679" t="s">
        <v>879</v>
      </c>
      <c r="J172" s="697" t="str">
        <f t="shared" si="0"/>
        <v>Examine</v>
      </c>
      <c r="K172" s="680">
        <f>'Standard Avalrem Table'!G28</f>
        <v>15.412479969880289</v>
      </c>
      <c r="L172" s="698">
        <f t="shared" si="1"/>
        <v>15.412479969880289</v>
      </c>
      <c r="M172" s="215"/>
      <c r="N172" s="215"/>
      <c r="O172" s="215"/>
      <c r="P172" s="215"/>
      <c r="Q172" s="215"/>
      <c r="R172" s="315"/>
      <c r="S172" s="214" t="s">
        <v>34</v>
      </c>
      <c r="T172" s="251"/>
      <c r="U172" s="252" t="str">
        <f>$AG$112</f>
        <v>Examine</v>
      </c>
      <c r="V172" s="253" t="s">
        <v>344</v>
      </c>
      <c r="W172" s="148">
        <f>25</f>
        <v>25</v>
      </c>
      <c r="X172" s="281" t="s">
        <v>454</v>
      </c>
      <c r="Y172" s="279" t="s">
        <v>3</v>
      </c>
      <c r="Z172" s="254" t="s">
        <v>450</v>
      </c>
      <c r="AA172" s="254" t="s">
        <v>450</v>
      </c>
      <c r="AB172" s="254" t="s">
        <v>450</v>
      </c>
      <c r="AC172" s="254" t="s">
        <v>450</v>
      </c>
      <c r="AD172" s="254" t="s">
        <v>450</v>
      </c>
      <c r="AG172" s="148"/>
      <c r="AH172" s="148"/>
      <c r="BC172" s="232"/>
    </row>
    <row r="173" spans="1:55" ht="15" x14ac:dyDescent="0.25">
      <c r="A173" s="675">
        <v>32</v>
      </c>
      <c r="B173" s="692">
        <v>4</v>
      </c>
      <c r="C173" s="693">
        <v>5</v>
      </c>
      <c r="D173" s="692">
        <v>2</v>
      </c>
      <c r="E173" s="677">
        <v>8</v>
      </c>
      <c r="F173" s="679" t="s">
        <v>899</v>
      </c>
      <c r="G173" s="679" t="s">
        <v>851</v>
      </c>
      <c r="H173" s="679" t="s">
        <v>863</v>
      </c>
      <c r="I173" s="679" t="s">
        <v>880</v>
      </c>
      <c r="J173" s="697" t="str">
        <f t="shared" si="0"/>
        <v>Research</v>
      </c>
      <c r="K173" s="680">
        <f>'Standard Avalrem Table'!G43</f>
        <v>30.624959005536269</v>
      </c>
      <c r="L173" s="698">
        <f t="shared" si="1"/>
        <v>30.624959005536269</v>
      </c>
      <c r="M173" s="215"/>
      <c r="N173" s="215"/>
      <c r="O173" s="215"/>
      <c r="P173" s="215"/>
      <c r="Q173" s="215"/>
      <c r="R173" s="315"/>
      <c r="S173" s="214" t="s">
        <v>34</v>
      </c>
      <c r="T173" s="251"/>
      <c r="U173" s="252" t="str">
        <f>$AI$112</f>
        <v>Research</v>
      </c>
      <c r="V173" s="253" t="s">
        <v>344</v>
      </c>
      <c r="W173" s="148"/>
      <c r="AG173" s="148"/>
      <c r="AH173" s="148"/>
      <c r="BC173" s="232"/>
    </row>
    <row r="174" spans="1:55" ht="15" x14ac:dyDescent="0.25">
      <c r="A174" s="675">
        <v>33</v>
      </c>
      <c r="B174" s="692">
        <v>5</v>
      </c>
      <c r="C174" s="693">
        <v>5</v>
      </c>
      <c r="D174" s="692">
        <v>2</v>
      </c>
      <c r="E174" s="677">
        <v>9</v>
      </c>
      <c r="F174" s="679" t="s">
        <v>899</v>
      </c>
      <c r="G174" s="679" t="s">
        <v>852</v>
      </c>
      <c r="H174" s="679" t="s">
        <v>864</v>
      </c>
      <c r="I174" s="679" t="s">
        <v>881</v>
      </c>
      <c r="J174" s="697" t="str">
        <f t="shared" si="0"/>
        <v>Discover</v>
      </c>
      <c r="K174" s="680">
        <f>'Standard Avalrem Table'!G44</f>
        <v>29.303635221686054</v>
      </c>
      <c r="L174" s="698">
        <f t="shared" si="1"/>
        <v>29.303635221686054</v>
      </c>
      <c r="M174" s="215"/>
      <c r="N174" s="215"/>
      <c r="O174" s="215"/>
      <c r="P174" s="215"/>
      <c r="Q174" s="215"/>
      <c r="R174" s="315"/>
      <c r="S174" s="214" t="s">
        <v>34</v>
      </c>
      <c r="T174" s="251"/>
      <c r="U174" s="252" t="str">
        <f>$AI$113</f>
        <v>Discover</v>
      </c>
      <c r="V174" s="253" t="s">
        <v>344</v>
      </c>
      <c r="W174" s="148"/>
      <c r="AG174" s="148"/>
      <c r="AH174" s="148"/>
      <c r="BC174" s="232"/>
    </row>
    <row r="175" spans="1:55" ht="15" x14ac:dyDescent="0.25">
      <c r="A175" s="675">
        <v>34</v>
      </c>
      <c r="B175" s="692">
        <v>5</v>
      </c>
      <c r="C175" s="693">
        <v>5</v>
      </c>
      <c r="D175" s="692">
        <v>1</v>
      </c>
      <c r="E175" s="677">
        <v>10</v>
      </c>
      <c r="F175" s="679" t="s">
        <v>899</v>
      </c>
      <c r="G175" s="679" t="s">
        <v>852</v>
      </c>
      <c r="H175" s="679" t="s">
        <v>864</v>
      </c>
      <c r="I175" s="679" t="s">
        <v>882</v>
      </c>
      <c r="J175" s="697" t="str">
        <f t="shared" si="0"/>
        <v>Search</v>
      </c>
      <c r="K175" s="680">
        <f>'Standard Avalrem Table'!G29</f>
        <v>12.84520892174371</v>
      </c>
      <c r="L175" s="698">
        <f t="shared" si="1"/>
        <v>12.84520892174371</v>
      </c>
      <c r="M175" s="215"/>
      <c r="N175" s="215"/>
      <c r="O175" s="215"/>
      <c r="P175" s="215"/>
      <c r="Q175" s="215"/>
      <c r="R175" s="315"/>
      <c r="S175" s="214" t="s">
        <v>34</v>
      </c>
      <c r="T175" s="251"/>
      <c r="U175" s="252" t="str">
        <f>$AG$113</f>
        <v>Search</v>
      </c>
      <c r="V175" s="253" t="s">
        <v>344</v>
      </c>
      <c r="AG175" s="148"/>
      <c r="AH175" s="148"/>
      <c r="BC175" s="232"/>
    </row>
    <row r="176" spans="1:55" ht="15" x14ac:dyDescent="0.25">
      <c r="A176" s="675">
        <v>35</v>
      </c>
      <c r="B176" s="692">
        <v>6</v>
      </c>
      <c r="C176" s="693">
        <v>5</v>
      </c>
      <c r="D176" s="692">
        <v>1</v>
      </c>
      <c r="E176" s="677">
        <v>11</v>
      </c>
      <c r="F176" s="679" t="s">
        <v>899</v>
      </c>
      <c r="G176" s="679" t="s">
        <v>853</v>
      </c>
      <c r="H176" s="679" t="s">
        <v>865</v>
      </c>
      <c r="I176" s="679" t="s">
        <v>883</v>
      </c>
      <c r="J176" s="697" t="str">
        <f t="shared" si="0"/>
        <v>Decide</v>
      </c>
      <c r="K176" s="680">
        <f>'Standard Avalrem Table'!G30</f>
        <v>12.741243065704607</v>
      </c>
      <c r="L176" s="698">
        <f t="shared" si="1"/>
        <v>12.741243065704607</v>
      </c>
      <c r="M176" s="215"/>
      <c r="N176" s="215"/>
      <c r="O176" s="215"/>
      <c r="P176" s="215"/>
      <c r="Q176" s="215"/>
      <c r="R176" s="315"/>
      <c r="S176" s="214" t="s">
        <v>34</v>
      </c>
      <c r="T176" s="251"/>
      <c r="U176" s="252" t="str">
        <f>$AG$114</f>
        <v>Decide</v>
      </c>
      <c r="V176" s="253" t="s">
        <v>344</v>
      </c>
      <c r="AG176" s="148"/>
      <c r="AH176" s="148"/>
      <c r="BC176" s="232"/>
    </row>
    <row r="177" spans="1:55" ht="15" x14ac:dyDescent="0.25">
      <c r="A177" s="675">
        <v>36</v>
      </c>
      <c r="B177" s="692">
        <v>6</v>
      </c>
      <c r="C177" s="693">
        <v>5</v>
      </c>
      <c r="D177" s="692">
        <v>2</v>
      </c>
      <c r="E177" s="677">
        <v>12</v>
      </c>
      <c r="F177" s="679" t="s">
        <v>899</v>
      </c>
      <c r="G177" s="679" t="s">
        <v>853</v>
      </c>
      <c r="H177" s="679" t="s">
        <v>865</v>
      </c>
      <c r="I177" s="679" t="s">
        <v>884</v>
      </c>
      <c r="J177" s="697" t="str">
        <f t="shared" si="0"/>
        <v>Determine</v>
      </c>
      <c r="K177" s="680">
        <f>'Standard Avalrem Table'!G45</f>
        <v>27.982311437835833</v>
      </c>
      <c r="L177" s="698">
        <f t="shared" si="1"/>
        <v>27.982311437835833</v>
      </c>
      <c r="M177" s="215"/>
      <c r="N177" s="215"/>
      <c r="O177" s="215"/>
      <c r="P177" s="215"/>
      <c r="Q177" s="215"/>
      <c r="R177" s="315"/>
      <c r="S177" s="214" t="s">
        <v>34</v>
      </c>
      <c r="T177" s="251"/>
      <c r="U177" s="252" t="str">
        <f>$AI$114</f>
        <v>Determine</v>
      </c>
      <c r="V177" s="253" t="s">
        <v>344</v>
      </c>
      <c r="AG177" s="148"/>
      <c r="AH177" s="148"/>
      <c r="BC177" s="232"/>
    </row>
    <row r="178" spans="1:55" ht="15" x14ac:dyDescent="0.25">
      <c r="A178" s="675">
        <v>37</v>
      </c>
      <c r="B178" s="692">
        <v>7</v>
      </c>
      <c r="C178" s="693">
        <v>5</v>
      </c>
      <c r="D178" s="692">
        <v>1</v>
      </c>
      <c r="E178" s="677">
        <v>13</v>
      </c>
      <c r="F178" s="679" t="s">
        <v>899</v>
      </c>
      <c r="G178" s="679" t="s">
        <v>854</v>
      </c>
      <c r="H178" s="679" t="s">
        <v>866</v>
      </c>
      <c r="I178" s="679" t="s">
        <v>885</v>
      </c>
      <c r="J178" s="697" t="str">
        <f t="shared" si="0"/>
        <v>Encourage</v>
      </c>
      <c r="K178" s="680">
        <f>'Standard Avalrem Table'!G31</f>
        <v>12.067767424188476</v>
      </c>
      <c r="L178" s="698">
        <f t="shared" si="1"/>
        <v>12.067767424188476</v>
      </c>
      <c r="M178" s="215"/>
      <c r="N178" s="215"/>
      <c r="O178" s="215"/>
      <c r="P178" s="215"/>
      <c r="Q178" s="215"/>
      <c r="R178" s="315"/>
      <c r="S178" s="214" t="s">
        <v>34</v>
      </c>
      <c r="T178" s="251"/>
      <c r="U178" s="252" t="str">
        <f>$AG$115</f>
        <v>Encourage</v>
      </c>
      <c r="V178" s="253" t="s">
        <v>344</v>
      </c>
      <c r="AG178" s="148"/>
      <c r="AH178" s="148"/>
      <c r="BC178" s="232"/>
    </row>
    <row r="179" spans="1:55" ht="15" x14ac:dyDescent="0.25">
      <c r="A179" s="675">
        <v>38</v>
      </c>
      <c r="B179" s="692">
        <v>7</v>
      </c>
      <c r="C179" s="693">
        <v>5</v>
      </c>
      <c r="D179" s="692">
        <v>2</v>
      </c>
      <c r="E179" s="677">
        <v>14</v>
      </c>
      <c r="F179" s="679" t="s">
        <v>899</v>
      </c>
      <c r="G179" s="679" t="s">
        <v>854</v>
      </c>
      <c r="H179" s="679" t="s">
        <v>866</v>
      </c>
      <c r="I179" s="679" t="s">
        <v>886</v>
      </c>
      <c r="J179" s="697" t="str">
        <f t="shared" si="0"/>
        <v>Promote</v>
      </c>
      <c r="K179" s="680">
        <f>'Standard Avalrem Table'!G46</f>
        <v>27.982311437835833</v>
      </c>
      <c r="L179" s="698">
        <f t="shared" si="1"/>
        <v>27.982311437835833</v>
      </c>
      <c r="M179" s="215"/>
      <c r="N179" s="215"/>
      <c r="O179" s="215"/>
      <c r="P179" s="215"/>
      <c r="Q179" s="215"/>
      <c r="R179" s="315"/>
      <c r="S179" s="214" t="s">
        <v>34</v>
      </c>
      <c r="T179" s="251"/>
      <c r="U179" s="252" t="str">
        <f>$AI$115</f>
        <v>Promote</v>
      </c>
      <c r="V179" s="253" t="s">
        <v>344</v>
      </c>
      <c r="AG179" s="148"/>
      <c r="AH179" s="148"/>
      <c r="BC179" s="232"/>
    </row>
    <row r="180" spans="1:55" ht="15" x14ac:dyDescent="0.25">
      <c r="A180" s="675">
        <v>39</v>
      </c>
      <c r="B180" s="692">
        <v>8</v>
      </c>
      <c r="C180" s="693">
        <v>5</v>
      </c>
      <c r="D180" s="692">
        <v>1</v>
      </c>
      <c r="E180" s="677">
        <v>15</v>
      </c>
      <c r="F180" s="679" t="s">
        <v>899</v>
      </c>
      <c r="G180" s="679" t="s">
        <v>855</v>
      </c>
      <c r="H180" s="679" t="s">
        <v>867</v>
      </c>
      <c r="I180" s="679" t="s">
        <v>887</v>
      </c>
      <c r="J180" s="697" t="str">
        <f t="shared" si="0"/>
        <v>Abandon</v>
      </c>
      <c r="K180" s="680">
        <f>'Standard Avalrem Table'!G32</f>
        <v>14.635038472325055</v>
      </c>
      <c r="L180" s="698">
        <f t="shared" si="1"/>
        <v>14.635038472325055</v>
      </c>
      <c r="M180" s="215"/>
      <c r="N180" s="215"/>
      <c r="O180" s="215"/>
      <c r="P180" s="215"/>
      <c r="Q180" s="215"/>
      <c r="R180" s="315"/>
      <c r="S180" s="214" t="s">
        <v>34</v>
      </c>
      <c r="T180" s="251"/>
      <c r="U180" s="252" t="str">
        <f>$AG$116</f>
        <v>Abandon</v>
      </c>
      <c r="V180" s="253" t="s">
        <v>344</v>
      </c>
      <c r="AG180" s="148"/>
      <c r="AH180" s="148"/>
      <c r="BC180" s="232"/>
    </row>
    <row r="181" spans="1:55" ht="15" x14ac:dyDescent="0.25">
      <c r="A181" s="675">
        <v>40</v>
      </c>
      <c r="B181" s="692">
        <v>8</v>
      </c>
      <c r="C181" s="693">
        <v>5</v>
      </c>
      <c r="D181" s="692">
        <v>2</v>
      </c>
      <c r="E181" s="677">
        <v>16</v>
      </c>
      <c r="F181" s="679" t="s">
        <v>899</v>
      </c>
      <c r="G181" s="679" t="s">
        <v>855</v>
      </c>
      <c r="H181" s="679" t="s">
        <v>867</v>
      </c>
      <c r="I181" s="679" t="s">
        <v>888</v>
      </c>
      <c r="J181" s="697" t="str">
        <f t="shared" si="0"/>
        <v>Clean</v>
      </c>
      <c r="K181" s="680">
        <f>'Standard Avalrem Table'!G47</f>
        <v>29.303635221686054</v>
      </c>
      <c r="L181" s="698">
        <f t="shared" si="1"/>
        <v>29.303635221686054</v>
      </c>
      <c r="M181" s="215"/>
      <c r="N181" s="215"/>
      <c r="O181" s="215"/>
      <c r="P181" s="215"/>
      <c r="Q181" s="215"/>
      <c r="R181" s="315"/>
      <c r="S181" s="214" t="s">
        <v>34</v>
      </c>
      <c r="T181" s="251"/>
      <c r="U181" s="252" t="str">
        <f>$AI$116</f>
        <v>Clean</v>
      </c>
      <c r="V181" s="253" t="s">
        <v>344</v>
      </c>
      <c r="AG181" s="148"/>
      <c r="AH181" s="148"/>
      <c r="BC181" s="232"/>
    </row>
    <row r="182" spans="1:55" ht="15" x14ac:dyDescent="0.25">
      <c r="A182" s="675">
        <v>41</v>
      </c>
      <c r="B182" s="692">
        <v>9</v>
      </c>
      <c r="C182" s="693">
        <v>5</v>
      </c>
      <c r="D182" s="692">
        <v>1</v>
      </c>
      <c r="E182" s="677">
        <v>17</v>
      </c>
      <c r="F182" s="679" t="s">
        <v>899</v>
      </c>
      <c r="G182" s="679" t="s">
        <v>856</v>
      </c>
      <c r="H182" s="679" t="s">
        <v>868</v>
      </c>
      <c r="I182" s="679" t="s">
        <v>889</v>
      </c>
      <c r="J182" s="697" t="str">
        <f t="shared" si="0"/>
        <v>Report</v>
      </c>
      <c r="K182" s="680">
        <f>'Standard Avalrem Table'!G33</f>
        <v>14.739004328364159</v>
      </c>
      <c r="L182" s="698">
        <f t="shared" si="1"/>
        <v>14.739004328364159</v>
      </c>
      <c r="M182" s="215"/>
      <c r="N182" s="215"/>
      <c r="O182" s="215"/>
      <c r="P182" s="215"/>
      <c r="Q182" s="215"/>
      <c r="R182" s="315"/>
      <c r="S182" s="214" t="s">
        <v>34</v>
      </c>
      <c r="T182" s="251"/>
      <c r="U182" s="252" t="str">
        <f>$AG$117</f>
        <v>Report</v>
      </c>
      <c r="V182" s="253" t="s">
        <v>344</v>
      </c>
      <c r="AG182" s="148"/>
      <c r="AH182" s="148"/>
      <c r="BC182" s="232"/>
    </row>
    <row r="183" spans="1:55" ht="15" x14ac:dyDescent="0.25">
      <c r="A183" s="675">
        <v>42</v>
      </c>
      <c r="B183" s="692">
        <v>9</v>
      </c>
      <c r="C183" s="693">
        <v>5</v>
      </c>
      <c r="D183" s="692">
        <v>2</v>
      </c>
      <c r="E183" s="677">
        <v>18</v>
      </c>
      <c r="F183" s="679" t="s">
        <v>899</v>
      </c>
      <c r="G183" s="679" t="s">
        <v>856</v>
      </c>
      <c r="H183" s="679" t="s">
        <v>868</v>
      </c>
      <c r="I183" s="679" t="s">
        <v>890</v>
      </c>
      <c r="J183" s="697" t="str">
        <f t="shared" si="0"/>
        <v>Suggest</v>
      </c>
      <c r="K183" s="680">
        <f>'Standard Avalrem Table'!G48</f>
        <v>30.624959005536269</v>
      </c>
      <c r="L183" s="698">
        <f t="shared" si="1"/>
        <v>30.624959005536269</v>
      </c>
      <c r="M183" s="215"/>
      <c r="N183" s="215"/>
      <c r="O183" s="215"/>
      <c r="P183" s="215"/>
      <c r="Q183" s="215"/>
      <c r="R183" s="315"/>
      <c r="S183" s="214" t="s">
        <v>34</v>
      </c>
      <c r="T183" s="251"/>
      <c r="U183" s="252" t="str">
        <f>$AI$117</f>
        <v>Suggest</v>
      </c>
      <c r="V183" s="253" t="s">
        <v>344</v>
      </c>
      <c r="AG183" s="148"/>
      <c r="AH183" s="148"/>
      <c r="BC183" s="232"/>
    </row>
    <row r="184" spans="1:55" ht="15" x14ac:dyDescent="0.25">
      <c r="A184" s="675">
        <v>43</v>
      </c>
      <c r="B184" s="692">
        <v>10</v>
      </c>
      <c r="C184" s="693">
        <v>5</v>
      </c>
      <c r="D184" s="692">
        <v>1</v>
      </c>
      <c r="E184" s="677">
        <v>19</v>
      </c>
      <c r="F184" s="679" t="s">
        <v>899</v>
      </c>
      <c r="G184" s="679" t="s">
        <v>857</v>
      </c>
      <c r="H184" s="679" t="s">
        <v>869</v>
      </c>
      <c r="I184" s="679" t="s">
        <v>891</v>
      </c>
      <c r="J184" s="697" t="str">
        <f t="shared" si="0"/>
        <v>Explore</v>
      </c>
      <c r="K184" s="680">
        <f>'Standard Avalrem Table'!G34</f>
        <v>15.412479969880289</v>
      </c>
      <c r="L184" s="698">
        <f t="shared" si="1"/>
        <v>15.412479969880289</v>
      </c>
      <c r="M184" s="215"/>
      <c r="N184" s="215"/>
      <c r="O184" s="215"/>
      <c r="P184" s="215"/>
      <c r="Q184" s="215"/>
      <c r="R184" s="315"/>
      <c r="S184" s="214" t="s">
        <v>34</v>
      </c>
      <c r="T184" s="251"/>
      <c r="U184" s="252" t="str">
        <f>$AG$118</f>
        <v>Explore</v>
      </c>
      <c r="V184" s="253" t="s">
        <v>344</v>
      </c>
      <c r="AG184" s="148"/>
      <c r="AH184" s="148"/>
      <c r="BC184" s="232"/>
    </row>
    <row r="185" spans="1:55" ht="15" x14ac:dyDescent="0.25">
      <c r="A185" s="675">
        <v>44</v>
      </c>
      <c r="B185" s="692">
        <v>10</v>
      </c>
      <c r="C185" s="693">
        <v>5</v>
      </c>
      <c r="D185" s="692">
        <v>2</v>
      </c>
      <c r="E185" s="677">
        <v>20</v>
      </c>
      <c r="F185" s="679" t="s">
        <v>899</v>
      </c>
      <c r="G185" s="679" t="s">
        <v>857</v>
      </c>
      <c r="H185" s="679" t="s">
        <v>869</v>
      </c>
      <c r="I185" s="679" t="s">
        <v>892</v>
      </c>
      <c r="J185" s="697" t="str">
        <f t="shared" si="0"/>
        <v>Uncover</v>
      </c>
      <c r="K185" s="680">
        <f>'Standard Avalrem Table'!G49</f>
        <v>30.624959005536269</v>
      </c>
      <c r="L185" s="698">
        <f t="shared" si="1"/>
        <v>30.624959005536269</v>
      </c>
      <c r="M185" s="215"/>
      <c r="N185" s="215"/>
      <c r="O185" s="215"/>
      <c r="P185" s="215"/>
      <c r="Q185" s="215"/>
      <c r="R185" s="315"/>
      <c r="S185" s="214" t="s">
        <v>34</v>
      </c>
      <c r="T185" s="251"/>
      <c r="U185" s="252" t="str">
        <f>$AI$118</f>
        <v>Uncover</v>
      </c>
      <c r="V185" s="253" t="s">
        <v>344</v>
      </c>
      <c r="AG185" s="148"/>
      <c r="AH185" s="148"/>
      <c r="BC185" s="232"/>
    </row>
    <row r="186" spans="1:55" ht="15" x14ac:dyDescent="0.25">
      <c r="A186" s="675">
        <v>45</v>
      </c>
      <c r="B186" s="692">
        <v>11</v>
      </c>
      <c r="C186" s="693">
        <v>5</v>
      </c>
      <c r="D186" s="692">
        <v>1</v>
      </c>
      <c r="E186" s="677">
        <v>21</v>
      </c>
      <c r="F186" s="679" t="s">
        <v>899</v>
      </c>
      <c r="G186" s="679" t="s">
        <v>858</v>
      </c>
      <c r="H186" s="679" t="s">
        <v>870</v>
      </c>
      <c r="I186" s="679" t="s">
        <v>893</v>
      </c>
      <c r="J186" s="697" t="str">
        <f t="shared" si="0"/>
        <v>Involve</v>
      </c>
      <c r="K186" s="680">
        <f>'Standard Avalrem Table'!G35</f>
        <v>12.84520892174371</v>
      </c>
      <c r="L186" s="698">
        <f t="shared" si="1"/>
        <v>12.84520892174371</v>
      </c>
      <c r="M186" s="215"/>
      <c r="N186" s="215"/>
      <c r="O186" s="215"/>
      <c r="P186" s="215"/>
      <c r="Q186" s="215"/>
      <c r="R186" s="315"/>
      <c r="S186" s="214" t="s">
        <v>34</v>
      </c>
      <c r="T186" s="251"/>
      <c r="U186" s="252" t="str">
        <f>$AG$119</f>
        <v>Involve</v>
      </c>
      <c r="V186" s="253" t="s">
        <v>344</v>
      </c>
      <c r="AG186" s="148"/>
      <c r="AH186" s="148"/>
      <c r="BC186" s="232"/>
    </row>
    <row r="187" spans="1:55" ht="15" x14ac:dyDescent="0.25">
      <c r="A187" s="675">
        <v>46</v>
      </c>
      <c r="B187" s="692">
        <v>11</v>
      </c>
      <c r="C187" s="693">
        <v>5</v>
      </c>
      <c r="D187" s="692">
        <v>2</v>
      </c>
      <c r="E187" s="677">
        <v>22</v>
      </c>
      <c r="F187" s="679" t="s">
        <v>899</v>
      </c>
      <c r="G187" s="679" t="s">
        <v>858</v>
      </c>
      <c r="H187" s="679" t="s">
        <v>870</v>
      </c>
      <c r="I187" s="679" t="s">
        <v>894</v>
      </c>
      <c r="J187" s="697" t="str">
        <f t="shared" si="0"/>
        <v>Teach</v>
      </c>
      <c r="K187" s="680">
        <f>'Standard Avalrem Table'!G50</f>
        <v>29.303635221686054</v>
      </c>
      <c r="L187" s="698">
        <f t="shared" si="1"/>
        <v>29.303635221686054</v>
      </c>
      <c r="M187" s="215"/>
      <c r="N187" s="215"/>
      <c r="O187" s="215"/>
      <c r="P187" s="215"/>
      <c r="Q187" s="215"/>
      <c r="R187" s="315"/>
      <c r="S187" s="214" t="s">
        <v>34</v>
      </c>
      <c r="T187" s="251"/>
      <c r="U187" s="252" t="str">
        <f>$AI$119</f>
        <v>Teach</v>
      </c>
      <c r="V187" s="253" t="s">
        <v>344</v>
      </c>
      <c r="AG187" s="148"/>
      <c r="AH187" s="148"/>
      <c r="BC187" s="232"/>
    </row>
    <row r="188" spans="1:55" ht="15" x14ac:dyDescent="0.25">
      <c r="A188" s="675">
        <v>47</v>
      </c>
      <c r="B188" s="692">
        <v>12</v>
      </c>
      <c r="C188" s="693">
        <v>5</v>
      </c>
      <c r="D188" s="692">
        <v>2</v>
      </c>
      <c r="E188" s="677">
        <v>23</v>
      </c>
      <c r="F188" s="679" t="s">
        <v>899</v>
      </c>
      <c r="G188" s="679" t="s">
        <v>859</v>
      </c>
      <c r="H188" s="679" t="s">
        <v>871</v>
      </c>
      <c r="I188" s="679" t="s">
        <v>895</v>
      </c>
      <c r="J188" s="697" t="str">
        <f t="shared" si="0"/>
        <v>Execute</v>
      </c>
      <c r="K188" s="680">
        <f>'Standard Avalrem Table'!G51</f>
        <v>27.982311437835833</v>
      </c>
      <c r="L188" s="698">
        <f t="shared" si="1"/>
        <v>27.982311437835833</v>
      </c>
      <c r="M188" s="215"/>
      <c r="N188" s="215"/>
      <c r="O188" s="215"/>
      <c r="P188" s="215"/>
      <c r="Q188" s="215"/>
      <c r="R188" s="315"/>
      <c r="S188" s="214" t="s">
        <v>34</v>
      </c>
      <c r="T188" s="251"/>
      <c r="U188" s="252" t="str">
        <f>$AI$120</f>
        <v>Execute</v>
      </c>
      <c r="V188" s="253" t="s">
        <v>344</v>
      </c>
      <c r="AG188" s="148"/>
      <c r="AH188" s="148"/>
      <c r="BC188" s="232"/>
    </row>
    <row r="189" spans="1:55" ht="15.75" thickBot="1" x14ac:dyDescent="0.3">
      <c r="A189" s="675">
        <v>48</v>
      </c>
      <c r="B189" s="692">
        <v>12</v>
      </c>
      <c r="C189" s="693">
        <v>5</v>
      </c>
      <c r="D189" s="692">
        <v>1</v>
      </c>
      <c r="E189" s="682">
        <v>24</v>
      </c>
      <c r="F189" s="679" t="s">
        <v>899</v>
      </c>
      <c r="G189" s="679" t="s">
        <v>859</v>
      </c>
      <c r="H189" s="679" t="s">
        <v>871</v>
      </c>
      <c r="I189" s="679" t="s">
        <v>896</v>
      </c>
      <c r="J189" s="697" t="str">
        <f t="shared" si="0"/>
        <v>Implement</v>
      </c>
      <c r="K189" s="680">
        <f>'Standard Avalrem Table'!G36</f>
        <v>12.741243065704607</v>
      </c>
      <c r="L189" s="698">
        <f t="shared" si="1"/>
        <v>12.741243065704607</v>
      </c>
      <c r="M189" s="215"/>
      <c r="N189" s="215"/>
      <c r="O189" s="215"/>
      <c r="P189" s="215"/>
      <c r="Q189" s="215"/>
      <c r="R189" s="315"/>
      <c r="S189" s="214" t="s">
        <v>34</v>
      </c>
      <c r="T189" s="251"/>
      <c r="U189" s="252" t="str">
        <f>$AG$120</f>
        <v>Implement</v>
      </c>
      <c r="V189" s="253" t="s">
        <v>344</v>
      </c>
      <c r="AG189" s="148"/>
      <c r="AH189" s="148"/>
      <c r="BC189" s="232"/>
    </row>
    <row r="190" spans="1:55" ht="45.75" hidden="1" thickBot="1" x14ac:dyDescent="0.3">
      <c r="A190" s="675"/>
      <c r="B190" s="692"/>
      <c r="C190" s="693"/>
      <c r="D190" s="692"/>
      <c r="E190" s="687" t="s">
        <v>1047</v>
      </c>
      <c r="F190" s="688" t="s">
        <v>897</v>
      </c>
      <c r="G190" s="699" t="s">
        <v>820</v>
      </c>
      <c r="H190" s="688" t="s">
        <v>820</v>
      </c>
      <c r="I190" s="690" t="s">
        <v>824</v>
      </c>
      <c r="J190" s="690" t="s">
        <v>825</v>
      </c>
      <c r="K190" s="690" t="s">
        <v>821</v>
      </c>
      <c r="L190" s="691" t="s">
        <v>876</v>
      </c>
      <c r="M190" s="215"/>
      <c r="N190" s="215"/>
      <c r="O190" s="215"/>
      <c r="P190" s="215"/>
      <c r="Q190" s="215"/>
      <c r="R190" s="315"/>
      <c r="S190" s="214"/>
      <c r="T190" s="251"/>
      <c r="U190" s="252"/>
      <c r="V190" s="253"/>
      <c r="AG190" s="148"/>
      <c r="AH190" s="148"/>
      <c r="BC190" s="232"/>
    </row>
    <row r="191" spans="1:55" ht="15" x14ac:dyDescent="0.25">
      <c r="A191" s="675">
        <v>49</v>
      </c>
      <c r="B191" s="700">
        <v>1</v>
      </c>
      <c r="C191" s="701">
        <v>4</v>
      </c>
      <c r="D191" s="700">
        <v>1</v>
      </c>
      <c r="E191" s="670">
        <v>1</v>
      </c>
      <c r="F191" s="679" t="s">
        <v>900</v>
      </c>
      <c r="G191" s="679" t="s">
        <v>901</v>
      </c>
      <c r="H191" s="672" t="s">
        <v>913</v>
      </c>
      <c r="I191" s="672" t="s">
        <v>925</v>
      </c>
      <c r="J191" s="695" t="str">
        <f t="shared" si="0"/>
        <v>Approve</v>
      </c>
      <c r="K191" s="702">
        <f>'Standard Avalrem Table'!F25</f>
        <v>12.628678446683899</v>
      </c>
      <c r="L191" s="696">
        <f t="shared" si="1"/>
        <v>12.628678446683899</v>
      </c>
      <c r="M191" s="304"/>
      <c r="N191" s="304"/>
      <c r="O191" s="304"/>
      <c r="P191" s="304"/>
      <c r="Q191" s="304"/>
      <c r="R191" s="314"/>
      <c r="S191" s="237" t="s">
        <v>33</v>
      </c>
      <c r="T191" s="269"/>
      <c r="U191" s="270" t="str">
        <f>$W$109</f>
        <v>Approve</v>
      </c>
      <c r="V191" s="271" t="s">
        <v>379</v>
      </c>
      <c r="AG191" s="148"/>
      <c r="AH191" s="148"/>
      <c r="BC191" s="232"/>
    </row>
    <row r="192" spans="1:55" ht="15" x14ac:dyDescent="0.25">
      <c r="A192" s="675">
        <v>50</v>
      </c>
      <c r="B192" s="700">
        <v>1</v>
      </c>
      <c r="C192" s="701">
        <v>4</v>
      </c>
      <c r="D192" s="700">
        <v>2</v>
      </c>
      <c r="E192" s="677">
        <v>2</v>
      </c>
      <c r="F192" s="679" t="s">
        <v>900</v>
      </c>
      <c r="G192" s="679" t="s">
        <v>901</v>
      </c>
      <c r="H192" s="679" t="s">
        <v>913</v>
      </c>
      <c r="I192" s="679" t="s">
        <v>926</v>
      </c>
      <c r="J192" s="697" t="str">
        <f t="shared" si="0"/>
        <v>Manage</v>
      </c>
      <c r="K192" s="703">
        <f>'Standard Avalrem Table'!F40</f>
        <v>28.291147000712453</v>
      </c>
      <c r="L192" s="698">
        <f t="shared" si="1"/>
        <v>28.291147000712453</v>
      </c>
      <c r="M192" s="304"/>
      <c r="N192" s="304"/>
      <c r="O192" s="304"/>
      <c r="P192" s="304"/>
      <c r="Q192" s="304"/>
      <c r="R192" s="314"/>
      <c r="S192" s="237" t="s">
        <v>33</v>
      </c>
      <c r="T192" s="269"/>
      <c r="U192" s="270" t="str">
        <f>$Y$109</f>
        <v>Manage</v>
      </c>
      <c r="V192" s="271" t="s">
        <v>379</v>
      </c>
      <c r="AG192" s="148"/>
      <c r="AH192" s="148"/>
      <c r="BC192" s="232"/>
    </row>
    <row r="193" spans="1:55" ht="15" x14ac:dyDescent="0.25">
      <c r="A193" s="675">
        <v>51</v>
      </c>
      <c r="B193" s="700">
        <v>2</v>
      </c>
      <c r="C193" s="701">
        <v>4</v>
      </c>
      <c r="D193" s="700">
        <v>1</v>
      </c>
      <c r="E193" s="677">
        <v>3</v>
      </c>
      <c r="F193" s="679" t="s">
        <v>900</v>
      </c>
      <c r="G193" s="679" t="s">
        <v>902</v>
      </c>
      <c r="H193" s="679" t="s">
        <v>914</v>
      </c>
      <c r="I193" s="679" t="s">
        <v>927</v>
      </c>
      <c r="J193" s="697" t="str">
        <f t="shared" si="0"/>
        <v>Analyze</v>
      </c>
      <c r="K193" s="703">
        <f>'Standard Avalrem Table'!F26</f>
        <v>14.818997221199174</v>
      </c>
      <c r="L193" s="698">
        <f t="shared" si="1"/>
        <v>14.818997221199174</v>
      </c>
      <c r="M193" s="304"/>
      <c r="N193" s="304"/>
      <c r="O193" s="304"/>
      <c r="P193" s="304"/>
      <c r="Q193" s="304"/>
      <c r="R193" s="314"/>
      <c r="S193" s="237" t="s">
        <v>33</v>
      </c>
      <c r="T193" s="269"/>
      <c r="U193" s="270" t="str">
        <f>$W$110</f>
        <v>Analyze</v>
      </c>
      <c r="V193" s="271" t="s">
        <v>379</v>
      </c>
      <c r="AG193" s="148"/>
      <c r="AH193" s="148"/>
      <c r="BC193" s="232"/>
    </row>
    <row r="194" spans="1:55" ht="15" x14ac:dyDescent="0.25">
      <c r="A194" s="675">
        <v>52</v>
      </c>
      <c r="B194" s="700">
        <v>2</v>
      </c>
      <c r="C194" s="701">
        <v>4</v>
      </c>
      <c r="D194" s="700">
        <v>2</v>
      </c>
      <c r="E194" s="677">
        <v>4</v>
      </c>
      <c r="F194" s="679" t="s">
        <v>900</v>
      </c>
      <c r="G194" s="679" t="s">
        <v>902</v>
      </c>
      <c r="H194" s="679" t="s">
        <v>914</v>
      </c>
      <c r="I194" s="679" t="s">
        <v>928</v>
      </c>
      <c r="J194" s="697" t="str">
        <f t="shared" si="0"/>
        <v>Evaluate</v>
      </c>
      <c r="K194" s="703">
        <f>'Standard Avalrem Table'!F41</f>
        <v>29.551266277812363</v>
      </c>
      <c r="L194" s="698">
        <f t="shared" si="1"/>
        <v>29.551266277812363</v>
      </c>
      <c r="M194" s="304"/>
      <c r="N194" s="304"/>
      <c r="O194" s="304"/>
      <c r="P194" s="304"/>
      <c r="Q194" s="304"/>
      <c r="R194" s="314"/>
      <c r="S194" s="237" t="s">
        <v>33</v>
      </c>
      <c r="T194" s="269"/>
      <c r="U194" s="270" t="str">
        <f>$Y$110</f>
        <v>Evaluate</v>
      </c>
      <c r="V194" s="271" t="s">
        <v>379</v>
      </c>
      <c r="AG194" s="148"/>
      <c r="AH194" s="148"/>
      <c r="BC194" s="232"/>
    </row>
    <row r="195" spans="1:55" ht="15" x14ac:dyDescent="0.25">
      <c r="A195" s="675">
        <v>53</v>
      </c>
      <c r="B195" s="700">
        <v>3</v>
      </c>
      <c r="C195" s="701">
        <v>4</v>
      </c>
      <c r="D195" s="700">
        <v>2</v>
      </c>
      <c r="E195" s="677">
        <v>5</v>
      </c>
      <c r="F195" s="679" t="s">
        <v>900</v>
      </c>
      <c r="G195" s="679" t="s">
        <v>903</v>
      </c>
      <c r="H195" s="679" t="s">
        <v>915</v>
      </c>
      <c r="I195" s="679" t="s">
        <v>929</v>
      </c>
      <c r="J195" s="697" t="str">
        <f t="shared" si="0"/>
        <v>Network</v>
      </c>
      <c r="K195" s="703">
        <f>'Standard Avalrem Table'!F42</f>
        <v>30.811385554912281</v>
      </c>
      <c r="L195" s="698">
        <f t="shared" si="1"/>
        <v>30.811385554912281</v>
      </c>
      <c r="M195" s="304"/>
      <c r="N195" s="304"/>
      <c r="O195" s="304"/>
      <c r="P195" s="304"/>
      <c r="Q195" s="304"/>
      <c r="R195" s="314"/>
      <c r="S195" s="237" t="s">
        <v>33</v>
      </c>
      <c r="T195" s="269"/>
      <c r="U195" s="270" t="str">
        <f>$Y$111</f>
        <v>Network</v>
      </c>
      <c r="V195" s="271" t="s">
        <v>379</v>
      </c>
      <c r="AG195" s="148"/>
      <c r="AH195" s="148"/>
      <c r="BC195" s="232"/>
    </row>
    <row r="196" spans="1:55" ht="15" x14ac:dyDescent="0.25">
      <c r="A196" s="675">
        <v>54</v>
      </c>
      <c r="B196" s="700">
        <v>3</v>
      </c>
      <c r="C196" s="701">
        <v>4</v>
      </c>
      <c r="D196" s="700">
        <v>1</v>
      </c>
      <c r="E196" s="677">
        <v>6</v>
      </c>
      <c r="F196" s="679" t="s">
        <v>900</v>
      </c>
      <c r="G196" s="679" t="s">
        <v>903</v>
      </c>
      <c r="H196" s="679" t="s">
        <v>915</v>
      </c>
      <c r="I196" s="679" t="s">
        <v>930</v>
      </c>
      <c r="J196" s="697" t="str">
        <f t="shared" si="0"/>
        <v>Participate</v>
      </c>
      <c r="K196" s="703">
        <f>'Standard Avalrem Table'!F27</f>
        <v>15.176509195935175</v>
      </c>
      <c r="L196" s="698">
        <f t="shared" si="1"/>
        <v>15.176509195935175</v>
      </c>
      <c r="M196" s="304"/>
      <c r="N196" s="304"/>
      <c r="O196" s="304"/>
      <c r="P196" s="304"/>
      <c r="Q196" s="304"/>
      <c r="R196" s="314"/>
      <c r="S196" s="237" t="s">
        <v>33</v>
      </c>
      <c r="T196" s="269"/>
      <c r="U196" s="270" t="str">
        <f>$W$111</f>
        <v>Participate</v>
      </c>
      <c r="V196" s="271" t="s">
        <v>379</v>
      </c>
      <c r="AG196" s="148"/>
      <c r="AH196" s="148"/>
      <c r="BC196" s="232"/>
    </row>
    <row r="197" spans="1:55" ht="15" x14ac:dyDescent="0.25">
      <c r="A197" s="675">
        <v>55</v>
      </c>
      <c r="B197" s="700">
        <v>4</v>
      </c>
      <c r="C197" s="701">
        <v>4</v>
      </c>
      <c r="D197" s="700">
        <v>1</v>
      </c>
      <c r="E197" s="677">
        <v>7</v>
      </c>
      <c r="F197" s="679" t="s">
        <v>900</v>
      </c>
      <c r="G197" s="679" t="s">
        <v>904</v>
      </c>
      <c r="H197" s="679" t="s">
        <v>916</v>
      </c>
      <c r="I197" s="679" t="s">
        <v>931</v>
      </c>
      <c r="J197" s="697" t="str">
        <f t="shared" si="0"/>
        <v>Adopt</v>
      </c>
      <c r="K197" s="703">
        <f>'Standard Avalrem Table'!F28</f>
        <v>15.27268471600639</v>
      </c>
      <c r="L197" s="698">
        <f t="shared" si="1"/>
        <v>15.27268471600639</v>
      </c>
      <c r="M197" s="304"/>
      <c r="N197" s="304"/>
      <c r="O197" s="304"/>
      <c r="P197" s="304"/>
      <c r="Q197" s="304"/>
      <c r="R197" s="314"/>
      <c r="S197" s="237" t="s">
        <v>33</v>
      </c>
      <c r="T197" s="269"/>
      <c r="U197" s="270" t="str">
        <f>$W$112</f>
        <v>Adopt</v>
      </c>
      <c r="V197" s="271" t="s">
        <v>379</v>
      </c>
      <c r="AG197" s="148"/>
      <c r="AH197" s="148"/>
      <c r="BC197" s="232"/>
    </row>
    <row r="198" spans="1:55" ht="15" x14ac:dyDescent="0.25">
      <c r="A198" s="675">
        <v>56</v>
      </c>
      <c r="B198" s="700">
        <v>4</v>
      </c>
      <c r="C198" s="701">
        <v>4</v>
      </c>
      <c r="D198" s="700">
        <v>2</v>
      </c>
      <c r="E198" s="677">
        <v>8</v>
      </c>
      <c r="F198" s="679" t="s">
        <v>900</v>
      </c>
      <c r="G198" s="679" t="s">
        <v>904</v>
      </c>
      <c r="H198" s="679" t="s">
        <v>916</v>
      </c>
      <c r="I198" s="679" t="s">
        <v>932</v>
      </c>
      <c r="J198" s="697" t="str">
        <f t="shared" si="0"/>
        <v>Embrace</v>
      </c>
      <c r="K198" s="703">
        <f>'Standard Avalrem Table'!F43</f>
        <v>30.811385554912281</v>
      </c>
      <c r="L198" s="698">
        <f t="shared" si="1"/>
        <v>30.811385554912281</v>
      </c>
      <c r="M198" s="304"/>
      <c r="N198" s="304"/>
      <c r="O198" s="304"/>
      <c r="P198" s="304"/>
      <c r="Q198" s="304"/>
      <c r="R198" s="314"/>
      <c r="S198" s="237" t="s">
        <v>33</v>
      </c>
      <c r="T198" s="269"/>
      <c r="U198" s="270" t="str">
        <f>$Y$112</f>
        <v>Embrace</v>
      </c>
      <c r="V198" s="271" t="s">
        <v>379</v>
      </c>
      <c r="AG198" s="148"/>
      <c r="AH198" s="148"/>
      <c r="BC198" s="232"/>
    </row>
    <row r="199" spans="1:55" ht="15" x14ac:dyDescent="0.25">
      <c r="A199" s="675">
        <v>57</v>
      </c>
      <c r="B199" s="700">
        <v>5</v>
      </c>
      <c r="C199" s="701">
        <v>4</v>
      </c>
      <c r="D199" s="700">
        <v>1</v>
      </c>
      <c r="E199" s="677">
        <v>9</v>
      </c>
      <c r="F199" s="679" t="s">
        <v>900</v>
      </c>
      <c r="G199" s="679" t="s">
        <v>905</v>
      </c>
      <c r="H199" s="679" t="s">
        <v>917</v>
      </c>
      <c r="I199" s="679" t="s">
        <v>933</v>
      </c>
      <c r="J199" s="697" t="str">
        <f t="shared" si="0"/>
        <v>Set up</v>
      </c>
      <c r="K199" s="703">
        <f>'Standard Avalrem Table'!F29</f>
        <v>13.082365941491116</v>
      </c>
      <c r="L199" s="698">
        <f t="shared" si="1"/>
        <v>13.082365941491116</v>
      </c>
      <c r="M199" s="304"/>
      <c r="N199" s="304"/>
      <c r="O199" s="304"/>
      <c r="P199" s="304"/>
      <c r="Q199" s="304"/>
      <c r="R199" s="314"/>
      <c r="S199" s="237" t="s">
        <v>33</v>
      </c>
      <c r="T199" s="269"/>
      <c r="U199" s="270" t="str">
        <f>$W$113</f>
        <v>Set up</v>
      </c>
      <c r="V199" s="271" t="s">
        <v>379</v>
      </c>
      <c r="AG199" s="148"/>
      <c r="AH199" s="148"/>
      <c r="BC199" s="232"/>
    </row>
    <row r="200" spans="1:55" ht="15" x14ac:dyDescent="0.25">
      <c r="A200" s="675">
        <v>58</v>
      </c>
      <c r="B200" s="700">
        <v>5</v>
      </c>
      <c r="C200" s="701">
        <v>4</v>
      </c>
      <c r="D200" s="700">
        <v>2</v>
      </c>
      <c r="E200" s="677">
        <v>10</v>
      </c>
      <c r="F200" s="679" t="s">
        <v>900</v>
      </c>
      <c r="G200" s="679" t="s">
        <v>905</v>
      </c>
      <c r="H200" s="679" t="s">
        <v>917</v>
      </c>
      <c r="I200" s="679" t="s">
        <v>934</v>
      </c>
      <c r="J200" s="697" t="str">
        <f t="shared" si="0"/>
        <v>Standardize</v>
      </c>
      <c r="K200" s="703">
        <f>'Standard Avalrem Table'!F44</f>
        <v>29.551266277812363</v>
      </c>
      <c r="L200" s="698">
        <f t="shared" si="1"/>
        <v>29.551266277812363</v>
      </c>
      <c r="M200" s="304"/>
      <c r="N200" s="304"/>
      <c r="O200" s="304"/>
      <c r="P200" s="304"/>
      <c r="Q200" s="304"/>
      <c r="R200" s="314"/>
      <c r="S200" s="237" t="s">
        <v>33</v>
      </c>
      <c r="T200" s="269"/>
      <c r="U200" s="270" t="str">
        <f>$Y$113</f>
        <v>Standardize</v>
      </c>
      <c r="V200" s="271" t="s">
        <v>379</v>
      </c>
      <c r="AG200" s="148"/>
      <c r="AH200" s="148"/>
      <c r="BC200" s="232"/>
    </row>
    <row r="201" spans="1:55" ht="15" x14ac:dyDescent="0.25">
      <c r="A201" s="675">
        <v>59</v>
      </c>
      <c r="B201" s="700">
        <v>6</v>
      </c>
      <c r="C201" s="701">
        <v>4</v>
      </c>
      <c r="D201" s="700">
        <v>1</v>
      </c>
      <c r="E201" s="677">
        <v>11</v>
      </c>
      <c r="F201" s="679" t="s">
        <v>900</v>
      </c>
      <c r="G201" s="679" t="s">
        <v>906</v>
      </c>
      <c r="H201" s="679" t="s">
        <v>918</v>
      </c>
      <c r="I201" s="679" t="s">
        <v>935</v>
      </c>
      <c r="J201" s="697" t="str">
        <f t="shared" si="0"/>
        <v>Complete</v>
      </c>
      <c r="K201" s="703">
        <f>'Standard Avalrem Table'!F30</f>
        <v>12.724853966755113</v>
      </c>
      <c r="L201" s="698">
        <f t="shared" si="1"/>
        <v>12.724853966755113</v>
      </c>
      <c r="M201" s="304"/>
      <c r="N201" s="304"/>
      <c r="O201" s="304"/>
      <c r="P201" s="304"/>
      <c r="Q201" s="304"/>
      <c r="R201" s="314"/>
      <c r="S201" s="237" t="s">
        <v>33</v>
      </c>
      <c r="T201" s="269"/>
      <c r="U201" s="270" t="str">
        <f>$W$114</f>
        <v>Complete</v>
      </c>
      <c r="V201" s="271" t="s">
        <v>379</v>
      </c>
      <c r="AG201" s="148"/>
      <c r="AH201" s="148"/>
      <c r="BC201" s="232"/>
    </row>
    <row r="202" spans="1:55" ht="15" x14ac:dyDescent="0.25">
      <c r="A202" s="675">
        <v>60</v>
      </c>
      <c r="B202" s="700">
        <v>6</v>
      </c>
      <c r="C202" s="701">
        <v>4</v>
      </c>
      <c r="D202" s="700">
        <v>2</v>
      </c>
      <c r="E202" s="677">
        <v>12</v>
      </c>
      <c r="F202" s="679" t="s">
        <v>900</v>
      </c>
      <c r="G202" s="679" t="s">
        <v>906</v>
      </c>
      <c r="H202" s="679" t="s">
        <v>918</v>
      </c>
      <c r="I202" s="679" t="s">
        <v>936</v>
      </c>
      <c r="J202" s="697" t="str">
        <f t="shared" si="0"/>
        <v>Conclude</v>
      </c>
      <c r="K202" s="703">
        <f>'Standard Avalrem Table'!F45</f>
        <v>28.291147000712446</v>
      </c>
      <c r="L202" s="698">
        <f t="shared" si="1"/>
        <v>28.291147000712446</v>
      </c>
      <c r="M202" s="304"/>
      <c r="N202" s="304"/>
      <c r="O202" s="304"/>
      <c r="P202" s="304"/>
      <c r="Q202" s="304"/>
      <c r="R202" s="314"/>
      <c r="S202" s="237" t="s">
        <v>33</v>
      </c>
      <c r="T202" s="269"/>
      <c r="U202" s="270" t="str">
        <f>$Y$114</f>
        <v>Conclude</v>
      </c>
      <c r="V202" s="271" t="s">
        <v>379</v>
      </c>
      <c r="AG202" s="148"/>
      <c r="AH202" s="148"/>
      <c r="BC202" s="232"/>
    </row>
    <row r="203" spans="1:55" ht="15" x14ac:dyDescent="0.25">
      <c r="A203" s="675">
        <v>61</v>
      </c>
      <c r="B203" s="700">
        <v>7</v>
      </c>
      <c r="C203" s="701">
        <v>4</v>
      </c>
      <c r="D203" s="700">
        <v>2</v>
      </c>
      <c r="E203" s="677">
        <v>13</v>
      </c>
      <c r="F203" s="679" t="s">
        <v>900</v>
      </c>
      <c r="G203" s="679" t="s">
        <v>907</v>
      </c>
      <c r="H203" s="679" t="s">
        <v>919</v>
      </c>
      <c r="I203" s="679" t="s">
        <v>937</v>
      </c>
      <c r="J203" s="697" t="str">
        <f t="shared" si="0"/>
        <v>Authorize</v>
      </c>
      <c r="K203" s="703">
        <f>'Standard Avalrem Table'!F46</f>
        <v>28.291147000712453</v>
      </c>
      <c r="L203" s="698">
        <f t="shared" si="1"/>
        <v>28.291147000712453</v>
      </c>
      <c r="M203" s="304"/>
      <c r="N203" s="304"/>
      <c r="O203" s="304"/>
      <c r="P203" s="304"/>
      <c r="Q203" s="304"/>
      <c r="R203" s="314"/>
      <c r="S203" s="237" t="s">
        <v>33</v>
      </c>
      <c r="T203" s="269"/>
      <c r="U203" s="270" t="str">
        <f>$Y$115</f>
        <v>Authorize</v>
      </c>
      <c r="V203" s="271" t="s">
        <v>379</v>
      </c>
      <c r="AG203" s="148"/>
      <c r="AH203" s="148"/>
      <c r="BC203" s="232"/>
    </row>
    <row r="204" spans="1:55" ht="15" x14ac:dyDescent="0.25">
      <c r="A204" s="675">
        <v>62</v>
      </c>
      <c r="B204" s="700">
        <v>7</v>
      </c>
      <c r="C204" s="701">
        <v>4</v>
      </c>
      <c r="D204" s="700">
        <v>1</v>
      </c>
      <c r="E204" s="677">
        <v>14</v>
      </c>
      <c r="F204" s="679" t="s">
        <v>900</v>
      </c>
      <c r="G204" s="679" t="s">
        <v>907</v>
      </c>
      <c r="H204" s="679" t="s">
        <v>919</v>
      </c>
      <c r="I204" s="679" t="s">
        <v>938</v>
      </c>
      <c r="J204" s="697" t="str">
        <f t="shared" si="0"/>
        <v>Organize</v>
      </c>
      <c r="K204" s="703">
        <f>'Standard Avalrem Table'!F31</f>
        <v>12.628678446683899</v>
      </c>
      <c r="L204" s="698">
        <f t="shared" si="1"/>
        <v>12.628678446683899</v>
      </c>
      <c r="M204" s="304"/>
      <c r="N204" s="304"/>
      <c r="O204" s="304"/>
      <c r="P204" s="304"/>
      <c r="Q204" s="304"/>
      <c r="R204" s="314"/>
      <c r="S204" s="237" t="s">
        <v>33</v>
      </c>
      <c r="T204" s="269"/>
      <c r="U204" s="270" t="str">
        <f>$W$115</f>
        <v>Organize</v>
      </c>
      <c r="V204" s="271" t="s">
        <v>379</v>
      </c>
      <c r="AG204" s="148"/>
      <c r="AH204" s="148"/>
      <c r="BC204" s="232"/>
    </row>
    <row r="205" spans="1:55" ht="15" x14ac:dyDescent="0.25">
      <c r="A205" s="675">
        <v>63</v>
      </c>
      <c r="B205" s="700">
        <v>8</v>
      </c>
      <c r="C205" s="701">
        <v>4</v>
      </c>
      <c r="D205" s="700">
        <v>2</v>
      </c>
      <c r="E205" s="677">
        <v>15</v>
      </c>
      <c r="F205" s="679" t="s">
        <v>900</v>
      </c>
      <c r="G205" s="679" t="s">
        <v>908</v>
      </c>
      <c r="H205" s="679" t="s">
        <v>920</v>
      </c>
      <c r="I205" s="679" t="s">
        <v>939</v>
      </c>
      <c r="J205" s="697" t="str">
        <f t="shared" si="0"/>
        <v>Operate</v>
      </c>
      <c r="K205" s="703">
        <f>'Standard Avalrem Table'!F47</f>
        <v>29.551266277812363</v>
      </c>
      <c r="L205" s="698">
        <f t="shared" si="1"/>
        <v>29.551266277812363</v>
      </c>
      <c r="M205" s="304"/>
      <c r="N205" s="304"/>
      <c r="O205" s="304"/>
      <c r="P205" s="304"/>
      <c r="Q205" s="304"/>
      <c r="R205" s="314"/>
      <c r="S205" s="237" t="s">
        <v>33</v>
      </c>
      <c r="T205" s="269"/>
      <c r="U205" s="270" t="str">
        <f>$Y$116</f>
        <v>Operate</v>
      </c>
      <c r="V205" s="271" t="s">
        <v>379</v>
      </c>
      <c r="AG205" s="148"/>
      <c r="AH205" s="148"/>
      <c r="BC205" s="232"/>
    </row>
    <row r="206" spans="1:55" ht="15" x14ac:dyDescent="0.25">
      <c r="A206" s="675">
        <v>64</v>
      </c>
      <c r="B206" s="700">
        <v>8</v>
      </c>
      <c r="C206" s="701">
        <v>4</v>
      </c>
      <c r="D206" s="700">
        <v>1</v>
      </c>
      <c r="E206" s="677">
        <v>16</v>
      </c>
      <c r="F206" s="679" t="s">
        <v>900</v>
      </c>
      <c r="G206" s="679" t="s">
        <v>908</v>
      </c>
      <c r="H206" s="679" t="s">
        <v>920</v>
      </c>
      <c r="I206" s="679" t="s">
        <v>940</v>
      </c>
      <c r="J206" s="697" t="str">
        <f t="shared" ref="J206:J264" si="2">U206</f>
        <v>Perform</v>
      </c>
      <c r="K206" s="703">
        <f>'Standard Avalrem Table'!F32</f>
        <v>14.818997221199174</v>
      </c>
      <c r="L206" s="698">
        <f t="shared" si="1"/>
        <v>14.818997221199174</v>
      </c>
      <c r="M206" s="304"/>
      <c r="N206" s="304"/>
      <c r="O206" s="304"/>
      <c r="P206" s="304"/>
      <c r="Q206" s="304"/>
      <c r="R206" s="314"/>
      <c r="S206" s="237" t="s">
        <v>33</v>
      </c>
      <c r="T206" s="269"/>
      <c r="U206" s="270" t="str">
        <f>$W$116</f>
        <v>Perform</v>
      </c>
      <c r="V206" s="271" t="s">
        <v>379</v>
      </c>
      <c r="AG206" s="148"/>
      <c r="AH206" s="148"/>
      <c r="BC206" s="232"/>
    </row>
    <row r="207" spans="1:55" ht="15" x14ac:dyDescent="0.25">
      <c r="A207" s="675">
        <v>65</v>
      </c>
      <c r="B207" s="700">
        <v>9</v>
      </c>
      <c r="C207" s="701">
        <v>4</v>
      </c>
      <c r="D207" s="700">
        <v>1</v>
      </c>
      <c r="E207" s="677">
        <v>17</v>
      </c>
      <c r="F207" s="679" t="s">
        <v>900</v>
      </c>
      <c r="G207" s="679" t="s">
        <v>909</v>
      </c>
      <c r="H207" s="679" t="s">
        <v>921</v>
      </c>
      <c r="I207" s="679" t="s">
        <v>941</v>
      </c>
      <c r="J207" s="697" t="str">
        <f t="shared" si="2"/>
        <v>Collaborate</v>
      </c>
      <c r="K207" s="703">
        <f>'Standard Avalrem Table'!F33</f>
        <v>15.176509195935175</v>
      </c>
      <c r="L207" s="698">
        <f t="shared" si="1"/>
        <v>15.176509195935175</v>
      </c>
      <c r="M207" s="304"/>
      <c r="N207" s="304"/>
      <c r="O207" s="304"/>
      <c r="P207" s="304"/>
      <c r="Q207" s="304"/>
      <c r="R207" s="314"/>
      <c r="S207" s="237" t="s">
        <v>33</v>
      </c>
      <c r="T207" s="269"/>
      <c r="U207" s="270" t="str">
        <f>$W$117</f>
        <v>Collaborate</v>
      </c>
      <c r="V207" s="271" t="s">
        <v>379</v>
      </c>
      <c r="AG207" s="148"/>
      <c r="AH207" s="148"/>
      <c r="BC207" s="232"/>
    </row>
    <row r="208" spans="1:55" ht="15" x14ac:dyDescent="0.25">
      <c r="A208" s="675">
        <v>66</v>
      </c>
      <c r="B208" s="700">
        <v>9</v>
      </c>
      <c r="C208" s="701">
        <v>4</v>
      </c>
      <c r="D208" s="700">
        <v>2</v>
      </c>
      <c r="E208" s="677">
        <v>18</v>
      </c>
      <c r="F208" s="679" t="s">
        <v>900</v>
      </c>
      <c r="G208" s="679" t="s">
        <v>909</v>
      </c>
      <c r="H208" s="679" t="s">
        <v>921</v>
      </c>
      <c r="I208" s="679" t="s">
        <v>942</v>
      </c>
      <c r="J208" s="697" t="str">
        <f t="shared" si="2"/>
        <v>Cooperate</v>
      </c>
      <c r="K208" s="703">
        <f>'Standard Avalrem Table'!F48</f>
        <v>30.811385554912281</v>
      </c>
      <c r="L208" s="698">
        <f t="shared" ref="L208:L264" si="3">K208</f>
        <v>30.811385554912281</v>
      </c>
      <c r="M208" s="304"/>
      <c r="N208" s="304"/>
      <c r="O208" s="304"/>
      <c r="P208" s="304"/>
      <c r="Q208" s="304"/>
      <c r="R208" s="314"/>
      <c r="S208" s="237" t="s">
        <v>33</v>
      </c>
      <c r="T208" s="269"/>
      <c r="U208" s="270" t="str">
        <f>$Y$117</f>
        <v>Cooperate</v>
      </c>
      <c r="V208" s="271" t="s">
        <v>379</v>
      </c>
      <c r="AG208" s="148"/>
      <c r="AH208" s="148"/>
      <c r="BC208" s="232"/>
    </row>
    <row r="209" spans="1:55" ht="15" x14ac:dyDescent="0.25">
      <c r="A209" s="675">
        <v>67</v>
      </c>
      <c r="B209" s="700">
        <v>10</v>
      </c>
      <c r="C209" s="701">
        <v>4</v>
      </c>
      <c r="D209" s="700">
        <v>1</v>
      </c>
      <c r="E209" s="677">
        <v>19</v>
      </c>
      <c r="F209" s="679" t="s">
        <v>900</v>
      </c>
      <c r="G209" s="679" t="s">
        <v>910</v>
      </c>
      <c r="H209" s="679" t="s">
        <v>922</v>
      </c>
      <c r="I209" s="679" t="s">
        <v>943</v>
      </c>
      <c r="J209" s="697" t="str">
        <f t="shared" si="2"/>
        <v>Invest</v>
      </c>
      <c r="K209" s="703">
        <f>'Standard Avalrem Table'!F34</f>
        <v>15.27268471600639</v>
      </c>
      <c r="L209" s="698">
        <f t="shared" si="3"/>
        <v>15.27268471600639</v>
      </c>
      <c r="M209" s="304"/>
      <c r="N209" s="304"/>
      <c r="O209" s="304"/>
      <c r="P209" s="304"/>
      <c r="Q209" s="304"/>
      <c r="R209" s="314"/>
      <c r="S209" s="237" t="s">
        <v>33</v>
      </c>
      <c r="T209" s="269"/>
      <c r="U209" s="270" t="str">
        <f>$W$118</f>
        <v>Invest</v>
      </c>
      <c r="V209" s="271" t="s">
        <v>379</v>
      </c>
      <c r="AG209" s="148"/>
      <c r="AH209" s="148"/>
      <c r="BC209" s="232"/>
    </row>
    <row r="210" spans="1:55" ht="15" x14ac:dyDescent="0.25">
      <c r="A210" s="675">
        <v>68</v>
      </c>
      <c r="B210" s="700">
        <v>10</v>
      </c>
      <c r="C210" s="701">
        <v>4</v>
      </c>
      <c r="D210" s="700">
        <v>2</v>
      </c>
      <c r="E210" s="677">
        <v>20</v>
      </c>
      <c r="F210" s="679" t="s">
        <v>900</v>
      </c>
      <c r="G210" s="679" t="s">
        <v>910</v>
      </c>
      <c r="H210" s="679" t="s">
        <v>922</v>
      </c>
      <c r="I210" s="679" t="s">
        <v>944</v>
      </c>
      <c r="J210" s="697" t="str">
        <f t="shared" si="2"/>
        <v>Risk</v>
      </c>
      <c r="K210" s="703">
        <f>'Standard Avalrem Table'!F49</f>
        <v>30.811385554912281</v>
      </c>
      <c r="L210" s="698">
        <f t="shared" si="3"/>
        <v>30.811385554912281</v>
      </c>
      <c r="M210" s="304"/>
      <c r="N210" s="304"/>
      <c r="O210" s="304"/>
      <c r="P210" s="304"/>
      <c r="Q210" s="304"/>
      <c r="R210" s="314"/>
      <c r="S210" s="237" t="s">
        <v>33</v>
      </c>
      <c r="T210" s="269"/>
      <c r="U210" s="270" t="str">
        <f>$Y$118</f>
        <v>Risk</v>
      </c>
      <c r="V210" s="271" t="s">
        <v>379</v>
      </c>
      <c r="AG210" s="148"/>
      <c r="AH210" s="148"/>
      <c r="BC210" s="232"/>
    </row>
    <row r="211" spans="1:55" ht="15" x14ac:dyDescent="0.25">
      <c r="A211" s="675">
        <v>69</v>
      </c>
      <c r="B211" s="700">
        <v>11</v>
      </c>
      <c r="C211" s="701">
        <v>4</v>
      </c>
      <c r="D211" s="700">
        <v>1</v>
      </c>
      <c r="E211" s="677">
        <v>21</v>
      </c>
      <c r="F211" s="679" t="s">
        <v>900</v>
      </c>
      <c r="G211" s="679" t="s">
        <v>911</v>
      </c>
      <c r="H211" s="679" t="s">
        <v>923</v>
      </c>
      <c r="I211" s="679" t="s">
        <v>945</v>
      </c>
      <c r="J211" s="697" t="str">
        <f t="shared" si="2"/>
        <v>Create</v>
      </c>
      <c r="K211" s="703">
        <f>'Standard Avalrem Table'!F35</f>
        <v>13.082365941491116</v>
      </c>
      <c r="L211" s="698">
        <f t="shared" si="3"/>
        <v>13.082365941491116</v>
      </c>
      <c r="M211" s="304"/>
      <c r="N211" s="304"/>
      <c r="O211" s="304"/>
      <c r="P211" s="304"/>
      <c r="Q211" s="304"/>
      <c r="R211" s="314"/>
      <c r="S211" s="237" t="s">
        <v>33</v>
      </c>
      <c r="T211" s="269"/>
      <c r="U211" s="270" t="str">
        <f>$W$119</f>
        <v>Create</v>
      </c>
      <c r="V211" s="271" t="s">
        <v>379</v>
      </c>
      <c r="AG211" s="148"/>
      <c r="AH211" s="148"/>
      <c r="BC211" s="232"/>
    </row>
    <row r="212" spans="1:55" ht="15" x14ac:dyDescent="0.25">
      <c r="A212" s="675">
        <v>70</v>
      </c>
      <c r="B212" s="700">
        <v>11</v>
      </c>
      <c r="C212" s="701">
        <v>4</v>
      </c>
      <c r="D212" s="700">
        <v>2</v>
      </c>
      <c r="E212" s="677">
        <v>22</v>
      </c>
      <c r="F212" s="679" t="s">
        <v>900</v>
      </c>
      <c r="G212" s="679" t="s">
        <v>911</v>
      </c>
      <c r="H212" s="679" t="s">
        <v>923</v>
      </c>
      <c r="I212" s="679" t="s">
        <v>946</v>
      </c>
      <c r="J212" s="697" t="str">
        <f t="shared" si="2"/>
        <v>Initiate</v>
      </c>
      <c r="K212" s="703">
        <f>'Standard Avalrem Table'!F50</f>
        <v>29.551266277812363</v>
      </c>
      <c r="L212" s="698">
        <f t="shared" si="3"/>
        <v>29.551266277812363</v>
      </c>
      <c r="M212" s="304"/>
      <c r="N212" s="304"/>
      <c r="O212" s="304"/>
      <c r="P212" s="304"/>
      <c r="Q212" s="304"/>
      <c r="R212" s="314"/>
      <c r="S212" s="237" t="s">
        <v>33</v>
      </c>
      <c r="T212" s="269"/>
      <c r="U212" s="270" t="str">
        <f>$Y$119</f>
        <v>Initiate</v>
      </c>
      <c r="V212" s="271" t="s">
        <v>379</v>
      </c>
      <c r="AG212" s="148"/>
      <c r="AH212" s="148"/>
      <c r="BC212" s="232"/>
    </row>
    <row r="213" spans="1:55" ht="15" x14ac:dyDescent="0.25">
      <c r="A213" s="675">
        <v>71</v>
      </c>
      <c r="B213" s="700">
        <v>12</v>
      </c>
      <c r="C213" s="701">
        <v>4</v>
      </c>
      <c r="D213" s="700">
        <v>2</v>
      </c>
      <c r="E213" s="677">
        <v>23</v>
      </c>
      <c r="F213" s="679" t="s">
        <v>900</v>
      </c>
      <c r="G213" s="679" t="s">
        <v>912</v>
      </c>
      <c r="H213" s="679" t="s">
        <v>924</v>
      </c>
      <c r="I213" s="679" t="s">
        <v>947</v>
      </c>
      <c r="J213" s="697" t="str">
        <f t="shared" si="2"/>
        <v>Announce</v>
      </c>
      <c r="K213" s="703">
        <f>'Standard Avalrem Table'!F51</f>
        <v>28.291147000712446</v>
      </c>
      <c r="L213" s="698">
        <f t="shared" si="3"/>
        <v>28.291147000712446</v>
      </c>
      <c r="M213" s="304"/>
      <c r="N213" s="304"/>
      <c r="O213" s="304"/>
      <c r="P213" s="304"/>
      <c r="Q213" s="304"/>
      <c r="R213" s="314"/>
      <c r="S213" s="237" t="s">
        <v>33</v>
      </c>
      <c r="T213" s="269"/>
      <c r="U213" s="270" t="str">
        <f>$Y$120</f>
        <v>Announce</v>
      </c>
      <c r="V213" s="271" t="s">
        <v>379</v>
      </c>
      <c r="AG213" s="148"/>
      <c r="AH213" s="148"/>
      <c r="BC213" s="232"/>
    </row>
    <row r="214" spans="1:55" ht="15.75" thickBot="1" x14ac:dyDescent="0.3">
      <c r="A214" s="675">
        <v>72</v>
      </c>
      <c r="B214" s="700">
        <v>12</v>
      </c>
      <c r="C214" s="701">
        <v>4</v>
      </c>
      <c r="D214" s="700">
        <v>1</v>
      </c>
      <c r="E214" s="682">
        <v>24</v>
      </c>
      <c r="F214" s="679" t="s">
        <v>900</v>
      </c>
      <c r="G214" s="679" t="s">
        <v>912</v>
      </c>
      <c r="H214" s="704" t="s">
        <v>924</v>
      </c>
      <c r="I214" s="679" t="s">
        <v>948</v>
      </c>
      <c r="J214" s="697" t="str">
        <f t="shared" si="2"/>
        <v>Declare</v>
      </c>
      <c r="K214" s="705">
        <f>'Standard Avalrem Table'!F36</f>
        <v>12.724853966755113</v>
      </c>
      <c r="L214" s="698">
        <f t="shared" si="3"/>
        <v>12.724853966755113</v>
      </c>
      <c r="M214" s="304"/>
      <c r="N214" s="304"/>
      <c r="O214" s="304"/>
      <c r="P214" s="304"/>
      <c r="Q214" s="304"/>
      <c r="R214" s="314"/>
      <c r="S214" s="237" t="s">
        <v>33</v>
      </c>
      <c r="T214" s="269"/>
      <c r="U214" s="270" t="str">
        <f>$W$120</f>
        <v>Declare</v>
      </c>
      <c r="V214" s="271" t="s">
        <v>379</v>
      </c>
      <c r="AG214" s="148"/>
      <c r="AH214" s="148"/>
      <c r="BC214" s="232"/>
    </row>
    <row r="215" spans="1:55" ht="45.75" hidden="1" thickBot="1" x14ac:dyDescent="0.3">
      <c r="A215" s="675"/>
      <c r="B215" s="700"/>
      <c r="C215" s="701"/>
      <c r="D215" s="700"/>
      <c r="E215" s="687" t="s">
        <v>1047</v>
      </c>
      <c r="F215" s="688" t="s">
        <v>897</v>
      </c>
      <c r="G215" s="706" t="s">
        <v>820</v>
      </c>
      <c r="H215" s="688" t="s">
        <v>820</v>
      </c>
      <c r="I215" s="690" t="s">
        <v>824</v>
      </c>
      <c r="J215" s="690" t="s">
        <v>825</v>
      </c>
      <c r="K215" s="690" t="s">
        <v>821</v>
      </c>
      <c r="L215" s="691" t="s">
        <v>876</v>
      </c>
      <c r="M215" s="304"/>
      <c r="N215" s="304"/>
      <c r="O215" s="304"/>
      <c r="P215" s="304"/>
      <c r="Q215" s="304"/>
      <c r="R215" s="314"/>
      <c r="S215" s="237"/>
      <c r="T215" s="269"/>
      <c r="U215" s="270"/>
      <c r="V215" s="271"/>
      <c r="AG215" s="148"/>
      <c r="AH215" s="148"/>
      <c r="BC215" s="232"/>
    </row>
    <row r="216" spans="1:55" ht="15" x14ac:dyDescent="0.25">
      <c r="A216" s="675">
        <v>73</v>
      </c>
      <c r="B216" s="707">
        <v>1</v>
      </c>
      <c r="C216" s="708">
        <v>3</v>
      </c>
      <c r="D216" s="707">
        <v>2</v>
      </c>
      <c r="E216" s="670">
        <v>1</v>
      </c>
      <c r="F216" s="697" t="s">
        <v>949</v>
      </c>
      <c r="G216" s="709" t="s">
        <v>950</v>
      </c>
      <c r="H216" s="710" t="s">
        <v>962</v>
      </c>
      <c r="I216" s="710" t="s">
        <v>974</v>
      </c>
      <c r="J216" s="695" t="str">
        <f t="shared" si="2"/>
        <v>Move</v>
      </c>
      <c r="K216" s="673">
        <f>'Standard Avalrem Table'!E40</f>
        <v>29.008504025822855</v>
      </c>
      <c r="L216" s="696">
        <f t="shared" si="3"/>
        <v>29.008504025822855</v>
      </c>
      <c r="M216" s="305"/>
      <c r="N216" s="305"/>
      <c r="O216" s="305"/>
      <c r="P216" s="305"/>
      <c r="Q216" s="305"/>
      <c r="R216" s="313"/>
      <c r="S216" s="239" t="s">
        <v>32</v>
      </c>
      <c r="T216" s="265"/>
      <c r="U216" s="266" t="str">
        <f>$AR$109</f>
        <v>Move</v>
      </c>
      <c r="V216" s="267" t="s">
        <v>362</v>
      </c>
      <c r="AG216" s="148"/>
      <c r="AH216" s="148"/>
      <c r="BC216" s="232"/>
    </row>
    <row r="217" spans="1:55" ht="15" x14ac:dyDescent="0.25">
      <c r="A217" s="675">
        <v>74</v>
      </c>
      <c r="B217" s="707">
        <v>1</v>
      </c>
      <c r="C217" s="708">
        <v>3</v>
      </c>
      <c r="D217" s="707">
        <v>1</v>
      </c>
      <c r="E217" s="677">
        <v>2</v>
      </c>
      <c r="F217" s="697" t="s">
        <v>949</v>
      </c>
      <c r="G217" s="711" t="s">
        <v>950</v>
      </c>
      <c r="H217" s="679" t="s">
        <v>962</v>
      </c>
      <c r="I217" s="679" t="s">
        <v>975</v>
      </c>
      <c r="J217" s="697" t="str">
        <f t="shared" si="2"/>
        <v>Start</v>
      </c>
      <c r="K217" s="680">
        <f>'Standard Avalrem Table'!E25</f>
        <v>12.487747390847485</v>
      </c>
      <c r="L217" s="698">
        <f t="shared" si="3"/>
        <v>12.487747390847485</v>
      </c>
      <c r="M217" s="305"/>
      <c r="N217" s="305"/>
      <c r="O217" s="305"/>
      <c r="P217" s="305"/>
      <c r="Q217" s="305"/>
      <c r="R217" s="313"/>
      <c r="S217" s="239" t="s">
        <v>32</v>
      </c>
      <c r="T217" s="265"/>
      <c r="U217" s="266" t="str">
        <f>$AP$109</f>
        <v>Start</v>
      </c>
      <c r="V217" s="267" t="s">
        <v>362</v>
      </c>
      <c r="AG217" s="148"/>
      <c r="AH217" s="148"/>
      <c r="BC217" s="232"/>
    </row>
    <row r="218" spans="1:55" ht="15" x14ac:dyDescent="0.25">
      <c r="A218" s="675">
        <v>75</v>
      </c>
      <c r="B218" s="707">
        <v>2</v>
      </c>
      <c r="C218" s="708">
        <v>3</v>
      </c>
      <c r="D218" s="707">
        <v>1</v>
      </c>
      <c r="E218" s="677">
        <v>3</v>
      </c>
      <c r="F218" s="697" t="s">
        <v>949</v>
      </c>
      <c r="G218" s="711" t="s">
        <v>951</v>
      </c>
      <c r="H218" s="679" t="s">
        <v>963</v>
      </c>
      <c r="I218" s="679" t="s">
        <v>976</v>
      </c>
      <c r="J218" s="697" t="str">
        <f t="shared" si="2"/>
        <v>Prepare</v>
      </c>
      <c r="K218" s="680">
        <f>'Standard Avalrem Table'!E26</f>
        <v>15.349913711425824</v>
      </c>
      <c r="L218" s="698">
        <f t="shared" si="3"/>
        <v>15.349913711425824</v>
      </c>
      <c r="M218" s="305"/>
      <c r="N218" s="305"/>
      <c r="O218" s="305"/>
      <c r="P218" s="305"/>
      <c r="Q218" s="305"/>
      <c r="R218" s="313"/>
      <c r="S218" s="239" t="s">
        <v>32</v>
      </c>
      <c r="T218" s="265"/>
      <c r="U218" s="266" t="str">
        <f>$AP$110</f>
        <v>Prepare</v>
      </c>
      <c r="V218" s="267" t="s">
        <v>362</v>
      </c>
      <c r="AG218" s="148"/>
      <c r="AH218" s="148"/>
      <c r="BC218" s="232"/>
    </row>
    <row r="219" spans="1:55" ht="15" x14ac:dyDescent="0.25">
      <c r="A219" s="675">
        <v>76</v>
      </c>
      <c r="B219" s="707">
        <v>2</v>
      </c>
      <c r="C219" s="708">
        <v>3</v>
      </c>
      <c r="D219" s="707">
        <v>2</v>
      </c>
      <c r="E219" s="677">
        <v>4</v>
      </c>
      <c r="F219" s="697" t="s">
        <v>949</v>
      </c>
      <c r="G219" s="711" t="s">
        <v>951</v>
      </c>
      <c r="H219" s="679" t="s">
        <v>963</v>
      </c>
      <c r="I219" s="679" t="s">
        <v>977</v>
      </c>
      <c r="J219" s="697" t="str">
        <f t="shared" si="2"/>
        <v>Schedule</v>
      </c>
      <c r="K219" s="680">
        <f>'Standard Avalrem Table'!E41</f>
        <v>30.249436277327128</v>
      </c>
      <c r="L219" s="698">
        <f t="shared" si="3"/>
        <v>30.249436277327128</v>
      </c>
      <c r="M219" s="305"/>
      <c r="N219" s="305"/>
      <c r="O219" s="305"/>
      <c r="P219" s="305"/>
      <c r="Q219" s="305"/>
      <c r="R219" s="313"/>
      <c r="S219" s="239" t="s">
        <v>32</v>
      </c>
      <c r="T219" s="265"/>
      <c r="U219" s="266" t="str">
        <f>$AR$110</f>
        <v>Schedule</v>
      </c>
      <c r="V219" s="267" t="s">
        <v>362</v>
      </c>
      <c r="AG219" s="148"/>
      <c r="AH219" s="148"/>
      <c r="BC219" s="232"/>
    </row>
    <row r="220" spans="1:55" ht="15" x14ac:dyDescent="0.25">
      <c r="A220" s="675">
        <v>77</v>
      </c>
      <c r="B220" s="707">
        <v>3</v>
      </c>
      <c r="C220" s="708">
        <v>3</v>
      </c>
      <c r="D220" s="707">
        <v>2</v>
      </c>
      <c r="E220" s="677">
        <v>5</v>
      </c>
      <c r="F220" s="697" t="s">
        <v>949</v>
      </c>
      <c r="G220" s="711" t="s">
        <v>952</v>
      </c>
      <c r="H220" s="679" t="s">
        <v>964</v>
      </c>
      <c r="I220" s="679" t="s">
        <v>978</v>
      </c>
      <c r="J220" s="697" t="str">
        <f t="shared" si="2"/>
        <v>Improve</v>
      </c>
      <c r="K220" s="680">
        <f>'Standard Avalrem Table'!E42</f>
        <v>31.490368528831418</v>
      </c>
      <c r="L220" s="698">
        <f t="shared" si="3"/>
        <v>31.490368528831418</v>
      </c>
      <c r="M220" s="305"/>
      <c r="N220" s="305"/>
      <c r="O220" s="305"/>
      <c r="P220" s="305"/>
      <c r="Q220" s="305"/>
      <c r="R220" s="313"/>
      <c r="S220" s="239" t="s">
        <v>32</v>
      </c>
      <c r="T220" s="265"/>
      <c r="U220" s="266" t="str">
        <f>$AR$111</f>
        <v>Improve</v>
      </c>
      <c r="V220" s="267" t="s">
        <v>362</v>
      </c>
      <c r="AG220" s="148"/>
      <c r="AH220" s="148"/>
      <c r="BC220" s="232"/>
    </row>
    <row r="221" spans="1:55" ht="15" x14ac:dyDescent="0.25">
      <c r="A221" s="675">
        <v>78</v>
      </c>
      <c r="B221" s="707">
        <v>3</v>
      </c>
      <c r="C221" s="708">
        <v>3</v>
      </c>
      <c r="D221" s="707">
        <v>1</v>
      </c>
      <c r="E221" s="677">
        <v>6</v>
      </c>
      <c r="F221" s="697" t="s">
        <v>949</v>
      </c>
      <c r="G221" s="711" t="s">
        <v>952</v>
      </c>
      <c r="H221" s="679" t="s">
        <v>964</v>
      </c>
      <c r="I221" s="679" t="s">
        <v>979</v>
      </c>
      <c r="J221" s="697" t="str">
        <f t="shared" si="2"/>
        <v>Practice</v>
      </c>
      <c r="K221" s="680">
        <f>'Standard Avalrem Table'!E27</f>
        <v>15.47396370226063</v>
      </c>
      <c r="L221" s="698">
        <f t="shared" si="3"/>
        <v>15.47396370226063</v>
      </c>
      <c r="M221" s="305"/>
      <c r="N221" s="305"/>
      <c r="O221" s="305"/>
      <c r="P221" s="305"/>
      <c r="Q221" s="305"/>
      <c r="R221" s="313"/>
      <c r="S221" s="239" t="s">
        <v>32</v>
      </c>
      <c r="T221" s="265"/>
      <c r="U221" s="266" t="str">
        <f>$AP$111</f>
        <v>Practice</v>
      </c>
      <c r="V221" s="267" t="s">
        <v>362</v>
      </c>
      <c r="AG221" s="148"/>
      <c r="AH221" s="148"/>
      <c r="BC221" s="232"/>
    </row>
    <row r="222" spans="1:55" ht="15" x14ac:dyDescent="0.25">
      <c r="A222" s="675">
        <v>79</v>
      </c>
      <c r="B222" s="707">
        <v>4</v>
      </c>
      <c r="C222" s="708">
        <v>3</v>
      </c>
      <c r="D222" s="707">
        <v>1</v>
      </c>
      <c r="E222" s="677">
        <v>7</v>
      </c>
      <c r="F222" s="697" t="s">
        <v>949</v>
      </c>
      <c r="G222" s="711" t="s">
        <v>953</v>
      </c>
      <c r="H222" s="679" t="s">
        <v>965</v>
      </c>
      <c r="I222" s="679" t="s">
        <v>980</v>
      </c>
      <c r="J222" s="697" t="str">
        <f t="shared" si="2"/>
        <v>Measure</v>
      </c>
      <c r="K222" s="680">
        <f>'Standard Avalrem Table'!E28</f>
        <v>15.918179527407723</v>
      </c>
      <c r="L222" s="698">
        <f t="shared" si="3"/>
        <v>15.918179527407723</v>
      </c>
      <c r="M222" s="305"/>
      <c r="N222" s="305"/>
      <c r="O222" s="305"/>
      <c r="P222" s="305"/>
      <c r="Q222" s="305"/>
      <c r="R222" s="313"/>
      <c r="S222" s="239" t="s">
        <v>32</v>
      </c>
      <c r="T222" s="265"/>
      <c r="U222" s="266" t="str">
        <f>$AP$112</f>
        <v>Measure</v>
      </c>
      <c r="V222" s="267" t="s">
        <v>362</v>
      </c>
      <c r="AG222" s="148"/>
      <c r="AH222" s="148"/>
      <c r="BC222" s="232"/>
    </row>
    <row r="223" spans="1:55" ht="15" x14ac:dyDescent="0.25">
      <c r="A223" s="675">
        <v>80</v>
      </c>
      <c r="B223" s="707">
        <v>4</v>
      </c>
      <c r="C223" s="708">
        <v>3</v>
      </c>
      <c r="D223" s="707">
        <v>2</v>
      </c>
      <c r="E223" s="677">
        <v>8</v>
      </c>
      <c r="F223" s="697" t="s">
        <v>949</v>
      </c>
      <c r="G223" s="711" t="s">
        <v>953</v>
      </c>
      <c r="H223" s="679" t="s">
        <v>965</v>
      </c>
      <c r="I223" s="679" t="s">
        <v>981</v>
      </c>
      <c r="J223" s="697" t="str">
        <f t="shared" si="2"/>
        <v>Project</v>
      </c>
      <c r="K223" s="680">
        <f>'Standard Avalrem Table'!E43</f>
        <v>31.490368528831418</v>
      </c>
      <c r="L223" s="698">
        <f t="shared" si="3"/>
        <v>31.490368528831418</v>
      </c>
      <c r="M223" s="305"/>
      <c r="N223" s="305"/>
      <c r="O223" s="305"/>
      <c r="P223" s="305"/>
      <c r="Q223" s="305"/>
      <c r="R223" s="313"/>
      <c r="S223" s="239" t="s">
        <v>32</v>
      </c>
      <c r="T223" s="265" t="s">
        <v>311</v>
      </c>
      <c r="U223" s="266" t="str">
        <f>$AR$112</f>
        <v>Project</v>
      </c>
      <c r="V223" s="267" t="s">
        <v>362</v>
      </c>
      <c r="AG223" s="148"/>
      <c r="AH223" s="148"/>
      <c r="BC223" s="232"/>
    </row>
    <row r="224" spans="1:55" ht="15" x14ac:dyDescent="0.25">
      <c r="A224" s="675">
        <v>81</v>
      </c>
      <c r="B224" s="707">
        <v>5</v>
      </c>
      <c r="C224" s="708">
        <v>3</v>
      </c>
      <c r="D224" s="707">
        <v>2</v>
      </c>
      <c r="E224" s="677">
        <v>9</v>
      </c>
      <c r="F224" s="697" t="s">
        <v>949</v>
      </c>
      <c r="G224" s="711" t="s">
        <v>954</v>
      </c>
      <c r="H224" s="679" t="s">
        <v>966</v>
      </c>
      <c r="I224" s="679" t="s">
        <v>982</v>
      </c>
      <c r="J224" s="697" t="str">
        <f t="shared" si="2"/>
        <v>Act</v>
      </c>
      <c r="K224" s="680">
        <f>'Standard Avalrem Table'!E44</f>
        <v>30.249436277327131</v>
      </c>
      <c r="L224" s="698">
        <f t="shared" si="3"/>
        <v>30.249436277327131</v>
      </c>
      <c r="M224" s="305"/>
      <c r="N224" s="305"/>
      <c r="O224" s="305"/>
      <c r="P224" s="305"/>
      <c r="Q224" s="305"/>
      <c r="R224" s="313"/>
      <c r="S224" s="239" t="s">
        <v>32</v>
      </c>
      <c r="T224" s="265" t="s">
        <v>310</v>
      </c>
      <c r="U224" s="266" t="str">
        <f>$AR$113</f>
        <v>Act</v>
      </c>
      <c r="V224" s="267" t="s">
        <v>362</v>
      </c>
      <c r="AG224" s="148"/>
      <c r="AH224" s="148"/>
      <c r="BC224" s="232"/>
    </row>
    <row r="225" spans="1:55" ht="15" x14ac:dyDescent="0.25">
      <c r="A225" s="675">
        <v>82</v>
      </c>
      <c r="B225" s="707">
        <v>5</v>
      </c>
      <c r="C225" s="708">
        <v>3</v>
      </c>
      <c r="D225" s="707">
        <v>1</v>
      </c>
      <c r="E225" s="677">
        <v>10</v>
      </c>
      <c r="F225" s="697" t="s">
        <v>949</v>
      </c>
      <c r="G225" s="711" t="s">
        <v>954</v>
      </c>
      <c r="H225" s="679" t="s">
        <v>966</v>
      </c>
      <c r="I225" s="679" t="s">
        <v>983</v>
      </c>
      <c r="J225" s="697" t="str">
        <f t="shared" si="2"/>
        <v>Inspect</v>
      </c>
      <c r="K225" s="680">
        <f>'Standard Avalrem Table'!E29</f>
        <v>13.056013206829377</v>
      </c>
      <c r="L225" s="698">
        <f t="shared" si="3"/>
        <v>13.056013206829377</v>
      </c>
      <c r="M225" s="305"/>
      <c r="N225" s="305"/>
      <c r="O225" s="305"/>
      <c r="P225" s="305"/>
      <c r="Q225" s="305"/>
      <c r="R225" s="313"/>
      <c r="S225" s="239" t="s">
        <v>32</v>
      </c>
      <c r="T225" s="265" t="s">
        <v>213</v>
      </c>
      <c r="U225" s="266" t="str">
        <f>$AP$113</f>
        <v>Inspect</v>
      </c>
      <c r="V225" s="267" t="s">
        <v>362</v>
      </c>
      <c r="AG225" s="148"/>
      <c r="AH225" s="148"/>
      <c r="BC225" s="232"/>
    </row>
    <row r="226" spans="1:55" ht="15" x14ac:dyDescent="0.25">
      <c r="A226" s="675">
        <v>83</v>
      </c>
      <c r="B226" s="707">
        <v>6</v>
      </c>
      <c r="C226" s="708">
        <v>3</v>
      </c>
      <c r="D226" s="707">
        <v>2</v>
      </c>
      <c r="E226" s="677">
        <v>11</v>
      </c>
      <c r="F226" s="697" t="s">
        <v>949</v>
      </c>
      <c r="G226" s="711" t="s">
        <v>955</v>
      </c>
      <c r="H226" s="679" t="s">
        <v>967</v>
      </c>
      <c r="I226" s="679" t="s">
        <v>984</v>
      </c>
      <c r="J226" s="697" t="str">
        <f t="shared" si="2"/>
        <v>Mentor</v>
      </c>
      <c r="K226" s="680">
        <f>'Standard Avalrem Table'!E45</f>
        <v>29.008504025822855</v>
      </c>
      <c r="L226" s="698">
        <f t="shared" si="3"/>
        <v>29.008504025822855</v>
      </c>
      <c r="M226" s="305"/>
      <c r="N226" s="305"/>
      <c r="O226" s="305"/>
      <c r="P226" s="305"/>
      <c r="Q226" s="305"/>
      <c r="R226" s="313"/>
      <c r="S226" s="239" t="s">
        <v>32</v>
      </c>
      <c r="T226" s="265"/>
      <c r="U226" s="266" t="str">
        <f>$AR$114</f>
        <v>Mentor</v>
      </c>
      <c r="V226" s="267" t="s">
        <v>362</v>
      </c>
      <c r="AG226" s="148"/>
      <c r="AH226" s="148"/>
      <c r="BC226" s="232"/>
    </row>
    <row r="227" spans="1:55" ht="15" x14ac:dyDescent="0.25">
      <c r="A227" s="675">
        <v>84</v>
      </c>
      <c r="B227" s="707">
        <v>6</v>
      </c>
      <c r="C227" s="708">
        <v>3</v>
      </c>
      <c r="D227" s="707">
        <v>1</v>
      </c>
      <c r="E227" s="677">
        <v>12</v>
      </c>
      <c r="F227" s="697" t="s">
        <v>949</v>
      </c>
      <c r="G227" s="711" t="s">
        <v>955</v>
      </c>
      <c r="H227" s="679" t="s">
        <v>967</v>
      </c>
      <c r="I227" s="679" t="s">
        <v>985</v>
      </c>
      <c r="J227" s="697" t="str">
        <f t="shared" si="2"/>
        <v>Train</v>
      </c>
      <c r="K227" s="680">
        <f>'Standard Avalrem Table'!E30</f>
        <v>12.931963215994571</v>
      </c>
      <c r="L227" s="698">
        <f t="shared" si="3"/>
        <v>12.931963215994571</v>
      </c>
      <c r="M227" s="305"/>
      <c r="N227" s="305"/>
      <c r="O227" s="305"/>
      <c r="P227" s="305"/>
      <c r="Q227" s="305"/>
      <c r="R227" s="313"/>
      <c r="S227" s="239" t="s">
        <v>32</v>
      </c>
      <c r="T227" s="265"/>
      <c r="U227" s="266" t="str">
        <f>$AP$114</f>
        <v>Train</v>
      </c>
      <c r="V227" s="267" t="s">
        <v>362</v>
      </c>
      <c r="AG227" s="148"/>
      <c r="AH227" s="148"/>
      <c r="BC227" s="232"/>
    </row>
    <row r="228" spans="1:55" ht="15" x14ac:dyDescent="0.25">
      <c r="A228" s="675">
        <v>85</v>
      </c>
      <c r="B228" s="707">
        <v>7</v>
      </c>
      <c r="C228" s="708">
        <v>3</v>
      </c>
      <c r="D228" s="707">
        <v>1</v>
      </c>
      <c r="E228" s="677">
        <v>13</v>
      </c>
      <c r="F228" s="697" t="s">
        <v>949</v>
      </c>
      <c r="G228" s="711" t="s">
        <v>956</v>
      </c>
      <c r="H228" s="679" t="s">
        <v>968</v>
      </c>
      <c r="I228" s="679" t="s">
        <v>986</v>
      </c>
      <c r="J228" s="697" t="str">
        <f t="shared" si="2"/>
        <v>Invite</v>
      </c>
      <c r="K228" s="680">
        <f>'Standard Avalrem Table'!E31</f>
        <v>12.487747390847485</v>
      </c>
      <c r="L228" s="698">
        <f t="shared" si="3"/>
        <v>12.487747390847485</v>
      </c>
      <c r="M228" s="305"/>
      <c r="N228" s="305"/>
      <c r="O228" s="305"/>
      <c r="P228" s="305"/>
      <c r="Q228" s="305"/>
      <c r="R228" s="313"/>
      <c r="S228" s="239" t="s">
        <v>32</v>
      </c>
      <c r="T228" s="265"/>
      <c r="U228" s="266" t="str">
        <f>$AP$115</f>
        <v>Invite</v>
      </c>
      <c r="V228" s="267" t="s">
        <v>362</v>
      </c>
      <c r="AG228" s="148"/>
      <c r="AH228" s="148"/>
      <c r="BC228" s="232"/>
    </row>
    <row r="229" spans="1:55" ht="15" x14ac:dyDescent="0.25">
      <c r="A229" s="675">
        <v>86</v>
      </c>
      <c r="B229" s="707">
        <v>7</v>
      </c>
      <c r="C229" s="708">
        <v>3</v>
      </c>
      <c r="D229" s="707">
        <v>2</v>
      </c>
      <c r="E229" s="677">
        <v>14</v>
      </c>
      <c r="F229" s="697" t="s">
        <v>949</v>
      </c>
      <c r="G229" s="711" t="s">
        <v>956</v>
      </c>
      <c r="H229" s="679" t="s">
        <v>968</v>
      </c>
      <c r="I229" s="679" t="s">
        <v>987</v>
      </c>
      <c r="J229" s="697" t="str">
        <f t="shared" si="2"/>
        <v>Request</v>
      </c>
      <c r="K229" s="680">
        <f>'Standard Avalrem Table'!E46</f>
        <v>29.008504025822855</v>
      </c>
      <c r="L229" s="698">
        <f t="shared" si="3"/>
        <v>29.008504025822855</v>
      </c>
      <c r="M229" s="305"/>
      <c r="N229" s="305"/>
      <c r="O229" s="305"/>
      <c r="P229" s="305"/>
      <c r="Q229" s="305"/>
      <c r="R229" s="313"/>
      <c r="S229" s="239" t="s">
        <v>32</v>
      </c>
      <c r="T229" s="265"/>
      <c r="U229" s="266" t="str">
        <f>$AR$115</f>
        <v>Request</v>
      </c>
      <c r="V229" s="267" t="s">
        <v>362</v>
      </c>
      <c r="AG229" s="148"/>
      <c r="AH229" s="148"/>
      <c r="BC229" s="232"/>
    </row>
    <row r="230" spans="1:55" ht="15" x14ac:dyDescent="0.25">
      <c r="A230" s="675">
        <v>87</v>
      </c>
      <c r="B230" s="707">
        <v>8</v>
      </c>
      <c r="C230" s="708">
        <v>3</v>
      </c>
      <c r="D230" s="707">
        <v>1</v>
      </c>
      <c r="E230" s="677">
        <v>15</v>
      </c>
      <c r="F230" s="697" t="s">
        <v>949</v>
      </c>
      <c r="G230" s="711" t="s">
        <v>957</v>
      </c>
      <c r="H230" s="679" t="s">
        <v>969</v>
      </c>
      <c r="I230" s="679" t="s">
        <v>988</v>
      </c>
      <c r="J230" s="697" t="str">
        <f t="shared" si="2"/>
        <v>Allocate</v>
      </c>
      <c r="K230" s="680">
        <f>'Standard Avalrem Table'!E32</f>
        <v>15.349913711425824</v>
      </c>
      <c r="L230" s="698">
        <f t="shared" si="3"/>
        <v>15.349913711425824</v>
      </c>
      <c r="M230" s="305"/>
      <c r="N230" s="305"/>
      <c r="O230" s="305"/>
      <c r="P230" s="305"/>
      <c r="Q230" s="305"/>
      <c r="R230" s="313"/>
      <c r="S230" s="239" t="s">
        <v>32</v>
      </c>
      <c r="T230" s="265"/>
      <c r="U230" s="266" t="str">
        <f>$AP$116</f>
        <v>Allocate</v>
      </c>
      <c r="V230" s="267" t="s">
        <v>362</v>
      </c>
      <c r="AG230" s="148"/>
      <c r="AH230" s="148"/>
      <c r="BC230" s="232"/>
    </row>
    <row r="231" spans="1:55" ht="15" x14ac:dyDescent="0.25">
      <c r="A231" s="675">
        <v>88</v>
      </c>
      <c r="B231" s="707">
        <v>8</v>
      </c>
      <c r="C231" s="708">
        <v>3</v>
      </c>
      <c r="D231" s="707">
        <v>2</v>
      </c>
      <c r="E231" s="677">
        <v>16</v>
      </c>
      <c r="F231" s="697" t="s">
        <v>949</v>
      </c>
      <c r="G231" s="711" t="s">
        <v>957</v>
      </c>
      <c r="H231" s="679" t="s">
        <v>969</v>
      </c>
      <c r="I231" s="679" t="s">
        <v>989</v>
      </c>
      <c r="J231" s="697" t="str">
        <f t="shared" si="2"/>
        <v>Distribute</v>
      </c>
      <c r="K231" s="680">
        <f>'Standard Avalrem Table'!E47</f>
        <v>30.249436277327128</v>
      </c>
      <c r="L231" s="698">
        <f t="shared" si="3"/>
        <v>30.249436277327128</v>
      </c>
      <c r="M231" s="305"/>
      <c r="N231" s="305"/>
      <c r="O231" s="305"/>
      <c r="P231" s="305"/>
      <c r="Q231" s="305"/>
      <c r="R231" s="313"/>
      <c r="S231" s="239" t="s">
        <v>32</v>
      </c>
      <c r="T231" s="265"/>
      <c r="U231" s="266" t="str">
        <f>$AR$116</f>
        <v>Distribute</v>
      </c>
      <c r="V231" s="267" t="s">
        <v>362</v>
      </c>
      <c r="AG231" s="148"/>
      <c r="AH231" s="148"/>
      <c r="BC231" s="232"/>
    </row>
    <row r="232" spans="1:55" ht="15" x14ac:dyDescent="0.25">
      <c r="A232" s="675">
        <v>89</v>
      </c>
      <c r="B232" s="707">
        <v>9</v>
      </c>
      <c r="C232" s="708">
        <v>3</v>
      </c>
      <c r="D232" s="707">
        <v>1</v>
      </c>
      <c r="E232" s="677">
        <v>17</v>
      </c>
      <c r="F232" s="697" t="s">
        <v>949</v>
      </c>
      <c r="G232" s="711" t="s">
        <v>958</v>
      </c>
      <c r="H232" s="679" t="s">
        <v>970</v>
      </c>
      <c r="I232" s="679" t="s">
        <v>990</v>
      </c>
      <c r="J232" s="697" t="str">
        <f t="shared" si="2"/>
        <v>Integrate</v>
      </c>
      <c r="K232" s="680">
        <f>'Standard Avalrem Table'!E33</f>
        <v>15.47396370226063</v>
      </c>
      <c r="L232" s="698">
        <f t="shared" si="3"/>
        <v>15.47396370226063</v>
      </c>
      <c r="M232" s="305"/>
      <c r="N232" s="305"/>
      <c r="O232" s="305"/>
      <c r="P232" s="305"/>
      <c r="Q232" s="305"/>
      <c r="R232" s="313"/>
      <c r="S232" s="239" t="s">
        <v>32</v>
      </c>
      <c r="T232" s="265"/>
      <c r="U232" s="266" t="str">
        <f>$AP$117</f>
        <v>Integrate</v>
      </c>
      <c r="V232" s="267" t="s">
        <v>362</v>
      </c>
      <c r="AG232" s="148"/>
      <c r="AH232" s="148"/>
      <c r="BC232" s="232"/>
    </row>
    <row r="233" spans="1:55" ht="15" x14ac:dyDescent="0.25">
      <c r="A233" s="675">
        <v>90</v>
      </c>
      <c r="B233" s="707">
        <v>9</v>
      </c>
      <c r="C233" s="708">
        <v>3</v>
      </c>
      <c r="D233" s="707">
        <v>2</v>
      </c>
      <c r="E233" s="677">
        <v>18</v>
      </c>
      <c r="F233" s="697" t="s">
        <v>949</v>
      </c>
      <c r="G233" s="711" t="s">
        <v>958</v>
      </c>
      <c r="H233" s="679" t="s">
        <v>970</v>
      </c>
      <c r="I233" s="679" t="s">
        <v>991</v>
      </c>
      <c r="J233" s="697" t="str">
        <f t="shared" si="2"/>
        <v>Synchronize</v>
      </c>
      <c r="K233" s="680">
        <f>'Standard Avalrem Table'!E48</f>
        <v>31.490368528831418</v>
      </c>
      <c r="L233" s="698">
        <f t="shared" si="3"/>
        <v>31.490368528831418</v>
      </c>
      <c r="M233" s="305"/>
      <c r="N233" s="305"/>
      <c r="O233" s="305"/>
      <c r="P233" s="305"/>
      <c r="Q233" s="305"/>
      <c r="R233" s="313"/>
      <c r="S233" s="239" t="s">
        <v>32</v>
      </c>
      <c r="T233" s="265"/>
      <c r="U233" s="266" t="str">
        <f>$AR$117</f>
        <v>Synchronize</v>
      </c>
      <c r="V233" s="267" t="s">
        <v>362</v>
      </c>
      <c r="AG233" s="148"/>
      <c r="AH233" s="148"/>
      <c r="BC233" s="232"/>
    </row>
    <row r="234" spans="1:55" ht="15" x14ac:dyDescent="0.25">
      <c r="A234" s="675">
        <v>91</v>
      </c>
      <c r="B234" s="707">
        <v>10</v>
      </c>
      <c r="C234" s="708">
        <v>3</v>
      </c>
      <c r="D234" s="707">
        <v>1</v>
      </c>
      <c r="E234" s="677">
        <v>19</v>
      </c>
      <c r="F234" s="697" t="s">
        <v>949</v>
      </c>
      <c r="G234" s="711" t="s">
        <v>959</v>
      </c>
      <c r="H234" s="679" t="s">
        <v>971</v>
      </c>
      <c r="I234" s="679" t="s">
        <v>992</v>
      </c>
      <c r="J234" s="697" t="str">
        <f t="shared" si="2"/>
        <v>Adapt</v>
      </c>
      <c r="K234" s="680">
        <f>'Standard Avalrem Table'!E34</f>
        <v>15.918179527407723</v>
      </c>
      <c r="L234" s="698">
        <f t="shared" si="3"/>
        <v>15.918179527407723</v>
      </c>
      <c r="M234" s="305"/>
      <c r="N234" s="305"/>
      <c r="O234" s="305"/>
      <c r="P234" s="305"/>
      <c r="Q234" s="305"/>
      <c r="R234" s="313"/>
      <c r="S234" s="239" t="s">
        <v>32</v>
      </c>
      <c r="T234" s="265" t="s">
        <v>133</v>
      </c>
      <c r="U234" s="266" t="str">
        <f>$AP$118</f>
        <v>Adapt</v>
      </c>
      <c r="V234" s="267" t="s">
        <v>362</v>
      </c>
      <c r="AG234" s="148"/>
      <c r="AH234" s="148"/>
      <c r="BC234" s="232"/>
    </row>
    <row r="235" spans="1:55" ht="15" x14ac:dyDescent="0.25">
      <c r="A235" s="675">
        <v>92</v>
      </c>
      <c r="B235" s="707">
        <v>10</v>
      </c>
      <c r="C235" s="708">
        <v>3</v>
      </c>
      <c r="D235" s="707">
        <v>2</v>
      </c>
      <c r="E235" s="677">
        <v>20</v>
      </c>
      <c r="F235" s="697" t="s">
        <v>949</v>
      </c>
      <c r="G235" s="711" t="s">
        <v>959</v>
      </c>
      <c r="H235" s="679" t="s">
        <v>971</v>
      </c>
      <c r="I235" s="679" t="s">
        <v>993</v>
      </c>
      <c r="J235" s="697" t="str">
        <f t="shared" si="2"/>
        <v>Calibrate</v>
      </c>
      <c r="K235" s="680">
        <f>'Standard Avalrem Table'!E49</f>
        <v>31.490368528831418</v>
      </c>
      <c r="L235" s="698">
        <f t="shared" si="3"/>
        <v>31.490368528831418</v>
      </c>
      <c r="M235" s="305"/>
      <c r="N235" s="305"/>
      <c r="O235" s="305"/>
      <c r="P235" s="305"/>
      <c r="Q235" s="305"/>
      <c r="R235" s="313"/>
      <c r="S235" s="239" t="s">
        <v>32</v>
      </c>
      <c r="T235" s="265"/>
      <c r="U235" s="266" t="str">
        <f>$AR$118</f>
        <v>Calibrate</v>
      </c>
      <c r="V235" s="267" t="s">
        <v>362</v>
      </c>
      <c r="AG235" s="148"/>
      <c r="AH235" s="148"/>
      <c r="BC235" s="232"/>
    </row>
    <row r="236" spans="1:55" ht="15" x14ac:dyDescent="0.25">
      <c r="A236" s="675">
        <v>93</v>
      </c>
      <c r="B236" s="707">
        <v>11</v>
      </c>
      <c r="C236" s="708">
        <v>3</v>
      </c>
      <c r="D236" s="707">
        <v>1</v>
      </c>
      <c r="E236" s="677">
        <v>21</v>
      </c>
      <c r="F236" s="697" t="s">
        <v>949</v>
      </c>
      <c r="G236" s="711" t="s">
        <v>960</v>
      </c>
      <c r="H236" s="679" t="s">
        <v>972</v>
      </c>
      <c r="I236" s="679" t="s">
        <v>994</v>
      </c>
      <c r="J236" s="697" t="str">
        <f t="shared" si="2"/>
        <v>Develop</v>
      </c>
      <c r="K236" s="680">
        <f>'Standard Avalrem Table'!E35</f>
        <v>13.056013206829377</v>
      </c>
      <c r="L236" s="698">
        <f t="shared" si="3"/>
        <v>13.056013206829377</v>
      </c>
      <c r="M236" s="305"/>
      <c r="N236" s="305"/>
      <c r="O236" s="305"/>
      <c r="P236" s="305"/>
      <c r="Q236" s="305"/>
      <c r="R236" s="313"/>
      <c r="S236" s="239" t="s">
        <v>32</v>
      </c>
      <c r="T236" s="265"/>
      <c r="U236" s="266" t="str">
        <f>$AP$119</f>
        <v>Develop</v>
      </c>
      <c r="V236" s="267" t="s">
        <v>362</v>
      </c>
      <c r="AG236" s="148"/>
      <c r="AH236" s="148"/>
      <c r="BC236" s="232"/>
    </row>
    <row r="237" spans="1:55" ht="15" x14ac:dyDescent="0.25">
      <c r="A237" s="675">
        <v>94</v>
      </c>
      <c r="B237" s="707">
        <v>11</v>
      </c>
      <c r="C237" s="708">
        <v>3</v>
      </c>
      <c r="D237" s="707">
        <v>2</v>
      </c>
      <c r="E237" s="677">
        <v>22</v>
      </c>
      <c r="F237" s="697" t="s">
        <v>949</v>
      </c>
      <c r="G237" s="711" t="s">
        <v>960</v>
      </c>
      <c r="H237" s="679" t="s">
        <v>972</v>
      </c>
      <c r="I237" s="679" t="s">
        <v>995</v>
      </c>
      <c r="J237" s="697" t="str">
        <f t="shared" si="2"/>
        <v>Experiment</v>
      </c>
      <c r="K237" s="680">
        <f>'Standard Avalrem Table'!E50</f>
        <v>30.249436277327131</v>
      </c>
      <c r="L237" s="698">
        <f t="shared" si="3"/>
        <v>30.249436277327131</v>
      </c>
      <c r="M237" s="305"/>
      <c r="N237" s="305"/>
      <c r="O237" s="305"/>
      <c r="P237" s="305"/>
      <c r="Q237" s="305"/>
      <c r="R237" s="313"/>
      <c r="S237" s="239" t="s">
        <v>32</v>
      </c>
      <c r="T237" s="265"/>
      <c r="U237" s="266" t="str">
        <f>$AR$119</f>
        <v>Experiment</v>
      </c>
      <c r="V237" s="267" t="s">
        <v>362</v>
      </c>
      <c r="AG237" s="148"/>
      <c r="AH237" s="148"/>
      <c r="BC237" s="232"/>
    </row>
    <row r="238" spans="1:55" ht="15" x14ac:dyDescent="0.25">
      <c r="A238" s="675">
        <v>95</v>
      </c>
      <c r="B238" s="707">
        <v>12</v>
      </c>
      <c r="C238" s="708">
        <v>3</v>
      </c>
      <c r="D238" s="707">
        <v>1</v>
      </c>
      <c r="E238" s="677">
        <v>23</v>
      </c>
      <c r="F238" s="697" t="s">
        <v>949</v>
      </c>
      <c r="G238" s="711" t="s">
        <v>961</v>
      </c>
      <c r="H238" s="679" t="s">
        <v>973</v>
      </c>
      <c r="I238" s="679" t="s">
        <v>996</v>
      </c>
      <c r="J238" s="697" t="str">
        <f t="shared" si="2"/>
        <v>Arrange</v>
      </c>
      <c r="K238" s="680">
        <f>'Standard Avalrem Table'!E36</f>
        <v>12.931963215994571</v>
      </c>
      <c r="L238" s="698">
        <f t="shared" si="3"/>
        <v>12.931963215994571</v>
      </c>
      <c r="M238" s="305"/>
      <c r="N238" s="305"/>
      <c r="O238" s="305"/>
      <c r="P238" s="305"/>
      <c r="Q238" s="305"/>
      <c r="R238" s="313"/>
      <c r="S238" s="239" t="s">
        <v>32</v>
      </c>
      <c r="T238" s="265"/>
      <c r="U238" s="266" t="str">
        <f>$AP$120</f>
        <v>Arrange</v>
      </c>
      <c r="V238" s="267" t="s">
        <v>362</v>
      </c>
      <c r="AG238" s="148"/>
      <c r="AH238" s="148"/>
      <c r="BC238" s="232"/>
    </row>
    <row r="239" spans="1:55" ht="15.75" thickBot="1" x14ac:dyDescent="0.3">
      <c r="A239" s="675">
        <v>96</v>
      </c>
      <c r="B239" s="707">
        <v>12</v>
      </c>
      <c r="C239" s="708">
        <v>3</v>
      </c>
      <c r="D239" s="707">
        <v>2</v>
      </c>
      <c r="E239" s="682">
        <v>24</v>
      </c>
      <c r="F239" s="679" t="s">
        <v>949</v>
      </c>
      <c r="G239" s="694" t="s">
        <v>961</v>
      </c>
      <c r="H239" s="684" t="s">
        <v>973</v>
      </c>
      <c r="I239" s="684" t="s">
        <v>997</v>
      </c>
      <c r="J239" s="712" t="str">
        <f t="shared" si="2"/>
        <v>Manipulate</v>
      </c>
      <c r="K239" s="685">
        <f>'Standard Avalrem Table'!E51</f>
        <v>29.008504025822855</v>
      </c>
      <c r="L239" s="713">
        <f t="shared" si="3"/>
        <v>29.008504025822855</v>
      </c>
      <c r="M239" s="305"/>
      <c r="N239" s="305"/>
      <c r="O239" s="305"/>
      <c r="P239" s="305"/>
      <c r="Q239" s="305"/>
      <c r="R239" s="313"/>
      <c r="S239" s="239" t="s">
        <v>32</v>
      </c>
      <c r="T239" s="265"/>
      <c r="U239" s="266" t="str">
        <f>$AR$120</f>
        <v>Manipulate</v>
      </c>
      <c r="V239" s="267" t="s">
        <v>362</v>
      </c>
      <c r="AG239" s="148"/>
      <c r="AH239" s="148"/>
      <c r="BC239" s="232"/>
    </row>
    <row r="240" spans="1:55" ht="45.75" hidden="1" thickBot="1" x14ac:dyDescent="0.3">
      <c r="A240" s="675"/>
      <c r="B240" s="707"/>
      <c r="C240" s="708"/>
      <c r="D240" s="707"/>
      <c r="E240" s="687" t="s">
        <v>1047</v>
      </c>
      <c r="F240" s="688" t="s">
        <v>897</v>
      </c>
      <c r="G240" s="706" t="s">
        <v>820</v>
      </c>
      <c r="H240" s="688" t="s">
        <v>820</v>
      </c>
      <c r="I240" s="690" t="s">
        <v>824</v>
      </c>
      <c r="J240" s="690" t="s">
        <v>825</v>
      </c>
      <c r="K240" s="690" t="s">
        <v>821</v>
      </c>
      <c r="L240" s="691" t="s">
        <v>876</v>
      </c>
      <c r="M240" s="305"/>
      <c r="N240" s="305"/>
      <c r="O240" s="305"/>
      <c r="P240" s="305"/>
      <c r="Q240" s="305"/>
      <c r="R240" s="313"/>
      <c r="S240" s="239"/>
      <c r="T240" s="265"/>
      <c r="U240" s="266"/>
      <c r="V240" s="267"/>
      <c r="AG240" s="148"/>
      <c r="AH240" s="148"/>
      <c r="BC240" s="232"/>
    </row>
    <row r="241" spans="1:55" ht="15" x14ac:dyDescent="0.25">
      <c r="A241" s="675">
        <v>97</v>
      </c>
      <c r="B241" s="714">
        <v>1</v>
      </c>
      <c r="C241" s="715">
        <v>2</v>
      </c>
      <c r="D241" s="714">
        <v>1</v>
      </c>
      <c r="E241" s="670">
        <v>1</v>
      </c>
      <c r="F241" s="697" t="s">
        <v>998</v>
      </c>
      <c r="G241" s="679" t="s">
        <v>999</v>
      </c>
      <c r="H241" s="672" t="s">
        <v>1011</v>
      </c>
      <c r="I241" s="672" t="s">
        <v>1023</v>
      </c>
      <c r="J241" s="695" t="str">
        <f t="shared" si="2"/>
        <v>Imagine</v>
      </c>
      <c r="K241" s="673">
        <f>'Standard Avalrem Table'!D25</f>
        <v>12.363520434532601</v>
      </c>
      <c r="L241" s="696">
        <f t="shared" si="3"/>
        <v>12.363520434532601</v>
      </c>
      <c r="M241" s="306"/>
      <c r="N241" s="306"/>
      <c r="O241" s="306"/>
      <c r="P241" s="306"/>
      <c r="Q241" s="306"/>
      <c r="R241" s="312"/>
      <c r="S241" s="257" t="s">
        <v>31</v>
      </c>
      <c r="T241" s="258"/>
      <c r="U241" s="259" t="str">
        <f>$AG$123</f>
        <v>Imagine</v>
      </c>
      <c r="V241" s="260" t="s">
        <v>350</v>
      </c>
      <c r="AG241" s="148"/>
      <c r="AH241" s="148"/>
      <c r="BC241" s="232"/>
    </row>
    <row r="242" spans="1:55" ht="15" x14ac:dyDescent="0.25">
      <c r="A242" s="675">
        <v>98</v>
      </c>
      <c r="B242" s="714">
        <v>1</v>
      </c>
      <c r="C242" s="715">
        <v>2</v>
      </c>
      <c r="D242" s="714">
        <v>2</v>
      </c>
      <c r="E242" s="677">
        <v>2</v>
      </c>
      <c r="F242" s="697" t="s">
        <v>998</v>
      </c>
      <c r="G242" s="679" t="s">
        <v>999</v>
      </c>
      <c r="H242" s="679" t="s">
        <v>1011</v>
      </c>
      <c r="I242" s="679" t="s">
        <v>1024</v>
      </c>
      <c r="J242" s="697" t="str">
        <f t="shared" si="2"/>
        <v>Vision</v>
      </c>
      <c r="K242" s="680">
        <f>'Standard Avalrem Table'!D40</f>
        <v>28.940934395614313</v>
      </c>
      <c r="L242" s="698">
        <f t="shared" si="3"/>
        <v>28.940934395614313</v>
      </c>
      <c r="M242" s="306"/>
      <c r="N242" s="306"/>
      <c r="O242" s="306"/>
      <c r="P242" s="306"/>
      <c r="Q242" s="306"/>
      <c r="R242" s="312"/>
      <c r="S242" s="257" t="s">
        <v>31</v>
      </c>
      <c r="T242" s="258"/>
      <c r="U242" s="259" t="str">
        <f>$AI$123</f>
        <v>Vision</v>
      </c>
      <c r="V242" s="260" t="s">
        <v>350</v>
      </c>
      <c r="AG242" s="148"/>
      <c r="AH242" s="148"/>
      <c r="BC242" s="232"/>
    </row>
    <row r="243" spans="1:55" ht="15" x14ac:dyDescent="0.25">
      <c r="A243" s="675">
        <v>99</v>
      </c>
      <c r="B243" s="714">
        <v>2</v>
      </c>
      <c r="C243" s="715">
        <v>2</v>
      </c>
      <c r="D243" s="714">
        <v>2</v>
      </c>
      <c r="E243" s="677">
        <v>3</v>
      </c>
      <c r="F243" s="697" t="s">
        <v>998</v>
      </c>
      <c r="G243" s="679" t="s">
        <v>1000</v>
      </c>
      <c r="H243" s="679" t="s">
        <v>1012</v>
      </c>
      <c r="I243" s="679" t="s">
        <v>1025</v>
      </c>
      <c r="J243" s="697" t="str">
        <f t="shared" si="2"/>
        <v>Adjust</v>
      </c>
      <c r="K243" s="680">
        <f>'Standard Avalrem Table'!D41</f>
        <v>30.222749043448452</v>
      </c>
      <c r="L243" s="698">
        <f t="shared" si="3"/>
        <v>30.222749043448452</v>
      </c>
      <c r="M243" s="306"/>
      <c r="N243" s="306"/>
      <c r="O243" s="306"/>
      <c r="P243" s="306"/>
      <c r="Q243" s="306"/>
      <c r="R243" s="312"/>
      <c r="S243" s="257" t="s">
        <v>31</v>
      </c>
      <c r="T243" s="258" t="s">
        <v>373</v>
      </c>
      <c r="U243" s="259" t="str">
        <f>$AI$124</f>
        <v>Adjust</v>
      </c>
      <c r="V243" s="260" t="s">
        <v>350</v>
      </c>
      <c r="AG243" s="148"/>
      <c r="AH243" s="148"/>
      <c r="BC243" s="232"/>
    </row>
    <row r="244" spans="1:55" ht="15" x14ac:dyDescent="0.25">
      <c r="A244" s="675">
        <v>100</v>
      </c>
      <c r="B244" s="714">
        <v>2</v>
      </c>
      <c r="C244" s="715">
        <v>2</v>
      </c>
      <c r="D244" s="714">
        <v>1</v>
      </c>
      <c r="E244" s="677">
        <v>4</v>
      </c>
      <c r="F244" s="697" t="s">
        <v>998</v>
      </c>
      <c r="G244" s="679" t="s">
        <v>1000</v>
      </c>
      <c r="H244" s="679" t="s">
        <v>1012</v>
      </c>
      <c r="I244" s="679" t="s">
        <v>1026</v>
      </c>
      <c r="J244" s="697" t="str">
        <f t="shared" si="2"/>
        <v>Design</v>
      </c>
      <c r="K244" s="680">
        <f>'Standard Avalrem Table'!D26</f>
        <v>14.768225296037503</v>
      </c>
      <c r="L244" s="698">
        <f t="shared" si="3"/>
        <v>14.768225296037503</v>
      </c>
      <c r="M244" s="306"/>
      <c r="N244" s="306"/>
      <c r="O244" s="306"/>
      <c r="P244" s="306"/>
      <c r="Q244" s="306"/>
      <c r="R244" s="312"/>
      <c r="S244" s="257" t="s">
        <v>31</v>
      </c>
      <c r="T244" s="258"/>
      <c r="U244" s="259" t="str">
        <f>$AG$124</f>
        <v>Design</v>
      </c>
      <c r="V244" s="260" t="s">
        <v>350</v>
      </c>
      <c r="AG244" s="148"/>
      <c r="AH244" s="148"/>
      <c r="BC244" s="232"/>
    </row>
    <row r="245" spans="1:55" ht="15" x14ac:dyDescent="0.25">
      <c r="A245" s="675">
        <v>101</v>
      </c>
      <c r="B245" s="714">
        <v>3</v>
      </c>
      <c r="C245" s="715">
        <v>2</v>
      </c>
      <c r="D245" s="714">
        <v>2</v>
      </c>
      <c r="E245" s="677">
        <v>5</v>
      </c>
      <c r="F245" s="697" t="s">
        <v>998</v>
      </c>
      <c r="G245" s="679" t="s">
        <v>1001</v>
      </c>
      <c r="H245" s="679" t="s">
        <v>1013</v>
      </c>
      <c r="I245" s="679" t="s">
        <v>1027</v>
      </c>
      <c r="J245" s="697" t="str">
        <f t="shared" si="2"/>
        <v>Cultivate</v>
      </c>
      <c r="K245" s="680">
        <f>'Standard Avalrem Table'!D42</f>
        <v>31.504563691282584</v>
      </c>
      <c r="L245" s="698">
        <f t="shared" si="3"/>
        <v>31.504563691282584</v>
      </c>
      <c r="M245" s="306"/>
      <c r="N245" s="306"/>
      <c r="O245" s="306"/>
      <c r="P245" s="306"/>
      <c r="Q245" s="306"/>
      <c r="R245" s="312"/>
      <c r="S245" s="257" t="s">
        <v>31</v>
      </c>
      <c r="T245" s="258"/>
      <c r="U245" s="259" t="str">
        <f>$AI$125</f>
        <v>Cultivate</v>
      </c>
      <c r="V245" s="260" t="s">
        <v>350</v>
      </c>
      <c r="AG245" s="148"/>
      <c r="AH245" s="148"/>
      <c r="BC245" s="232"/>
    </row>
    <row r="246" spans="1:55" ht="15" x14ac:dyDescent="0.25">
      <c r="A246" s="675">
        <v>102</v>
      </c>
      <c r="B246" s="714">
        <v>3</v>
      </c>
      <c r="C246" s="715">
        <v>2</v>
      </c>
      <c r="D246" s="714">
        <v>1</v>
      </c>
      <c r="E246" s="677">
        <v>6</v>
      </c>
      <c r="F246" s="697" t="s">
        <v>998</v>
      </c>
      <c r="G246" s="679" t="s">
        <v>1001</v>
      </c>
      <c r="H246" s="679" t="s">
        <v>1013</v>
      </c>
      <c r="I246" s="679" t="s">
        <v>1028</v>
      </c>
      <c r="J246" s="697" t="str">
        <f t="shared" si="2"/>
        <v>Institute</v>
      </c>
      <c r="K246" s="680">
        <f>'Standard Avalrem Table'!D27</f>
        <v>15.55080839090189</v>
      </c>
      <c r="L246" s="698">
        <f t="shared" si="3"/>
        <v>15.55080839090189</v>
      </c>
      <c r="M246" s="306"/>
      <c r="N246" s="306"/>
      <c r="O246" s="306"/>
      <c r="P246" s="306"/>
      <c r="Q246" s="306"/>
      <c r="R246" s="312"/>
      <c r="S246" s="257" t="s">
        <v>31</v>
      </c>
      <c r="T246" s="258"/>
      <c r="U246" s="259" t="str">
        <f>$AG$125</f>
        <v>Institute</v>
      </c>
      <c r="V246" s="260" t="s">
        <v>350</v>
      </c>
      <c r="AG246" s="148"/>
      <c r="AH246" s="148"/>
      <c r="BC246" s="232"/>
    </row>
    <row r="247" spans="1:55" ht="15" x14ac:dyDescent="0.25">
      <c r="A247" s="675">
        <v>103</v>
      </c>
      <c r="B247" s="714">
        <v>4</v>
      </c>
      <c r="C247" s="715">
        <v>2</v>
      </c>
      <c r="D247" s="714">
        <v>2</v>
      </c>
      <c r="E247" s="677">
        <v>7</v>
      </c>
      <c r="F247" s="697" t="s">
        <v>998</v>
      </c>
      <c r="G247" s="679" t="s">
        <v>1002</v>
      </c>
      <c r="H247" s="679" t="s">
        <v>1014</v>
      </c>
      <c r="I247" s="679" t="s">
        <v>1029</v>
      </c>
      <c r="J247" s="697" t="str">
        <f t="shared" si="2"/>
        <v>React</v>
      </c>
      <c r="K247" s="680">
        <f>'Standard Avalrem Table'!D43</f>
        <v>31.504563691282584</v>
      </c>
      <c r="L247" s="698">
        <f t="shared" si="3"/>
        <v>31.504563691282584</v>
      </c>
      <c r="M247" s="306"/>
      <c r="N247" s="306"/>
      <c r="O247" s="306"/>
      <c r="P247" s="306"/>
      <c r="Q247" s="306"/>
      <c r="R247" s="312"/>
      <c r="S247" s="257" t="s">
        <v>31</v>
      </c>
      <c r="T247" s="258"/>
      <c r="U247" s="259" t="str">
        <f>$AI$126</f>
        <v>React</v>
      </c>
      <c r="V247" s="260" t="s">
        <v>350</v>
      </c>
      <c r="AG247" s="148"/>
      <c r="AH247" s="148"/>
      <c r="BC247" s="232"/>
    </row>
    <row r="248" spans="1:55" ht="15" x14ac:dyDescent="0.25">
      <c r="A248" s="675">
        <v>104</v>
      </c>
      <c r="B248" s="714">
        <v>4</v>
      </c>
      <c r="C248" s="715">
        <v>2</v>
      </c>
      <c r="D248" s="714">
        <v>1</v>
      </c>
      <c r="E248" s="677">
        <v>8</v>
      </c>
      <c r="F248" s="697" t="s">
        <v>998</v>
      </c>
      <c r="G248" s="679" t="s">
        <v>1002</v>
      </c>
      <c r="H248" s="679" t="s">
        <v>1014</v>
      </c>
      <c r="I248" s="679" t="s">
        <v>1030</v>
      </c>
      <c r="J248" s="697" t="str">
        <f t="shared" si="2"/>
        <v>Respond</v>
      </c>
      <c r="K248" s="680">
        <f>'Standard Avalrem Table'!D28</f>
        <v>15.839903745332272</v>
      </c>
      <c r="L248" s="698">
        <f t="shared" si="3"/>
        <v>15.839903745332272</v>
      </c>
      <c r="M248" s="306"/>
      <c r="N248" s="306"/>
      <c r="O248" s="306"/>
      <c r="P248" s="306"/>
      <c r="Q248" s="306"/>
      <c r="R248" s="312"/>
      <c r="S248" s="257" t="s">
        <v>31</v>
      </c>
      <c r="T248" s="258"/>
      <c r="U248" s="259" t="str">
        <f>$AG$126</f>
        <v>Respond</v>
      </c>
      <c r="V248" s="260" t="s">
        <v>350</v>
      </c>
      <c r="AG248" s="148"/>
      <c r="AH248" s="148"/>
      <c r="BC248" s="232"/>
    </row>
    <row r="249" spans="1:55" ht="15" x14ac:dyDescent="0.25">
      <c r="A249" s="675">
        <v>105</v>
      </c>
      <c r="B249" s="714">
        <v>5</v>
      </c>
      <c r="C249" s="715">
        <v>2</v>
      </c>
      <c r="D249" s="714">
        <v>2</v>
      </c>
      <c r="E249" s="677">
        <v>9</v>
      </c>
      <c r="F249" s="697" t="s">
        <v>998</v>
      </c>
      <c r="G249" s="679" t="s">
        <v>1003</v>
      </c>
      <c r="H249" s="679" t="s">
        <v>1015</v>
      </c>
      <c r="I249" s="679" t="s">
        <v>1031</v>
      </c>
      <c r="J249" s="697" t="str">
        <f t="shared" si="2"/>
        <v>Coach</v>
      </c>
      <c r="K249" s="680">
        <f>'Standard Avalrem Table'!D44</f>
        <v>30.222749043448452</v>
      </c>
      <c r="L249" s="698">
        <f t="shared" si="3"/>
        <v>30.222749043448452</v>
      </c>
      <c r="M249" s="306"/>
      <c r="N249" s="306"/>
      <c r="O249" s="306"/>
      <c r="P249" s="306"/>
      <c r="Q249" s="306"/>
      <c r="R249" s="312"/>
      <c r="S249" s="257" t="s">
        <v>31</v>
      </c>
      <c r="T249" s="258"/>
      <c r="U249" s="259" t="str">
        <f>$AI$127</f>
        <v>Coach</v>
      </c>
      <c r="V249" s="260" t="s">
        <v>350</v>
      </c>
      <c r="AG249" s="148"/>
      <c r="AH249" s="148"/>
      <c r="BC249" s="232"/>
    </row>
    <row r="250" spans="1:55" ht="15" x14ac:dyDescent="0.25">
      <c r="A250" s="675">
        <v>106</v>
      </c>
      <c r="B250" s="714">
        <v>5</v>
      </c>
      <c r="C250" s="715">
        <v>2</v>
      </c>
      <c r="D250" s="714">
        <v>1</v>
      </c>
      <c r="E250" s="677">
        <v>10</v>
      </c>
      <c r="F250" s="697" t="s">
        <v>998</v>
      </c>
      <c r="G250" s="679" t="s">
        <v>1003</v>
      </c>
      <c r="H250" s="679" t="s">
        <v>1015</v>
      </c>
      <c r="I250" s="679" t="s">
        <v>1032</v>
      </c>
      <c r="J250" s="697" t="str">
        <f t="shared" si="2"/>
        <v>Educate</v>
      </c>
      <c r="K250" s="680">
        <f>'Standard Avalrem Table'!D29</f>
        <v>13.435198883827368</v>
      </c>
      <c r="L250" s="698">
        <f t="shared" si="3"/>
        <v>13.435198883827368</v>
      </c>
      <c r="M250" s="306"/>
      <c r="N250" s="306"/>
      <c r="O250" s="306"/>
      <c r="P250" s="306"/>
      <c r="Q250" s="306"/>
      <c r="R250" s="312"/>
      <c r="S250" s="257" t="s">
        <v>31</v>
      </c>
      <c r="T250" s="258"/>
      <c r="U250" s="259" t="str">
        <f>$AG$127</f>
        <v>Educate</v>
      </c>
      <c r="V250" s="260" t="s">
        <v>350</v>
      </c>
      <c r="AG250" s="148"/>
      <c r="AH250" s="148"/>
      <c r="BC250" s="232"/>
    </row>
    <row r="251" spans="1:55" ht="15" x14ac:dyDescent="0.25">
      <c r="A251" s="675">
        <v>107</v>
      </c>
      <c r="B251" s="714">
        <v>6</v>
      </c>
      <c r="C251" s="715">
        <v>2</v>
      </c>
      <c r="D251" s="714">
        <v>2</v>
      </c>
      <c r="E251" s="677">
        <v>11</v>
      </c>
      <c r="F251" s="697" t="s">
        <v>998</v>
      </c>
      <c r="G251" s="679" t="s">
        <v>1004</v>
      </c>
      <c r="H251" s="679" t="s">
        <v>1016</v>
      </c>
      <c r="I251" s="679" t="s">
        <v>1033</v>
      </c>
      <c r="J251" s="697" t="str">
        <f t="shared" si="2"/>
        <v>Abolish</v>
      </c>
      <c r="K251" s="680">
        <f>'Standard Avalrem Table'!D45</f>
        <v>28.940934395614313</v>
      </c>
      <c r="L251" s="698">
        <f t="shared" si="3"/>
        <v>28.940934395614313</v>
      </c>
      <c r="M251" s="306"/>
      <c r="N251" s="306"/>
      <c r="O251" s="306"/>
      <c r="P251" s="306"/>
      <c r="Q251" s="306"/>
      <c r="R251" s="312"/>
      <c r="S251" s="257" t="s">
        <v>31</v>
      </c>
      <c r="T251" s="258"/>
      <c r="U251" s="259" t="str">
        <f>$AI$128</f>
        <v>Abolish</v>
      </c>
      <c r="V251" s="260" t="s">
        <v>350</v>
      </c>
      <c r="AG251" s="148"/>
      <c r="AH251" s="148"/>
      <c r="BC251" s="232"/>
    </row>
    <row r="252" spans="1:55" ht="15" x14ac:dyDescent="0.25">
      <c r="A252" s="675">
        <v>108</v>
      </c>
      <c r="B252" s="714">
        <v>6</v>
      </c>
      <c r="C252" s="715">
        <v>2</v>
      </c>
      <c r="D252" s="714">
        <v>1</v>
      </c>
      <c r="E252" s="677">
        <v>12</v>
      </c>
      <c r="F252" s="697" t="s">
        <v>998</v>
      </c>
      <c r="G252" s="679" t="s">
        <v>1004</v>
      </c>
      <c r="H252" s="679" t="s">
        <v>1016</v>
      </c>
      <c r="I252" s="679" t="s">
        <v>1034</v>
      </c>
      <c r="J252" s="697" t="str">
        <f t="shared" si="2"/>
        <v>Eliminate</v>
      </c>
      <c r="K252" s="680">
        <f>'Standard Avalrem Table'!D30</f>
        <v>12.652615788962985</v>
      </c>
      <c r="L252" s="698">
        <f t="shared" si="3"/>
        <v>12.652615788962985</v>
      </c>
      <c r="M252" s="306"/>
      <c r="N252" s="306"/>
      <c r="O252" s="306"/>
      <c r="P252" s="306"/>
      <c r="Q252" s="306"/>
      <c r="R252" s="312"/>
      <c r="S252" s="257" t="s">
        <v>31</v>
      </c>
      <c r="T252" s="258"/>
      <c r="U252" s="259" t="str">
        <f>$AG$128</f>
        <v>Eliminate</v>
      </c>
      <c r="V252" s="260" t="s">
        <v>350</v>
      </c>
      <c r="AG252" s="148"/>
      <c r="AH252" s="148"/>
      <c r="BC252" s="232"/>
    </row>
    <row r="253" spans="1:55" ht="15" x14ac:dyDescent="0.25">
      <c r="A253" s="675">
        <v>109</v>
      </c>
      <c r="B253" s="714">
        <v>7</v>
      </c>
      <c r="C253" s="715">
        <v>2</v>
      </c>
      <c r="D253" s="714">
        <v>1</v>
      </c>
      <c r="E253" s="677">
        <v>13</v>
      </c>
      <c r="F253" s="697" t="s">
        <v>998</v>
      </c>
      <c r="G253" s="679" t="s">
        <v>1005</v>
      </c>
      <c r="H253" s="679" t="s">
        <v>1017</v>
      </c>
      <c r="I253" s="679" t="s">
        <v>1035</v>
      </c>
      <c r="J253" s="697" t="str">
        <f t="shared" si="2"/>
        <v>Change</v>
      </c>
      <c r="K253" s="680">
        <f>'Standard Avalrem Table'!D31</f>
        <v>12.363520434532601</v>
      </c>
      <c r="L253" s="698">
        <f t="shared" si="3"/>
        <v>12.363520434532601</v>
      </c>
      <c r="M253" s="306"/>
      <c r="N253" s="306"/>
      <c r="O253" s="306"/>
      <c r="P253" s="306"/>
      <c r="Q253" s="306"/>
      <c r="R253" s="312"/>
      <c r="S253" s="257" t="s">
        <v>31</v>
      </c>
      <c r="T253" s="258"/>
      <c r="U253" s="259" t="str">
        <f>$AG$129</f>
        <v>Change</v>
      </c>
      <c r="V253" s="260" t="s">
        <v>350</v>
      </c>
      <c r="AG253" s="148"/>
      <c r="AH253" s="148"/>
      <c r="BC253" s="232"/>
    </row>
    <row r="254" spans="1:55" ht="15" x14ac:dyDescent="0.25">
      <c r="A254" s="675">
        <v>110</v>
      </c>
      <c r="B254" s="714">
        <v>7</v>
      </c>
      <c r="C254" s="715">
        <v>2</v>
      </c>
      <c r="D254" s="714">
        <v>2</v>
      </c>
      <c r="E254" s="677">
        <v>14</v>
      </c>
      <c r="F254" s="697" t="s">
        <v>998</v>
      </c>
      <c r="G254" s="679" t="s">
        <v>1005</v>
      </c>
      <c r="H254" s="679" t="s">
        <v>1017</v>
      </c>
      <c r="I254" s="679" t="s">
        <v>1036</v>
      </c>
      <c r="J254" s="697" t="str">
        <f t="shared" si="2"/>
        <v>Transform</v>
      </c>
      <c r="K254" s="680">
        <f>'Standard Avalrem Table'!D46</f>
        <v>28.940934395614313</v>
      </c>
      <c r="L254" s="698">
        <f t="shared" si="3"/>
        <v>28.940934395614313</v>
      </c>
      <c r="M254" s="306"/>
      <c r="N254" s="306"/>
      <c r="O254" s="306"/>
      <c r="P254" s="306"/>
      <c r="Q254" s="306"/>
      <c r="R254" s="312"/>
      <c r="S254" s="257" t="s">
        <v>31</v>
      </c>
      <c r="T254" s="258"/>
      <c r="U254" s="259" t="str">
        <f>$AI$129</f>
        <v>Transform</v>
      </c>
      <c r="V254" s="260" t="s">
        <v>350</v>
      </c>
      <c r="AG254" s="148"/>
      <c r="AH254" s="148"/>
      <c r="BC254" s="232"/>
    </row>
    <row r="255" spans="1:55" ht="15" x14ac:dyDescent="0.25">
      <c r="A255" s="675">
        <v>111</v>
      </c>
      <c r="B255" s="714">
        <v>8</v>
      </c>
      <c r="C255" s="715">
        <v>2</v>
      </c>
      <c r="D255" s="714">
        <v>2</v>
      </c>
      <c r="E255" s="677">
        <v>15</v>
      </c>
      <c r="F255" s="697" t="s">
        <v>998</v>
      </c>
      <c r="G255" s="679" t="s">
        <v>1006</v>
      </c>
      <c r="H255" s="679" t="s">
        <v>1018</v>
      </c>
      <c r="I255" s="679" t="s">
        <v>1037</v>
      </c>
      <c r="J255" s="697" t="str">
        <f t="shared" si="2"/>
        <v>Assign</v>
      </c>
      <c r="K255" s="680">
        <f>'Standard Avalrem Table'!D47</f>
        <v>30.222749043448452</v>
      </c>
      <c r="L255" s="698">
        <f t="shared" si="3"/>
        <v>30.222749043448452</v>
      </c>
      <c r="M255" s="306"/>
      <c r="N255" s="306"/>
      <c r="O255" s="306"/>
      <c r="P255" s="306"/>
      <c r="Q255" s="306"/>
      <c r="R255" s="312"/>
      <c r="S255" s="257" t="s">
        <v>31</v>
      </c>
      <c r="T255" s="258"/>
      <c r="U255" s="259" t="str">
        <f>$AI$130</f>
        <v>Assign</v>
      </c>
      <c r="V255" s="260" t="s">
        <v>350</v>
      </c>
      <c r="AG255" s="148"/>
      <c r="AH255" s="148"/>
      <c r="BC255" s="232"/>
    </row>
    <row r="256" spans="1:55" ht="15" x14ac:dyDescent="0.25">
      <c r="A256" s="675">
        <v>112</v>
      </c>
      <c r="B256" s="714">
        <v>8</v>
      </c>
      <c r="C256" s="715">
        <v>2</v>
      </c>
      <c r="D256" s="714">
        <v>1</v>
      </c>
      <c r="E256" s="677">
        <v>16</v>
      </c>
      <c r="F256" s="697" t="s">
        <v>998</v>
      </c>
      <c r="G256" s="679" t="s">
        <v>1006</v>
      </c>
      <c r="H256" s="679" t="s">
        <v>1018</v>
      </c>
      <c r="I256" s="679" t="s">
        <v>1038</v>
      </c>
      <c r="J256" s="697" t="str">
        <f t="shared" si="2"/>
        <v>Delegate</v>
      </c>
      <c r="K256" s="680">
        <f>'Standard Avalrem Table'!D32</f>
        <v>14.768225296037503</v>
      </c>
      <c r="L256" s="698">
        <f t="shared" si="3"/>
        <v>14.768225296037503</v>
      </c>
      <c r="M256" s="306"/>
      <c r="N256" s="306"/>
      <c r="O256" s="306"/>
      <c r="P256" s="306"/>
      <c r="Q256" s="306"/>
      <c r="R256" s="312"/>
      <c r="S256" s="257" t="s">
        <v>31</v>
      </c>
      <c r="T256" s="258"/>
      <c r="U256" s="259" t="str">
        <f>$AG$130</f>
        <v>Delegate</v>
      </c>
      <c r="V256" s="260" t="s">
        <v>350</v>
      </c>
      <c r="AG256" s="148"/>
      <c r="AH256" s="148"/>
      <c r="BC256" s="232"/>
    </row>
    <row r="257" spans="1:55" ht="15" x14ac:dyDescent="0.25">
      <c r="A257" s="675">
        <v>113</v>
      </c>
      <c r="B257" s="714">
        <v>9</v>
      </c>
      <c r="C257" s="715">
        <v>2</v>
      </c>
      <c r="D257" s="714">
        <v>1</v>
      </c>
      <c r="E257" s="677">
        <v>17</v>
      </c>
      <c r="F257" s="697" t="s">
        <v>998</v>
      </c>
      <c r="G257" s="679" t="s">
        <v>1007</v>
      </c>
      <c r="H257" s="679" t="s">
        <v>1019</v>
      </c>
      <c r="I257" s="679" t="s">
        <v>1039</v>
      </c>
      <c r="J257" s="697" t="str">
        <f t="shared" si="2"/>
        <v>Scrutinize</v>
      </c>
      <c r="K257" s="680">
        <f>'Standard Avalrem Table'!D33</f>
        <v>15.55080839090189</v>
      </c>
      <c r="L257" s="698">
        <f t="shared" si="3"/>
        <v>15.55080839090189</v>
      </c>
      <c r="M257" s="306"/>
      <c r="N257" s="306"/>
      <c r="O257" s="306"/>
      <c r="P257" s="306"/>
      <c r="Q257" s="306"/>
      <c r="R257" s="312"/>
      <c r="S257" s="257" t="s">
        <v>31</v>
      </c>
      <c r="T257" s="258"/>
      <c r="U257" s="259" t="str">
        <f>$AG$131</f>
        <v>Scrutinize</v>
      </c>
      <c r="V257" s="260" t="s">
        <v>350</v>
      </c>
      <c r="AG257" s="148"/>
      <c r="AH257" s="148"/>
      <c r="BC257" s="232"/>
    </row>
    <row r="258" spans="1:55" ht="15" x14ac:dyDescent="0.25">
      <c r="A258" s="675">
        <v>114</v>
      </c>
      <c r="B258" s="714">
        <v>9</v>
      </c>
      <c r="C258" s="715">
        <v>2</v>
      </c>
      <c r="D258" s="714">
        <v>2</v>
      </c>
      <c r="E258" s="677">
        <v>18</v>
      </c>
      <c r="F258" s="697" t="s">
        <v>998</v>
      </c>
      <c r="G258" s="679" t="s">
        <v>1007</v>
      </c>
      <c r="H258" s="679" t="s">
        <v>1019</v>
      </c>
      <c r="I258" s="679" t="s">
        <v>1040</v>
      </c>
      <c r="J258" s="697" t="str">
        <f t="shared" si="2"/>
        <v>Survey</v>
      </c>
      <c r="K258" s="680">
        <f>'Standard Avalrem Table'!D48</f>
        <v>31.504563691282584</v>
      </c>
      <c r="L258" s="698">
        <f t="shared" si="3"/>
        <v>31.504563691282584</v>
      </c>
      <c r="M258" s="306"/>
      <c r="N258" s="306"/>
      <c r="O258" s="306"/>
      <c r="P258" s="306"/>
      <c r="Q258" s="306"/>
      <c r="R258" s="312"/>
      <c r="S258" s="257" t="s">
        <v>31</v>
      </c>
      <c r="T258" s="258" t="s">
        <v>328</v>
      </c>
      <c r="U258" s="259" t="str">
        <f>$AI$131</f>
        <v>Survey</v>
      </c>
      <c r="V258" s="260" t="s">
        <v>350</v>
      </c>
      <c r="AG258" s="148"/>
      <c r="AH258" s="148"/>
      <c r="BC258" s="232"/>
    </row>
    <row r="259" spans="1:55" ht="15" x14ac:dyDescent="0.25">
      <c r="A259" s="675">
        <v>115</v>
      </c>
      <c r="B259" s="714">
        <v>10</v>
      </c>
      <c r="C259" s="715">
        <v>2</v>
      </c>
      <c r="D259" s="714">
        <v>1</v>
      </c>
      <c r="E259" s="677">
        <v>19</v>
      </c>
      <c r="F259" s="697" t="s">
        <v>998</v>
      </c>
      <c r="G259" s="679" t="s">
        <v>1008</v>
      </c>
      <c r="H259" s="679" t="s">
        <v>1020</v>
      </c>
      <c r="I259" s="679" t="s">
        <v>1041</v>
      </c>
      <c r="J259" s="697" t="str">
        <f t="shared" si="2"/>
        <v>Facilitate</v>
      </c>
      <c r="K259" s="680">
        <f>'Standard Avalrem Table'!D34</f>
        <v>15.839903745332272</v>
      </c>
      <c r="L259" s="698">
        <f t="shared" si="3"/>
        <v>15.839903745332272</v>
      </c>
      <c r="M259" s="306"/>
      <c r="N259" s="306"/>
      <c r="O259" s="306"/>
      <c r="P259" s="306"/>
      <c r="Q259" s="306"/>
      <c r="R259" s="312"/>
      <c r="S259" s="257" t="s">
        <v>31</v>
      </c>
      <c r="T259" s="258"/>
      <c r="U259" s="259" t="str">
        <f>$AG$132</f>
        <v>Facilitate</v>
      </c>
      <c r="V259" s="260" t="s">
        <v>350</v>
      </c>
      <c r="AG259" s="148"/>
      <c r="AH259" s="148"/>
      <c r="BC259" s="232"/>
    </row>
    <row r="260" spans="1:55" ht="15" x14ac:dyDescent="0.25">
      <c r="A260" s="675">
        <v>116</v>
      </c>
      <c r="B260" s="714">
        <v>10</v>
      </c>
      <c r="C260" s="715">
        <v>2</v>
      </c>
      <c r="D260" s="714">
        <v>2</v>
      </c>
      <c r="E260" s="677">
        <v>20</v>
      </c>
      <c r="F260" s="697" t="s">
        <v>998</v>
      </c>
      <c r="G260" s="679" t="s">
        <v>1008</v>
      </c>
      <c r="H260" s="679" t="s">
        <v>1020</v>
      </c>
      <c r="I260" s="679" t="s">
        <v>1042</v>
      </c>
      <c r="J260" s="697" t="str">
        <f t="shared" si="2"/>
        <v>Support</v>
      </c>
      <c r="K260" s="680">
        <f>'Standard Avalrem Table'!D49</f>
        <v>31.504563691282584</v>
      </c>
      <c r="L260" s="698">
        <f t="shared" si="3"/>
        <v>31.504563691282584</v>
      </c>
      <c r="M260" s="306"/>
      <c r="N260" s="306"/>
      <c r="O260" s="306"/>
      <c r="P260" s="306"/>
      <c r="Q260" s="306"/>
      <c r="R260" s="312"/>
      <c r="S260" s="257" t="s">
        <v>31</v>
      </c>
      <c r="T260" s="258"/>
      <c r="U260" s="259" t="str">
        <f>$AI$132</f>
        <v>Support</v>
      </c>
      <c r="V260" s="260" t="s">
        <v>350</v>
      </c>
      <c r="AG260" s="148"/>
      <c r="AH260" s="148"/>
      <c r="BC260" s="232"/>
    </row>
    <row r="261" spans="1:55" ht="15" x14ac:dyDescent="0.25">
      <c r="A261" s="675">
        <v>117</v>
      </c>
      <c r="B261" s="714">
        <v>11</v>
      </c>
      <c r="C261" s="715">
        <v>2</v>
      </c>
      <c r="D261" s="714">
        <v>1</v>
      </c>
      <c r="E261" s="677">
        <v>21</v>
      </c>
      <c r="F261" s="697" t="s">
        <v>998</v>
      </c>
      <c r="G261" s="679" t="s">
        <v>1009</v>
      </c>
      <c r="H261" s="679" t="s">
        <v>1021</v>
      </c>
      <c r="I261" s="679" t="s">
        <v>1043</v>
      </c>
      <c r="J261" s="697" t="str">
        <f t="shared" si="2"/>
        <v>Renovate</v>
      </c>
      <c r="K261" s="680">
        <f>'Standard Avalrem Table'!D35</f>
        <v>13.435198883827368</v>
      </c>
      <c r="L261" s="698">
        <f t="shared" si="3"/>
        <v>13.435198883827368</v>
      </c>
      <c r="M261" s="306"/>
      <c r="N261" s="306"/>
      <c r="O261" s="306"/>
      <c r="P261" s="306"/>
      <c r="Q261" s="306"/>
      <c r="R261" s="312"/>
      <c r="S261" s="257" t="s">
        <v>31</v>
      </c>
      <c r="T261" s="258"/>
      <c r="U261" s="259" t="str">
        <f>$AG$133</f>
        <v>Renovate</v>
      </c>
      <c r="V261" s="260" t="s">
        <v>350</v>
      </c>
      <c r="AG261" s="148"/>
      <c r="AH261" s="148"/>
      <c r="BC261" s="232"/>
    </row>
    <row r="262" spans="1:55" ht="15" x14ac:dyDescent="0.25">
      <c r="A262" s="675">
        <v>118</v>
      </c>
      <c r="B262" s="714">
        <v>11</v>
      </c>
      <c r="C262" s="715">
        <v>2</v>
      </c>
      <c r="D262" s="714">
        <v>2</v>
      </c>
      <c r="E262" s="677">
        <v>22</v>
      </c>
      <c r="F262" s="697" t="s">
        <v>998</v>
      </c>
      <c r="G262" s="679" t="s">
        <v>1009</v>
      </c>
      <c r="H262" s="679" t="s">
        <v>1021</v>
      </c>
      <c r="I262" s="679" t="s">
        <v>1044</v>
      </c>
      <c r="J262" s="697" t="str">
        <f t="shared" si="2"/>
        <v xml:space="preserve">Repair </v>
      </c>
      <c r="K262" s="680">
        <f>'Standard Avalrem Table'!D50</f>
        <v>30.222749043448452</v>
      </c>
      <c r="L262" s="698">
        <f t="shared" si="3"/>
        <v>30.222749043448452</v>
      </c>
      <c r="M262" s="306"/>
      <c r="N262" s="306"/>
      <c r="O262" s="306"/>
      <c r="P262" s="306"/>
      <c r="Q262" s="306"/>
      <c r="R262" s="312"/>
      <c r="S262" s="257" t="s">
        <v>31</v>
      </c>
      <c r="T262" s="258"/>
      <c r="U262" s="259" t="str">
        <f>$AI$133</f>
        <v xml:space="preserve">Repair </v>
      </c>
      <c r="V262" s="260" t="s">
        <v>350</v>
      </c>
      <c r="AG262" s="148"/>
      <c r="AH262" s="148"/>
      <c r="BC262" s="232"/>
    </row>
    <row r="263" spans="1:55" ht="15.75" thickBot="1" x14ac:dyDescent="0.3">
      <c r="A263" s="675">
        <v>119</v>
      </c>
      <c r="B263" s="714">
        <v>12</v>
      </c>
      <c r="C263" s="715">
        <v>2</v>
      </c>
      <c r="D263" s="714">
        <v>1</v>
      </c>
      <c r="E263" s="677">
        <v>23</v>
      </c>
      <c r="F263" s="697" t="s">
        <v>998</v>
      </c>
      <c r="G263" s="679" t="s">
        <v>1010</v>
      </c>
      <c r="H263" s="679" t="s">
        <v>1022</v>
      </c>
      <c r="I263" s="679" t="s">
        <v>1045</v>
      </c>
      <c r="J263" s="697" t="str">
        <f t="shared" si="2"/>
        <v>Modify</v>
      </c>
      <c r="K263" s="680">
        <f>'Standard Avalrem Table'!D36</f>
        <v>12.652615788962985</v>
      </c>
      <c r="L263" s="698">
        <f t="shared" si="3"/>
        <v>12.652615788962985</v>
      </c>
      <c r="M263" s="306"/>
      <c r="N263" s="306"/>
      <c r="O263" s="306"/>
      <c r="P263" s="306"/>
      <c r="Q263" s="306"/>
      <c r="R263" s="312"/>
      <c r="S263" s="257" t="s">
        <v>31</v>
      </c>
      <c r="T263" s="258"/>
      <c r="U263" s="259" t="str">
        <f>$AG$134</f>
        <v>Modify</v>
      </c>
      <c r="V263" s="260" t="s">
        <v>350</v>
      </c>
      <c r="AG263" s="148"/>
      <c r="AH263" s="148"/>
      <c r="BC263" s="232"/>
    </row>
    <row r="264" spans="1:55" ht="15.75" thickBot="1" x14ac:dyDescent="0.3">
      <c r="A264" s="716">
        <v>120</v>
      </c>
      <c r="B264" s="714">
        <v>12</v>
      </c>
      <c r="C264" s="715">
        <v>2</v>
      </c>
      <c r="D264" s="714">
        <v>2</v>
      </c>
      <c r="E264" s="682">
        <v>24</v>
      </c>
      <c r="F264" s="697" t="s">
        <v>998</v>
      </c>
      <c r="G264" s="679" t="s">
        <v>1010</v>
      </c>
      <c r="H264" s="679" t="s">
        <v>1022</v>
      </c>
      <c r="I264" s="679" t="s">
        <v>1046</v>
      </c>
      <c r="J264" s="697" t="str">
        <f t="shared" si="2"/>
        <v>Revise</v>
      </c>
      <c r="K264" s="680">
        <f>'Standard Avalrem Table'!D51</f>
        <v>28.940934395614313</v>
      </c>
      <c r="L264" s="698">
        <f t="shared" si="3"/>
        <v>28.940934395614313</v>
      </c>
      <c r="M264" s="306"/>
      <c r="N264" s="306"/>
      <c r="O264" s="306"/>
      <c r="P264" s="306"/>
      <c r="Q264" s="306"/>
      <c r="R264" s="312"/>
      <c r="S264" s="300" t="s">
        <v>31</v>
      </c>
      <c r="T264" s="301"/>
      <c r="U264" s="302" t="str">
        <f>$AI$134</f>
        <v>Revise</v>
      </c>
      <c r="V264" s="303" t="s">
        <v>350</v>
      </c>
      <c r="W264" s="238">
        <f>SUM(W140:W263)</f>
        <v>100</v>
      </c>
      <c r="AG264" s="148"/>
      <c r="AH264" s="148"/>
      <c r="BC264" s="232"/>
    </row>
    <row r="265" spans="1:55" ht="27" hidden="1" x14ac:dyDescent="0.35">
      <c r="R265" s="231"/>
      <c r="W265" s="283" t="s">
        <v>1</v>
      </c>
      <c r="X265" s="283"/>
      <c r="Y265" s="284" t="s">
        <v>455</v>
      </c>
      <c r="AD265" s="283" t="s">
        <v>2</v>
      </c>
      <c r="AE265" s="284" t="s">
        <v>456</v>
      </c>
      <c r="AF265" s="284"/>
      <c r="AG265" s="148"/>
      <c r="AH265" s="148"/>
      <c r="AK265" s="283" t="s">
        <v>3</v>
      </c>
      <c r="AL265" s="219" t="s">
        <v>457</v>
      </c>
      <c r="AR265" s="283" t="s">
        <v>4</v>
      </c>
      <c r="AS265" s="219" t="s">
        <v>458</v>
      </c>
      <c r="AW265" s="283" t="s">
        <v>5</v>
      </c>
      <c r="AX265" s="219" t="s">
        <v>459</v>
      </c>
      <c r="BC265" s="232"/>
    </row>
    <row r="266" spans="1:55" hidden="1" x14ac:dyDescent="0.2">
      <c r="R266" s="231"/>
      <c r="W266" s="219" t="s">
        <v>460</v>
      </c>
      <c r="X266" s="219"/>
      <c r="AD266" s="219" t="s">
        <v>460</v>
      </c>
      <c r="AG266" s="148"/>
      <c r="AH266" s="148"/>
      <c r="AK266" s="219" t="s">
        <v>460</v>
      </c>
      <c r="AR266" s="219" t="s">
        <v>460</v>
      </c>
      <c r="AW266" s="219" t="s">
        <v>460</v>
      </c>
      <c r="BC266" s="232"/>
    </row>
    <row r="267" spans="1:55" hidden="1" x14ac:dyDescent="0.2">
      <c r="R267" s="231"/>
      <c r="U267" t="str">
        <f>AE123</f>
        <v>Exdysivity</v>
      </c>
      <c r="W267" s="285" t="s">
        <v>182</v>
      </c>
      <c r="X267" s="285"/>
      <c r="Y267" s="286" t="s">
        <v>461</v>
      </c>
      <c r="AB267" t="str">
        <f>U126</f>
        <v>Anxergy</v>
      </c>
      <c r="AD267" s="285" t="s">
        <v>137</v>
      </c>
      <c r="AE267" s="287" t="s">
        <v>462</v>
      </c>
      <c r="AF267" s="287"/>
      <c r="AG267" s="148"/>
      <c r="AH267" s="148"/>
      <c r="AJ267" t="str">
        <f>AE113</f>
        <v>Atammayata</v>
      </c>
      <c r="AK267" s="285" t="s">
        <v>155</v>
      </c>
      <c r="AL267" s="287" t="s">
        <v>463</v>
      </c>
      <c r="AP267" s="57" t="str">
        <f>U118</f>
        <v>Avalremy</v>
      </c>
      <c r="AQ267" s="57"/>
      <c r="AR267" s="285" t="s">
        <v>198</v>
      </c>
      <c r="AS267" s="288" t="s">
        <v>464</v>
      </c>
      <c r="AV267" t="e">
        <f>#REF!</f>
        <v>#REF!</v>
      </c>
      <c r="AW267" s="285" t="s">
        <v>161</v>
      </c>
      <c r="AX267" s="287" t="s">
        <v>465</v>
      </c>
      <c r="BC267" s="232"/>
    </row>
    <row r="268" spans="1:55" hidden="1" x14ac:dyDescent="0.2">
      <c r="R268" s="231"/>
      <c r="U268" t="str">
        <f>AE124</f>
        <v>Exdysivity</v>
      </c>
      <c r="W268" s="285" t="s">
        <v>158</v>
      </c>
      <c r="X268" s="285"/>
      <c r="Y268" s="288" t="s">
        <v>466</v>
      </c>
      <c r="AB268" t="str">
        <f>U113</f>
        <v>Avalremy</v>
      </c>
      <c r="AD268" s="285" t="s">
        <v>172</v>
      </c>
      <c r="AE268" s="287" t="s">
        <v>467</v>
      </c>
      <c r="AF268" s="287"/>
      <c r="AG268" s="148"/>
      <c r="AH268" s="148"/>
      <c r="AJ268" t="str">
        <f>AN116</f>
        <v>Dexterience</v>
      </c>
      <c r="AK268" s="285" t="s">
        <v>184</v>
      </c>
      <c r="AL268" s="287" t="s">
        <v>468</v>
      </c>
      <c r="AP268" t="str">
        <f>AN120</f>
        <v>Dexterience</v>
      </c>
      <c r="AR268" s="285" t="s">
        <v>135</v>
      </c>
      <c r="AS268" s="287" t="s">
        <v>469</v>
      </c>
      <c r="AV268" t="e">
        <f>#REF!</f>
        <v>#REF!</v>
      </c>
      <c r="AW268" s="285" t="s">
        <v>162</v>
      </c>
      <c r="AX268" s="287" t="s">
        <v>470</v>
      </c>
      <c r="BC268" s="232"/>
    </row>
    <row r="269" spans="1:55" ht="15" hidden="1" thickBot="1" x14ac:dyDescent="0.25">
      <c r="R269" s="231"/>
      <c r="S269" s="289" t="s">
        <v>232</v>
      </c>
      <c r="T269" s="289"/>
      <c r="U269" t="str">
        <f>AE109</f>
        <v>Atammayata</v>
      </c>
      <c r="W269" s="290" t="s">
        <v>232</v>
      </c>
      <c r="X269" s="291"/>
      <c r="Y269" s="288" t="s">
        <v>471</v>
      </c>
      <c r="AB269" t="str">
        <f>AN111</f>
        <v>Dexterience</v>
      </c>
      <c r="AD269" s="285" t="s">
        <v>205</v>
      </c>
      <c r="AE269" s="287" t="s">
        <v>472</v>
      </c>
      <c r="AF269" s="287"/>
      <c r="AG269" s="148"/>
      <c r="AH269" s="148"/>
      <c r="AJ269" t="str">
        <f>U116</f>
        <v>Avalremy</v>
      </c>
      <c r="AK269" s="285" t="s">
        <v>203</v>
      </c>
      <c r="AL269" s="287" t="s">
        <v>473</v>
      </c>
      <c r="AN269" s="292" t="s">
        <v>168</v>
      </c>
      <c r="AO269" s="292"/>
      <c r="AP269" t="str">
        <f>AE130</f>
        <v>Exdysivity</v>
      </c>
      <c r="AR269" s="293" t="s">
        <v>168</v>
      </c>
      <c r="AS269" s="287" t="s">
        <v>474</v>
      </c>
      <c r="AV269" t="e">
        <f>#REF!</f>
        <v>#REF!</v>
      </c>
      <c r="AW269" s="285" t="s">
        <v>153</v>
      </c>
      <c r="AX269" s="287" t="s">
        <v>475</v>
      </c>
      <c r="BC269" s="232"/>
    </row>
    <row r="270" spans="1:55" hidden="1" x14ac:dyDescent="0.2">
      <c r="R270" s="231"/>
      <c r="AG270" s="148"/>
      <c r="AH270" s="148"/>
      <c r="BC270" s="232"/>
    </row>
    <row r="271" spans="1:55" ht="27" hidden="1" x14ac:dyDescent="0.35">
      <c r="R271" s="231"/>
      <c r="W271" s="283" t="s">
        <v>14</v>
      </c>
      <c r="X271" s="283"/>
      <c r="Y271" s="284" t="s">
        <v>455</v>
      </c>
      <c r="AD271" s="283" t="s">
        <v>10</v>
      </c>
      <c r="AE271" s="284" t="s">
        <v>456</v>
      </c>
      <c r="AF271" s="284"/>
      <c r="AG271" s="148"/>
      <c r="AH271" s="148"/>
      <c r="AK271" s="283" t="s">
        <v>16</v>
      </c>
      <c r="AL271" s="219" t="s">
        <v>457</v>
      </c>
      <c r="AR271" s="283" t="s">
        <v>6</v>
      </c>
      <c r="AS271" s="219" t="s">
        <v>458</v>
      </c>
      <c r="AW271" s="283" t="s">
        <v>17</v>
      </c>
      <c r="AX271" s="219" t="s">
        <v>459</v>
      </c>
      <c r="BC271" s="232"/>
    </row>
    <row r="272" spans="1:55" hidden="1" x14ac:dyDescent="0.2">
      <c r="R272" s="231"/>
      <c r="W272" s="219" t="s">
        <v>476</v>
      </c>
      <c r="X272" s="219"/>
      <c r="AD272" s="219" t="s">
        <v>476</v>
      </c>
      <c r="AG272" s="148"/>
      <c r="AH272" s="148"/>
      <c r="AK272" s="219" t="s">
        <v>476</v>
      </c>
      <c r="AR272" s="219" t="s">
        <v>476</v>
      </c>
      <c r="AW272" s="219" t="s">
        <v>476</v>
      </c>
      <c r="BC272" s="232"/>
    </row>
    <row r="273" spans="18:55" ht="15" hidden="1" thickBot="1" x14ac:dyDescent="0.25">
      <c r="R273" s="231"/>
      <c r="U273" t="str">
        <f>U109</f>
        <v>Avalremy</v>
      </c>
      <c r="W273" s="285" t="s">
        <v>138</v>
      </c>
      <c r="X273" s="285"/>
      <c r="Y273" s="288" t="s">
        <v>477</v>
      </c>
      <c r="AA273" s="292" t="s">
        <v>204</v>
      </c>
      <c r="AB273" t="str">
        <f>AN112</f>
        <v>Dexterience</v>
      </c>
      <c r="AD273" s="293" t="s">
        <v>183</v>
      </c>
      <c r="AE273" s="287" t="s">
        <v>478</v>
      </c>
      <c r="AF273" s="287"/>
      <c r="AG273" s="148"/>
      <c r="AH273" s="148"/>
      <c r="AI273" s="289" t="s">
        <v>183</v>
      </c>
      <c r="AJ273" t="str">
        <f>AN117</f>
        <v>Dexterience</v>
      </c>
      <c r="AK273" s="293" t="s">
        <v>183</v>
      </c>
      <c r="AL273" s="287" t="s">
        <v>479</v>
      </c>
      <c r="AP273" t="e">
        <f>#REF!</f>
        <v>#REF!</v>
      </c>
      <c r="AR273" s="285" t="s">
        <v>185</v>
      </c>
      <c r="AS273" s="287" t="s">
        <v>480</v>
      </c>
      <c r="AV273" t="str">
        <f>AE120</f>
        <v>Atammayata</v>
      </c>
      <c r="AW273" s="285" t="s">
        <v>169</v>
      </c>
      <c r="AX273" s="287" t="s">
        <v>481</v>
      </c>
      <c r="BC273" s="232"/>
    </row>
    <row r="274" spans="18:55" hidden="1" x14ac:dyDescent="0.2">
      <c r="R274" s="231"/>
      <c r="U274" t="str">
        <f>AN109</f>
        <v>Dexterience</v>
      </c>
      <c r="W274" s="285" t="s">
        <v>222</v>
      </c>
      <c r="X274" s="285"/>
      <c r="Y274" s="286" t="s">
        <v>482</v>
      </c>
      <c r="AB274" t="str">
        <f>U127</f>
        <v>Anxergy</v>
      </c>
      <c r="AD274" s="285" t="s">
        <v>227</v>
      </c>
      <c r="AE274" s="287" t="s">
        <v>483</v>
      </c>
      <c r="AF274" s="287"/>
      <c r="AG274" s="148"/>
      <c r="AH274" s="148"/>
      <c r="AJ274" t="str">
        <f>U130</f>
        <v>Anxergy</v>
      </c>
      <c r="AK274" s="285" t="s">
        <v>143</v>
      </c>
      <c r="AL274" s="287" t="s">
        <v>484</v>
      </c>
      <c r="AP274" t="str">
        <f>U119</f>
        <v>Avalremy</v>
      </c>
      <c r="AR274" s="285" t="s">
        <v>197</v>
      </c>
      <c r="AS274" s="287" t="s">
        <v>485</v>
      </c>
      <c r="AV274" t="e">
        <f>#REF!</f>
        <v>#REF!</v>
      </c>
      <c r="AW274" s="285" t="s">
        <v>147</v>
      </c>
      <c r="AX274" s="287" t="s">
        <v>486</v>
      </c>
      <c r="BC274" s="232"/>
    </row>
    <row r="275" spans="18:55" hidden="1" x14ac:dyDescent="0.2">
      <c r="R275" s="231"/>
      <c r="U275" t="str">
        <f>U123</f>
        <v>Anxergy</v>
      </c>
      <c r="W275" s="285" t="s">
        <v>151</v>
      </c>
      <c r="X275" s="285"/>
      <c r="Y275" s="288" t="s">
        <v>487</v>
      </c>
      <c r="AB275" t="str">
        <f>U114</f>
        <v>Avalremy</v>
      </c>
      <c r="AD275" s="285" t="s">
        <v>178</v>
      </c>
      <c r="AE275" s="287" t="s">
        <v>488</v>
      </c>
      <c r="AF275" s="287"/>
      <c r="AG275" s="148"/>
      <c r="AH275" s="148"/>
      <c r="AJ275" t="str">
        <f>AE114</f>
        <v>Atammayata</v>
      </c>
      <c r="AK275" s="285" t="s">
        <v>174</v>
      </c>
      <c r="AL275" s="287" t="s">
        <v>489</v>
      </c>
      <c r="AP275" t="str">
        <f>U134</f>
        <v>Anxergy</v>
      </c>
      <c r="AR275" s="285" t="s">
        <v>132</v>
      </c>
      <c r="AS275" s="287" t="s">
        <v>490</v>
      </c>
      <c r="AV275" t="e">
        <f>#REF!</f>
        <v>#REF!</v>
      </c>
      <c r="AW275" s="285" t="s">
        <v>206</v>
      </c>
      <c r="AX275" s="287" t="s">
        <v>491</v>
      </c>
      <c r="BC275" s="232"/>
    </row>
    <row r="276" spans="18:55" hidden="1" x14ac:dyDescent="0.2">
      <c r="R276" s="231"/>
      <c r="AG276" s="148"/>
      <c r="AH276" s="148"/>
      <c r="BC276" s="232"/>
    </row>
    <row r="277" spans="18:55" ht="27" hidden="1" x14ac:dyDescent="0.35">
      <c r="R277" s="231"/>
      <c r="W277" s="283" t="s">
        <v>8</v>
      </c>
      <c r="X277" s="283"/>
      <c r="Y277" s="284" t="s">
        <v>455</v>
      </c>
      <c r="AD277" s="283" t="s">
        <v>18</v>
      </c>
      <c r="AE277" s="284" t="s">
        <v>456</v>
      </c>
      <c r="AF277" s="284"/>
      <c r="AG277" s="148"/>
      <c r="AH277" s="148"/>
      <c r="AK277" s="283" t="s">
        <v>19</v>
      </c>
      <c r="AL277" s="219" t="s">
        <v>457</v>
      </c>
      <c r="AR277" s="283" t="s">
        <v>20</v>
      </c>
      <c r="AS277" s="219" t="s">
        <v>458</v>
      </c>
      <c r="AW277" s="283" t="s">
        <v>21</v>
      </c>
      <c r="AX277" s="219" t="s">
        <v>459</v>
      </c>
      <c r="BC277" s="232"/>
    </row>
    <row r="278" spans="18:55" hidden="1" x14ac:dyDescent="0.2">
      <c r="R278" s="231"/>
      <c r="W278" s="219" t="s">
        <v>492</v>
      </c>
      <c r="X278" s="219"/>
      <c r="Y278" s="294"/>
      <c r="AD278" s="219" t="s">
        <v>492</v>
      </c>
      <c r="AG278" s="148"/>
      <c r="AH278" s="148"/>
      <c r="AK278" s="219" t="s">
        <v>492</v>
      </c>
      <c r="AR278" s="219" t="s">
        <v>492</v>
      </c>
      <c r="AW278" s="219" t="s">
        <v>492</v>
      </c>
      <c r="BC278" s="232"/>
    </row>
    <row r="279" spans="18:55" hidden="1" x14ac:dyDescent="0.2">
      <c r="R279" s="231"/>
      <c r="U279" t="str">
        <f>AE110</f>
        <v>Atammayata</v>
      </c>
      <c r="W279" s="285" t="s">
        <v>193</v>
      </c>
      <c r="X279" s="285"/>
      <c r="Y279" s="288" t="s">
        <v>493</v>
      </c>
      <c r="Z279" s="158"/>
      <c r="AB279" t="str">
        <f>AN113</f>
        <v>Dexterience</v>
      </c>
      <c r="AD279" s="285" t="s">
        <v>199</v>
      </c>
      <c r="AE279" s="287" t="s">
        <v>494</v>
      </c>
      <c r="AF279" s="287"/>
      <c r="AG279" s="148"/>
      <c r="AH279" s="148"/>
      <c r="AJ279" t="str">
        <f>U117</f>
        <v>Avalremy</v>
      </c>
      <c r="AK279" s="285" t="s">
        <v>144</v>
      </c>
      <c r="AL279" s="287" t="s">
        <v>495</v>
      </c>
      <c r="AP279" t="str">
        <f>AE116</f>
        <v>Atammayata</v>
      </c>
      <c r="AR279" s="285" t="s">
        <v>187</v>
      </c>
      <c r="AS279" s="287" t="s">
        <v>496</v>
      </c>
      <c r="AV279" s="57" t="str">
        <f>AE132</f>
        <v>Exdysivity</v>
      </c>
      <c r="AW279" s="285" t="s">
        <v>229</v>
      </c>
      <c r="AX279" s="287" t="s">
        <v>497</v>
      </c>
      <c r="BC279" s="232"/>
    </row>
    <row r="280" spans="18:55" hidden="1" x14ac:dyDescent="0.2">
      <c r="R280" s="231"/>
      <c r="U280" t="str">
        <f>U124</f>
        <v>Anxergy</v>
      </c>
      <c r="W280" s="285" t="s">
        <v>173</v>
      </c>
      <c r="X280" s="285"/>
      <c r="Y280" s="288" t="s">
        <v>498</v>
      </c>
      <c r="Z280" s="158"/>
      <c r="AB280" t="str">
        <f>U128</f>
        <v>Anxergy</v>
      </c>
      <c r="AD280" s="285" t="s">
        <v>234</v>
      </c>
      <c r="AE280" s="287" t="s">
        <v>499</v>
      </c>
      <c r="AF280" s="287"/>
      <c r="AG280" s="148"/>
      <c r="AH280" s="148"/>
      <c r="AJ280" t="str">
        <f>U131</f>
        <v>Anxergy</v>
      </c>
      <c r="AK280" s="285" t="s">
        <v>163</v>
      </c>
      <c r="AL280" s="287" t="s">
        <v>500</v>
      </c>
      <c r="AP280" t="e">
        <f>#REF!</f>
        <v>#REF!</v>
      </c>
      <c r="AR280" s="285" t="s">
        <v>202</v>
      </c>
      <c r="AS280" s="287" t="s">
        <v>501</v>
      </c>
      <c r="AV280" t="str">
        <f>AE133</f>
        <v>Exdysivity</v>
      </c>
      <c r="AW280" s="285" t="s">
        <v>211</v>
      </c>
      <c r="AX280" s="287" t="s">
        <v>474</v>
      </c>
      <c r="BC280" s="232"/>
    </row>
    <row r="281" spans="18:55" ht="15" hidden="1" thickBot="1" x14ac:dyDescent="0.25">
      <c r="R281" s="231"/>
      <c r="S281" s="292" t="s">
        <v>136</v>
      </c>
      <c r="T281" s="292"/>
      <c r="U281" t="str">
        <f>U110</f>
        <v>Avalremy</v>
      </c>
      <c r="W281" s="293" t="s">
        <v>232</v>
      </c>
      <c r="X281" s="295"/>
      <c r="Y281" s="288" t="s">
        <v>502</v>
      </c>
      <c r="Z281" s="158"/>
      <c r="AB281" t="str">
        <f>AN114</f>
        <v>Dexterience</v>
      </c>
      <c r="AD281" s="285" t="s">
        <v>213</v>
      </c>
      <c r="AE281" s="287" t="s">
        <v>503</v>
      </c>
      <c r="AF281" s="287"/>
      <c r="AG281" s="148"/>
      <c r="AH281" s="148"/>
      <c r="AJ281" t="str">
        <f>AE128</f>
        <v>Exdysivity</v>
      </c>
      <c r="AK281" s="285" t="s">
        <v>151</v>
      </c>
      <c r="AL281" s="287" t="s">
        <v>504</v>
      </c>
      <c r="AP281" t="str">
        <f>AE117</f>
        <v>Atammayata</v>
      </c>
      <c r="AR281" s="285" t="s">
        <v>171</v>
      </c>
      <c r="AS281" s="287" t="s">
        <v>505</v>
      </c>
      <c r="AV281" t="e">
        <f>#REF!</f>
        <v>#REF!</v>
      </c>
      <c r="AW281" s="285" t="s">
        <v>146</v>
      </c>
      <c r="AX281" s="287" t="s">
        <v>506</v>
      </c>
      <c r="BC281" s="232"/>
    </row>
    <row r="282" spans="18:55" hidden="1" x14ac:dyDescent="0.2">
      <c r="R282" s="231"/>
      <c r="W282" s="288"/>
      <c r="X282" s="288"/>
      <c r="Y282" s="288"/>
      <c r="Z282" s="158"/>
      <c r="AG282" s="148"/>
      <c r="AH282" s="148"/>
      <c r="BC282" s="232"/>
    </row>
    <row r="283" spans="18:55" ht="27" hidden="1" x14ac:dyDescent="0.35">
      <c r="R283" s="231"/>
      <c r="W283" s="283" t="s">
        <v>22</v>
      </c>
      <c r="X283" s="283"/>
      <c r="Y283" s="284" t="s">
        <v>455</v>
      </c>
      <c r="Z283" s="158"/>
      <c r="AD283" s="283" t="s">
        <v>9</v>
      </c>
      <c r="AE283" s="284" t="s">
        <v>456</v>
      </c>
      <c r="AF283" s="284"/>
      <c r="AG283" s="148"/>
      <c r="AH283" s="148"/>
      <c r="AK283" s="283" t="s">
        <v>23</v>
      </c>
      <c r="AL283" s="219" t="s">
        <v>457</v>
      </c>
      <c r="AR283" s="283" t="s">
        <v>7</v>
      </c>
      <c r="AS283" s="219" t="s">
        <v>458</v>
      </c>
      <c r="AW283" s="283" t="s">
        <v>13</v>
      </c>
      <c r="AX283" s="219" t="s">
        <v>459</v>
      </c>
      <c r="BC283" s="232"/>
    </row>
    <row r="284" spans="18:55" hidden="1" x14ac:dyDescent="0.2">
      <c r="R284" s="231"/>
      <c r="W284" s="219" t="s">
        <v>507</v>
      </c>
      <c r="X284" s="219"/>
      <c r="Y284" s="294"/>
      <c r="AD284" s="219" t="s">
        <v>507</v>
      </c>
      <c r="AG284" s="148"/>
      <c r="AH284" s="148"/>
      <c r="AK284" s="219" t="s">
        <v>507</v>
      </c>
      <c r="AR284" s="219" t="s">
        <v>507</v>
      </c>
      <c r="AW284" s="219" t="s">
        <v>507</v>
      </c>
      <c r="BC284" s="232"/>
    </row>
    <row r="285" spans="18:55" hidden="1" x14ac:dyDescent="0.2">
      <c r="R285" s="231"/>
      <c r="U285" t="str">
        <f>AE125</f>
        <v>Exdysivity</v>
      </c>
      <c r="W285" s="285" t="s">
        <v>156</v>
      </c>
      <c r="X285" s="285"/>
      <c r="Y285" s="288" t="s">
        <v>508</v>
      </c>
      <c r="Z285" s="158"/>
      <c r="AB285" t="str">
        <f>AE126</f>
        <v>Exdysivity</v>
      </c>
      <c r="AD285" s="285" t="s">
        <v>171</v>
      </c>
      <c r="AE285" s="287" t="s">
        <v>509</v>
      </c>
      <c r="AF285" s="287"/>
      <c r="AG285" s="148"/>
      <c r="AH285" s="148"/>
      <c r="AJ285" s="57" t="str">
        <f>U132</f>
        <v>Anxergy</v>
      </c>
      <c r="AK285" s="285" t="s">
        <v>196</v>
      </c>
      <c r="AL285" s="287" t="s">
        <v>510</v>
      </c>
      <c r="AP285" t="str">
        <f>U120</f>
        <v>Avalremy</v>
      </c>
      <c r="AR285" s="285" t="s">
        <v>149</v>
      </c>
      <c r="AS285" s="287" t="s">
        <v>511</v>
      </c>
      <c r="AV285" t="e">
        <f>#REF!</f>
        <v>#REF!</v>
      </c>
      <c r="AW285" s="285" t="s">
        <v>209</v>
      </c>
      <c r="AX285" s="287" t="s">
        <v>512</v>
      </c>
      <c r="BC285" s="232"/>
    </row>
    <row r="286" spans="18:55" hidden="1" x14ac:dyDescent="0.2">
      <c r="R286" s="231"/>
      <c r="U286" t="str">
        <f>U125</f>
        <v>Anxergy</v>
      </c>
      <c r="W286" s="285" t="s">
        <v>142</v>
      </c>
      <c r="X286" s="285"/>
      <c r="Y286" s="288" t="s">
        <v>513</v>
      </c>
      <c r="Z286" s="158"/>
      <c r="AB286" t="str">
        <f>AN115</f>
        <v>Dexterience</v>
      </c>
      <c r="AD286" s="285" t="s">
        <v>207</v>
      </c>
      <c r="AE286" s="287" t="s">
        <v>514</v>
      </c>
      <c r="AF286" s="287"/>
      <c r="AG286" s="148"/>
      <c r="AH286" s="148"/>
      <c r="AJ286" s="57" t="str">
        <f>AN118</f>
        <v>Dexterience</v>
      </c>
      <c r="AK286" s="285" t="s">
        <v>170</v>
      </c>
      <c r="AL286" s="287" t="s">
        <v>515</v>
      </c>
      <c r="AP286" s="57" t="str">
        <f>AE118</f>
        <v>Atammayata</v>
      </c>
      <c r="AQ286" s="57"/>
      <c r="AR286" s="285" t="s">
        <v>129</v>
      </c>
      <c r="AS286" s="287" t="s">
        <v>516</v>
      </c>
      <c r="AV286" t="str">
        <f>AE134</f>
        <v>Exdysivity</v>
      </c>
      <c r="AW286" s="285" t="s">
        <v>176</v>
      </c>
      <c r="AX286" s="287" t="s">
        <v>517</v>
      </c>
      <c r="BC286" s="232"/>
    </row>
    <row r="287" spans="18:55" ht="15" hidden="1" thickBot="1" x14ac:dyDescent="0.25">
      <c r="R287" s="231"/>
      <c r="S287" s="292" t="s">
        <v>191</v>
      </c>
      <c r="T287" s="292"/>
      <c r="U287" t="str">
        <f>U111</f>
        <v>Avalremy</v>
      </c>
      <c r="W287" s="293" t="s">
        <v>190</v>
      </c>
      <c r="X287" s="295"/>
      <c r="Y287" s="288" t="s">
        <v>518</v>
      </c>
      <c r="Z287" s="158"/>
      <c r="AB287" t="str">
        <f>U129</f>
        <v>Anxergy</v>
      </c>
      <c r="AD287" s="285" t="s">
        <v>218</v>
      </c>
      <c r="AE287" s="287" t="s">
        <v>519</v>
      </c>
      <c r="AF287" s="287"/>
      <c r="AG287" s="148"/>
      <c r="AH287" s="148"/>
      <c r="AJ287" t="str">
        <f>AE129</f>
        <v>Exdysivity</v>
      </c>
      <c r="AK287" s="285" t="s">
        <v>167</v>
      </c>
      <c r="AL287" s="287" t="s">
        <v>520</v>
      </c>
      <c r="AP287" t="e">
        <f>#REF!</f>
        <v>#REF!</v>
      </c>
      <c r="AR287" s="285" t="s">
        <v>186</v>
      </c>
      <c r="AS287" s="287" t="s">
        <v>521</v>
      </c>
      <c r="AV287" t="e">
        <f>#REF!</f>
        <v>#REF!</v>
      </c>
      <c r="AW287" s="285" t="s">
        <v>175</v>
      </c>
      <c r="AX287" s="287" t="s">
        <v>522</v>
      </c>
      <c r="BC287" s="232"/>
    </row>
    <row r="288" spans="18:55" hidden="1" x14ac:dyDescent="0.2">
      <c r="R288" s="231"/>
      <c r="AG288" s="148"/>
      <c r="AH288" s="148"/>
      <c r="BC288" s="232"/>
    </row>
    <row r="289" spans="18:55" ht="27" hidden="1" x14ac:dyDescent="0.35">
      <c r="R289" s="231"/>
      <c r="W289" s="283" t="s">
        <v>24</v>
      </c>
      <c r="X289" s="283"/>
      <c r="Y289" s="284" t="s">
        <v>455</v>
      </c>
      <c r="AD289" s="283" t="s">
        <v>25</v>
      </c>
      <c r="AE289" s="284" t="s">
        <v>456</v>
      </c>
      <c r="AF289" s="284"/>
      <c r="AG289" s="148"/>
      <c r="AH289" s="148"/>
      <c r="AK289" s="283" t="s">
        <v>26</v>
      </c>
      <c r="AL289" s="219" t="s">
        <v>457</v>
      </c>
      <c r="AR289" s="283" t="s">
        <v>27</v>
      </c>
      <c r="AS289" s="219" t="s">
        <v>458</v>
      </c>
      <c r="AW289" s="283" t="s">
        <v>28</v>
      </c>
      <c r="AX289" s="219" t="s">
        <v>459</v>
      </c>
      <c r="BC289" s="232"/>
    </row>
    <row r="290" spans="18:55" hidden="1" x14ac:dyDescent="0.2">
      <c r="R290" s="231"/>
      <c r="W290" s="219" t="s">
        <v>31</v>
      </c>
      <c r="X290" s="219"/>
      <c r="Y290" s="294"/>
      <c r="AD290" s="219" t="s">
        <v>31</v>
      </c>
      <c r="AG290" s="148"/>
      <c r="AH290" s="148"/>
      <c r="AK290" s="219" t="s">
        <v>31</v>
      </c>
      <c r="AR290" s="219" t="s">
        <v>31</v>
      </c>
      <c r="AW290" s="219" t="s">
        <v>31</v>
      </c>
      <c r="BC290" s="232"/>
    </row>
    <row r="291" spans="18:55" hidden="1" x14ac:dyDescent="0.2">
      <c r="R291" s="231"/>
      <c r="U291" t="str">
        <f>AN110</f>
        <v>Dexterience</v>
      </c>
      <c r="W291" s="285" t="s">
        <v>212</v>
      </c>
      <c r="X291" s="285"/>
      <c r="Y291" s="288" t="s">
        <v>523</v>
      </c>
      <c r="AB291" t="str">
        <f>AE112</f>
        <v>Atammayata</v>
      </c>
      <c r="AD291" s="285" t="s">
        <v>180</v>
      </c>
      <c r="AE291" s="287" t="s">
        <v>524</v>
      </c>
      <c r="AF291" s="287"/>
      <c r="AG291" s="148"/>
      <c r="AH291" s="148"/>
      <c r="AJ291" t="str">
        <f>U133</f>
        <v>Anxergy</v>
      </c>
      <c r="AK291" s="285" t="s">
        <v>201</v>
      </c>
      <c r="AL291" s="287" t="s">
        <v>525</v>
      </c>
      <c r="AP291" t="str">
        <f>AE131</f>
        <v>Exdysivity</v>
      </c>
      <c r="AR291" s="285" t="s">
        <v>145</v>
      </c>
      <c r="AS291" s="287" t="s">
        <v>526</v>
      </c>
      <c r="AV291" t="e">
        <f>#REF!</f>
        <v>#REF!</v>
      </c>
      <c r="AW291" s="285" t="s">
        <v>208</v>
      </c>
      <c r="AX291" s="287" t="s">
        <v>527</v>
      </c>
      <c r="BC291" s="232"/>
    </row>
    <row r="292" spans="18:55" hidden="1" x14ac:dyDescent="0.2">
      <c r="R292" s="231"/>
      <c r="U292" t="str">
        <f>AE111</f>
        <v>Atammayata</v>
      </c>
      <c r="W292" s="285" t="s">
        <v>224</v>
      </c>
      <c r="X292" s="285"/>
      <c r="Y292" s="288" t="s">
        <v>528</v>
      </c>
      <c r="AB292" t="str">
        <f>U115</f>
        <v>Avalremy</v>
      </c>
      <c r="AD292" s="285" t="s">
        <v>189</v>
      </c>
      <c r="AE292" s="287" t="s">
        <v>529</v>
      </c>
      <c r="AF292" s="287"/>
      <c r="AG292" s="148"/>
      <c r="AH292" s="148"/>
      <c r="AJ292" t="str">
        <f>AE115</f>
        <v>Atammayata</v>
      </c>
      <c r="AK292" s="285" t="s">
        <v>214</v>
      </c>
      <c r="AL292" s="287" t="s">
        <v>530</v>
      </c>
      <c r="AP292" t="e">
        <f>#REF!</f>
        <v>#REF!</v>
      </c>
      <c r="AR292" s="285" t="s">
        <v>133</v>
      </c>
      <c r="AS292" s="287" t="s">
        <v>531</v>
      </c>
      <c r="AV292" t="e">
        <f>#REF!</f>
        <v>#REF!</v>
      </c>
      <c r="AW292" s="285" t="s">
        <v>200</v>
      </c>
      <c r="AX292" s="287" t="s">
        <v>532</v>
      </c>
      <c r="AY292" s="287"/>
      <c r="BC292" s="232"/>
    </row>
    <row r="293" spans="18:55" ht="15" hidden="1" thickBot="1" x14ac:dyDescent="0.25">
      <c r="R293" s="231"/>
      <c r="S293" s="292" t="s">
        <v>190</v>
      </c>
      <c r="T293" s="292"/>
      <c r="U293" t="str">
        <f>U112</f>
        <v>Avalremy</v>
      </c>
      <c r="W293" s="293" t="s">
        <v>190</v>
      </c>
      <c r="X293" s="295"/>
      <c r="Y293" s="288" t="s">
        <v>533</v>
      </c>
      <c r="AB293" t="str">
        <f>AE127</f>
        <v>Exdysivity</v>
      </c>
      <c r="AD293" s="285" t="s">
        <v>210</v>
      </c>
      <c r="AE293" s="287" t="s">
        <v>534</v>
      </c>
      <c r="AF293" s="287"/>
      <c r="AG293" s="148"/>
      <c r="AH293" s="148"/>
      <c r="AJ293" t="str">
        <f>AN119</f>
        <v>Dexterience</v>
      </c>
      <c r="AK293" s="285" t="s">
        <v>188</v>
      </c>
      <c r="AL293" s="287" t="s">
        <v>535</v>
      </c>
      <c r="AN293" s="292" t="s">
        <v>128</v>
      </c>
      <c r="AO293" s="292"/>
      <c r="AP293" t="str">
        <f>AE119</f>
        <v>Atammayata</v>
      </c>
      <c r="AR293" s="293" t="s">
        <v>168</v>
      </c>
      <c r="AS293" s="287" t="s">
        <v>536</v>
      </c>
      <c r="AV293" t="e">
        <f>#REF!</f>
        <v>#REF!</v>
      </c>
      <c r="AW293" s="285" t="s">
        <v>154</v>
      </c>
      <c r="AX293" s="287" t="s">
        <v>537</v>
      </c>
      <c r="BC293" s="232"/>
    </row>
    <row r="294" spans="18:55" ht="15" hidden="1" thickBot="1" x14ac:dyDescent="0.25">
      <c r="R294" s="296"/>
      <c r="S294" s="297"/>
      <c r="T294" s="297"/>
      <c r="U294" s="297"/>
      <c r="V294" s="297"/>
      <c r="W294" s="297"/>
      <c r="X294" s="297"/>
      <c r="Y294" s="297"/>
      <c r="Z294" s="297"/>
      <c r="AA294" s="297"/>
      <c r="AB294" s="297"/>
      <c r="AC294" s="297"/>
      <c r="AD294" s="297"/>
      <c r="AE294" s="297"/>
      <c r="AF294" s="297"/>
      <c r="AG294" s="298"/>
      <c r="AH294" s="298"/>
      <c r="AI294" s="297"/>
      <c r="AJ294" s="297"/>
      <c r="AK294" s="297"/>
      <c r="AL294" s="297"/>
      <c r="AM294" s="297"/>
      <c r="AN294" s="297"/>
      <c r="AO294" s="297"/>
      <c r="AP294" s="297"/>
      <c r="AQ294" s="297"/>
      <c r="AR294" s="297"/>
      <c r="AS294" s="297"/>
      <c r="AT294" s="297"/>
      <c r="AU294" s="297"/>
      <c r="AV294" s="297"/>
      <c r="AW294" s="297"/>
      <c r="AX294" s="297"/>
      <c r="AY294" s="297"/>
      <c r="AZ294" s="297"/>
      <c r="BA294" s="297"/>
      <c r="BB294" s="297"/>
      <c r="BC294" s="299"/>
    </row>
    <row r="295" spans="18:55" hidden="1" x14ac:dyDescent="0.2"/>
    <row r="296" spans="18:55" x14ac:dyDescent="0.2">
      <c r="W296" t="s">
        <v>539</v>
      </c>
    </row>
  </sheetData>
  <phoneticPr fontId="51" type="noConversion"/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F1B9-DF34-4A46-BA77-5AEFB8272C68}">
  <sheetPr>
    <tabColor rgb="FFFFFF00"/>
  </sheetPr>
  <dimension ref="D4:I126"/>
  <sheetViews>
    <sheetView topLeftCell="A15" workbookViewId="0">
      <selection activeCell="F94" sqref="F94"/>
    </sheetView>
  </sheetViews>
  <sheetFormatPr defaultRowHeight="15" x14ac:dyDescent="0.2"/>
  <cols>
    <col min="4" max="4" width="9" style="156"/>
    <col min="5" max="5" width="15.5" style="475" customWidth="1"/>
    <col min="6" max="6" width="15.5" style="476" customWidth="1"/>
  </cols>
  <sheetData>
    <row r="4" spans="4:9" ht="15.75" thickBot="1" x14ac:dyDescent="0.25"/>
    <row r="5" spans="4:9" ht="15.75" thickBot="1" x14ac:dyDescent="0.25">
      <c r="D5" s="477" t="s">
        <v>339</v>
      </c>
      <c r="E5" s="478" t="s">
        <v>582</v>
      </c>
      <c r="F5" s="479" t="s">
        <v>562</v>
      </c>
    </row>
    <row r="6" spans="4:9" x14ac:dyDescent="0.2">
      <c r="D6" s="481">
        <v>1</v>
      </c>
      <c r="E6" s="480" t="s">
        <v>128</v>
      </c>
      <c r="F6" s="482">
        <f>SUMIF(Master!$N$141:$N$260,'Primary Value'!$E6,Master!E$141:E$260)</f>
        <v>14.635038472325055</v>
      </c>
    </row>
    <row r="7" spans="4:9" x14ac:dyDescent="0.2">
      <c r="D7" s="481">
        <v>2</v>
      </c>
      <c r="E7" s="480" t="s">
        <v>129</v>
      </c>
      <c r="F7" s="482">
        <f>SUMIF(Master!$N$141:$N$260,'Primary Value'!$E7,Master!E$141:E$260)</f>
        <v>28.940934395614313</v>
      </c>
    </row>
    <row r="8" spans="4:9" x14ac:dyDescent="0.2">
      <c r="D8" s="481">
        <v>3</v>
      </c>
      <c r="E8" s="480" t="s">
        <v>132</v>
      </c>
      <c r="F8" s="482">
        <f>SUMIF(Master!$N$141:$N$260,'Primary Value'!$E8,Master!E$141:E$260)</f>
        <v>16.710066481666534</v>
      </c>
    </row>
    <row r="9" spans="4:9" x14ac:dyDescent="0.2">
      <c r="D9" s="481">
        <v>4</v>
      </c>
      <c r="E9" s="480" t="s">
        <v>221</v>
      </c>
      <c r="F9" s="482">
        <f>SUMIF(Master!$N$141:$N$260,'Primary Value'!$E9,Master!E$141:E$260)</f>
        <v>30.249436277327131</v>
      </c>
    </row>
    <row r="10" spans="4:9" x14ac:dyDescent="0.2">
      <c r="D10" s="481">
        <v>5</v>
      </c>
      <c r="E10" s="480" t="s">
        <v>295</v>
      </c>
      <c r="F10" s="482">
        <f>SUMIF(Master!$N$141:$N$260,'Primary Value'!$E10,Master!E$141:E$260)</f>
        <v>15.918179527407723</v>
      </c>
    </row>
    <row r="11" spans="4:9" x14ac:dyDescent="0.2">
      <c r="D11" s="481">
        <v>6</v>
      </c>
      <c r="E11" s="480" t="s">
        <v>133</v>
      </c>
      <c r="F11" s="482">
        <f>SUMIF(Master!$N$141:$N$260,'Primary Value'!$E11,Master!E$141:E$260)</f>
        <v>30.222749043448452</v>
      </c>
    </row>
    <row r="12" spans="4:9" x14ac:dyDescent="0.2">
      <c r="D12" s="481">
        <v>7</v>
      </c>
      <c r="E12" s="480" t="s">
        <v>134</v>
      </c>
      <c r="F12" s="482">
        <f>SUMIF(Master!$N$141:$N$260,'Primary Value'!$E12,Master!E$141:E$260)</f>
        <v>15.27268471600639</v>
      </c>
    </row>
    <row r="13" spans="4:9" x14ac:dyDescent="0.2">
      <c r="D13" s="481">
        <v>8</v>
      </c>
      <c r="E13" s="480" t="s">
        <v>135</v>
      </c>
      <c r="F13" s="482">
        <f>SUMIF(Master!$N$141:$N$260,'Primary Value'!$E13,Master!E$141:E$260)</f>
        <v>15.349913711425824</v>
      </c>
      <c r="I13" s="498"/>
    </row>
    <row r="14" spans="4:9" x14ac:dyDescent="0.2">
      <c r="D14" s="481">
        <v>9</v>
      </c>
      <c r="E14" s="480" t="s">
        <v>257</v>
      </c>
      <c r="F14" s="482">
        <f>SUMIF(Master!$N$141:$N$260,'Primary Value'!$E14,Master!E$141:E$260)</f>
        <v>14.818997221199174</v>
      </c>
    </row>
    <row r="15" spans="4:9" x14ac:dyDescent="0.2">
      <c r="D15" s="481">
        <v>10</v>
      </c>
      <c r="E15" s="480" t="s">
        <v>137</v>
      </c>
      <c r="F15" s="482">
        <f>SUMIF(Master!$N$141:$N$260,'Primary Value'!$E15,Master!E$141:E$260)</f>
        <v>28.291147000712446</v>
      </c>
    </row>
    <row r="16" spans="4:9" x14ac:dyDescent="0.2">
      <c r="D16" s="481">
        <v>11</v>
      </c>
      <c r="E16" s="480" t="s">
        <v>138</v>
      </c>
      <c r="F16" s="482">
        <f>SUMIF(Master!$N$141:$N$260,'Primary Value'!$E16,Master!E$141:E$260)</f>
        <v>12.628678446683899</v>
      </c>
    </row>
    <row r="17" spans="4:6" x14ac:dyDescent="0.2">
      <c r="D17" s="481">
        <v>12</v>
      </c>
      <c r="E17" s="480" t="s">
        <v>139</v>
      </c>
      <c r="F17" s="482">
        <f>SUMIF(Master!$N$141:$N$260,'Primary Value'!$E17,Master!E$141:E$260)</f>
        <v>12.931963215994571</v>
      </c>
    </row>
    <row r="18" spans="4:6" x14ac:dyDescent="0.2">
      <c r="D18" s="481">
        <v>13</v>
      </c>
      <c r="E18" s="480" t="s">
        <v>311</v>
      </c>
      <c r="F18" s="482">
        <f>SUMIF(Master!$N$141:$N$260,'Primary Value'!$E18,Master!E$141:E$260)</f>
        <v>31.849172107335839</v>
      </c>
    </row>
    <row r="19" spans="4:6" x14ac:dyDescent="0.2">
      <c r="D19" s="481">
        <v>14</v>
      </c>
      <c r="E19" s="480" t="s">
        <v>215</v>
      </c>
      <c r="F19" s="482">
        <f>SUMIF(Master!$N$141:$N$260,'Primary Value'!$E19,Master!E$141:E$260)</f>
        <v>30.222749043448452</v>
      </c>
    </row>
    <row r="20" spans="4:6" x14ac:dyDescent="0.2">
      <c r="D20" s="481">
        <v>15</v>
      </c>
      <c r="E20" s="480" t="s">
        <v>217</v>
      </c>
      <c r="F20" s="482">
        <f>SUMIF(Master!$N$141:$N$260,'Primary Value'!$E20,Master!E$141:E$260)</f>
        <v>28.291147000712453</v>
      </c>
    </row>
    <row r="21" spans="4:6" x14ac:dyDescent="0.2">
      <c r="D21" s="481">
        <v>16</v>
      </c>
      <c r="E21" s="480" t="s">
        <v>296</v>
      </c>
      <c r="F21" s="482">
        <f>SUMIF(Master!$N$141:$N$260,'Primary Value'!$E21,Master!E$141:E$260)</f>
        <v>31.490368528831418</v>
      </c>
    </row>
    <row r="22" spans="4:6" x14ac:dyDescent="0.2">
      <c r="D22" s="481">
        <v>17</v>
      </c>
      <c r="E22" s="480" t="s">
        <v>145</v>
      </c>
      <c r="F22" s="482">
        <f>SUMIF(Master!$N$141:$N$260,'Primary Value'!$E22,Master!E$141:E$260)</f>
        <v>12.363520434532601</v>
      </c>
    </row>
    <row r="23" spans="4:6" x14ac:dyDescent="0.2">
      <c r="D23" s="481">
        <v>18</v>
      </c>
      <c r="E23" s="480" t="s">
        <v>146</v>
      </c>
      <c r="F23" s="482">
        <f>SUMIF(Master!$N$141:$N$260,'Primary Value'!$E23,Master!E$141:E$260)</f>
        <v>13.748066573192935</v>
      </c>
    </row>
    <row r="24" spans="4:6" x14ac:dyDescent="0.2">
      <c r="D24" s="481">
        <v>19</v>
      </c>
      <c r="E24" s="480" t="s">
        <v>284</v>
      </c>
      <c r="F24" s="482">
        <f>SUMIF(Master!$N$141:$N$260,'Primary Value'!$E24,Master!E$141:E$260)</f>
        <v>29.303635221686054</v>
      </c>
    </row>
    <row r="25" spans="4:6" x14ac:dyDescent="0.2">
      <c r="D25" s="481">
        <v>20</v>
      </c>
      <c r="E25" s="480" t="s">
        <v>316</v>
      </c>
      <c r="F25" s="482">
        <f>SUMIF(Master!$N$141:$N$260,'Primary Value'!$E25,Master!E$141:E$260)</f>
        <v>30.222749043448452</v>
      </c>
    </row>
    <row r="26" spans="4:6" x14ac:dyDescent="0.2">
      <c r="D26" s="481">
        <v>21</v>
      </c>
      <c r="E26" s="480" t="s">
        <v>149</v>
      </c>
      <c r="F26" s="482">
        <f>SUMIF(Master!$N$141:$N$260,'Primary Value'!$E26,Master!E$141:E$260)</f>
        <v>15.176509195935175</v>
      </c>
    </row>
    <row r="27" spans="4:6" x14ac:dyDescent="0.2">
      <c r="D27" s="481">
        <v>22</v>
      </c>
      <c r="E27" s="480" t="s">
        <v>306</v>
      </c>
      <c r="F27" s="482">
        <f>SUMIF(Master!$N$141:$N$260,'Primary Value'!$E27,Master!E$141:E$260)</f>
        <v>30.556329701673157</v>
      </c>
    </row>
    <row r="28" spans="4:6" x14ac:dyDescent="0.2">
      <c r="D28" s="481">
        <v>23</v>
      </c>
      <c r="E28" s="480" t="s">
        <v>150</v>
      </c>
      <c r="F28" s="482">
        <f>SUMIF(Master!$N$141:$N$260,'Primary Value'!$E28,Master!E$141:E$260)</f>
        <v>12.724853966755113</v>
      </c>
    </row>
    <row r="29" spans="4:6" x14ac:dyDescent="0.2">
      <c r="D29" s="481">
        <v>24</v>
      </c>
      <c r="E29" s="480" t="s">
        <v>276</v>
      </c>
      <c r="F29" s="482">
        <f>SUMIF(Master!$N$141:$N$260,'Primary Value'!$E29,Master!E$141:E$260)</f>
        <v>28.291147000712446</v>
      </c>
    </row>
    <row r="30" spans="4:6" x14ac:dyDescent="0.2">
      <c r="D30" s="481">
        <v>25</v>
      </c>
      <c r="E30" s="480" t="s">
        <v>151</v>
      </c>
      <c r="F30" s="482">
        <f>SUMIF(Master!$N$141:$N$260,'Primary Value'!$E30,Master!E$141:E$260)</f>
        <v>12.468302506855878</v>
      </c>
    </row>
    <row r="31" spans="4:6" x14ac:dyDescent="0.2">
      <c r="D31" s="481">
        <v>26</v>
      </c>
      <c r="E31" s="480" t="s">
        <v>288</v>
      </c>
      <c r="F31" s="482">
        <f>SUMIF(Master!$N$141:$N$260,'Primary Value'!$E31,Master!E$141:E$260)</f>
        <v>30.811385554912281</v>
      </c>
    </row>
    <row r="32" spans="4:6" x14ac:dyDescent="0.2">
      <c r="D32" s="481">
        <v>27</v>
      </c>
      <c r="E32" s="480" t="s">
        <v>251</v>
      </c>
      <c r="F32" s="482">
        <f>SUMIF(Master!$N$141:$N$260,'Primary Value'!$E32,Master!E$141:E$260)</f>
        <v>27.982311437835833</v>
      </c>
    </row>
    <row r="33" spans="4:6" x14ac:dyDescent="0.2">
      <c r="D33" s="481">
        <v>28</v>
      </c>
      <c r="E33" s="480" t="s">
        <v>153</v>
      </c>
      <c r="F33" s="482">
        <f>SUMIF(Master!$N$141:$N$260,'Primary Value'!$E33,Master!E$141:E$260)</f>
        <v>13.082365941491116</v>
      </c>
    </row>
    <row r="34" spans="4:6" x14ac:dyDescent="0.2">
      <c r="D34" s="481">
        <v>29</v>
      </c>
      <c r="E34" s="480" t="s">
        <v>154</v>
      </c>
      <c r="F34" s="482">
        <f>SUMIF(Master!$N$141:$N$260,'Primary Value'!$E34,Master!E$141:E$260)</f>
        <v>31.504563691282584</v>
      </c>
    </row>
    <row r="35" spans="4:6" x14ac:dyDescent="0.2">
      <c r="D35" s="481">
        <v>30</v>
      </c>
      <c r="E35" s="480" t="s">
        <v>159</v>
      </c>
      <c r="F35" s="482">
        <f>SUMIF(Master!$N$141:$N$260,'Primary Value'!$E35,Master!E$141:E$260)</f>
        <v>12.741243065704607</v>
      </c>
    </row>
    <row r="36" spans="4:6" x14ac:dyDescent="0.2">
      <c r="D36" s="481">
        <v>31</v>
      </c>
      <c r="E36" s="480" t="s">
        <v>156</v>
      </c>
      <c r="F36" s="482">
        <f>SUMIF(Master!$N$141:$N$260,'Primary Value'!$E36,Master!E$141:E$260)</f>
        <v>12.724853966755113</v>
      </c>
    </row>
    <row r="37" spans="4:6" x14ac:dyDescent="0.2">
      <c r="D37" s="481">
        <v>32</v>
      </c>
      <c r="E37" s="480" t="s">
        <v>323</v>
      </c>
      <c r="F37" s="482">
        <f>SUMIF(Master!$N$141:$N$260,'Primary Value'!$E37,Master!E$141:E$260)</f>
        <v>14.768225296037503</v>
      </c>
    </row>
    <row r="38" spans="4:6" x14ac:dyDescent="0.2">
      <c r="D38" s="481">
        <v>33</v>
      </c>
      <c r="E38" s="480" t="s">
        <v>158</v>
      </c>
      <c r="F38" s="482">
        <f>SUMIF(Master!$N$141:$N$260,'Primary Value'!$E38,Master!E$141:E$260)</f>
        <v>14.768225296037503</v>
      </c>
    </row>
    <row r="39" spans="4:6" x14ac:dyDescent="0.2">
      <c r="D39" s="481">
        <v>34</v>
      </c>
      <c r="E39" s="480" t="s">
        <v>161</v>
      </c>
      <c r="F39" s="482">
        <f>SUMIF(Master!$N$141:$N$260,'Primary Value'!$E39,Master!E$141:E$260)</f>
        <v>27.982311437835833</v>
      </c>
    </row>
    <row r="40" spans="4:6" x14ac:dyDescent="0.2">
      <c r="D40" s="481">
        <v>35</v>
      </c>
      <c r="E40" s="480" t="s">
        <v>162</v>
      </c>
      <c r="F40" s="482">
        <f>SUMIF(Master!$N$141:$N$260,'Primary Value'!$E40,Master!E$141:E$260)</f>
        <v>13.056013206829377</v>
      </c>
    </row>
    <row r="41" spans="4:6" x14ac:dyDescent="0.2">
      <c r="D41" s="481">
        <v>36</v>
      </c>
      <c r="E41" s="480" t="s">
        <v>273</v>
      </c>
      <c r="F41" s="482">
        <f>SUMIF(Master!$N$141:$N$260,'Primary Value'!$E41,Master!E$141:E$260)</f>
        <v>29.303635221686054</v>
      </c>
    </row>
    <row r="42" spans="4:6" x14ac:dyDescent="0.2">
      <c r="D42" s="481">
        <v>37</v>
      </c>
      <c r="E42" s="480" t="s">
        <v>163</v>
      </c>
      <c r="F42" s="482">
        <f>SUMIF(Master!$N$141:$N$260,'Primary Value'!$E42,Master!E$141:E$260)</f>
        <v>12.468302506855878</v>
      </c>
    </row>
    <row r="43" spans="4:6" x14ac:dyDescent="0.2">
      <c r="D43" s="481">
        <v>38</v>
      </c>
      <c r="E43" s="480" t="s">
        <v>285</v>
      </c>
      <c r="F43" s="482">
        <f>SUMIF(Master!$N$141:$N$260,'Primary Value'!$E43,Master!E$141:E$260)</f>
        <v>30.249436277327128</v>
      </c>
    </row>
    <row r="44" spans="4:6" x14ac:dyDescent="0.2">
      <c r="D44" s="481">
        <v>39</v>
      </c>
      <c r="E44" s="480" t="s">
        <v>167</v>
      </c>
      <c r="F44" s="482">
        <f>SUMIF(Master!$N$141:$N$260,'Primary Value'!$E44,Master!E$141:E$260)</f>
        <v>13.435198883827368</v>
      </c>
    </row>
    <row r="45" spans="4:6" x14ac:dyDescent="0.2">
      <c r="D45" s="481">
        <v>40</v>
      </c>
      <c r="E45" s="480" t="s">
        <v>168</v>
      </c>
      <c r="F45" s="482">
        <f>SUMIF(Master!$N$141:$N$260,'Primary Value'!$E45,Master!E$141:E$260)</f>
        <v>12.652615788962985</v>
      </c>
    </row>
    <row r="46" spans="4:6" x14ac:dyDescent="0.2">
      <c r="D46" s="481">
        <v>41</v>
      </c>
      <c r="E46" s="480" t="s">
        <v>267</v>
      </c>
      <c r="F46" s="482">
        <f>SUMIF(Master!$N$141:$N$260,'Primary Value'!$E46,Master!E$141:E$260)</f>
        <v>30.811385554912281</v>
      </c>
    </row>
    <row r="47" spans="4:6" x14ac:dyDescent="0.2">
      <c r="D47" s="481">
        <v>42</v>
      </c>
      <c r="E47" s="480" t="s">
        <v>171</v>
      </c>
      <c r="F47" s="482">
        <f>SUMIF(Master!$N$141:$N$260,'Primary Value'!$E47,Master!E$141:E$260)</f>
        <v>12.067767424188476</v>
      </c>
    </row>
    <row r="48" spans="4:6" x14ac:dyDescent="0.2">
      <c r="D48" s="481">
        <v>43</v>
      </c>
      <c r="E48" s="480" t="s">
        <v>173</v>
      </c>
      <c r="F48" s="482">
        <f>SUMIF(Master!$N$141:$N$260,'Primary Value'!$E48,Master!E$141:E$260)</f>
        <v>29.551266277812363</v>
      </c>
    </row>
    <row r="49" spans="4:6" x14ac:dyDescent="0.2">
      <c r="D49" s="481">
        <v>44</v>
      </c>
      <c r="E49" s="480" t="s">
        <v>174</v>
      </c>
      <c r="F49" s="482">
        <f>SUMIF(Master!$N$141:$N$260,'Primary Value'!$E49,Master!E$141:E$260)</f>
        <v>15.412479969880289</v>
      </c>
    </row>
    <row r="50" spans="4:6" x14ac:dyDescent="0.2">
      <c r="D50" s="481">
        <v>45</v>
      </c>
      <c r="E50" s="480" t="s">
        <v>302</v>
      </c>
      <c r="F50" s="482">
        <f>SUMIF(Master!$N$141:$N$260,'Primary Value'!$E50,Master!E$141:E$260)</f>
        <v>27.982311437835833</v>
      </c>
    </row>
    <row r="51" spans="4:6" x14ac:dyDescent="0.2">
      <c r="D51" s="481">
        <v>46</v>
      </c>
      <c r="E51" s="480" t="s">
        <v>300</v>
      </c>
      <c r="F51" s="482">
        <f>SUMIF(Master!$N$141:$N$260,'Primary Value'!$E51,Master!E$141:E$260)</f>
        <v>30.249436277327131</v>
      </c>
    </row>
    <row r="52" spans="4:6" x14ac:dyDescent="0.2">
      <c r="D52" s="481">
        <v>47</v>
      </c>
      <c r="E52" s="480" t="s">
        <v>175</v>
      </c>
      <c r="F52" s="482">
        <f>SUMIF(Master!$N$141:$N$260,'Primary Value'!$E52,Master!E$141:E$260)</f>
        <v>15.412479969880289</v>
      </c>
    </row>
    <row r="53" spans="4:6" x14ac:dyDescent="0.2">
      <c r="D53" s="481">
        <v>48</v>
      </c>
      <c r="E53" s="480" t="s">
        <v>176</v>
      </c>
      <c r="F53" s="482">
        <f>SUMIF(Master!$N$141:$N$260,'Primary Value'!$E53,Master!E$141:E$260)</f>
        <v>15.839903745332272</v>
      </c>
    </row>
    <row r="54" spans="4:6" x14ac:dyDescent="0.2">
      <c r="D54" s="481">
        <v>49</v>
      </c>
      <c r="E54" s="480" t="s">
        <v>317</v>
      </c>
      <c r="F54" s="482">
        <f>SUMIF(Master!$N$141:$N$260,'Primary Value'!$E54,Master!E$141:E$260)</f>
        <v>13.704201111686999</v>
      </c>
    </row>
    <row r="55" spans="4:6" x14ac:dyDescent="0.2">
      <c r="D55" s="481">
        <v>50</v>
      </c>
      <c r="E55" s="480" t="s">
        <v>180</v>
      </c>
      <c r="F55" s="482">
        <f>SUMIF(Master!$N$141:$N$260,'Primary Value'!$E55,Master!E$141:E$260)</f>
        <v>14.739004328364159</v>
      </c>
    </row>
    <row r="56" spans="4:6" x14ac:dyDescent="0.2">
      <c r="D56" s="481">
        <v>51</v>
      </c>
      <c r="E56" s="480" t="s">
        <v>310</v>
      </c>
      <c r="F56" s="482">
        <f>SUMIF(Master!$N$141:$N$260,'Primary Value'!$E56,Master!E$141:E$260)</f>
        <v>15.430302415329463</v>
      </c>
    </row>
    <row r="57" spans="4:6" x14ac:dyDescent="0.2">
      <c r="D57" s="481">
        <v>52</v>
      </c>
      <c r="E57" s="480" t="s">
        <v>313</v>
      </c>
      <c r="F57" s="482">
        <f>SUMIF(Master!$N$141:$N$260,'Primary Value'!$E57,Master!E$141:E$260)</f>
        <v>33.142014512998522</v>
      </c>
    </row>
    <row r="58" spans="4:6" x14ac:dyDescent="0.2">
      <c r="D58" s="481">
        <v>53</v>
      </c>
      <c r="E58" s="480" t="s">
        <v>331</v>
      </c>
      <c r="F58" s="482">
        <f>SUMIF(Master!$N$141:$N$260,'Primary Value'!$E58,Master!E$141:E$260)</f>
        <v>30.556329701673157</v>
      </c>
    </row>
    <row r="59" spans="4:6" x14ac:dyDescent="0.2">
      <c r="D59" s="481">
        <v>54</v>
      </c>
      <c r="E59" s="480" t="s">
        <v>182</v>
      </c>
      <c r="F59" s="482">
        <f>SUMIF(Master!$N$141:$N$260,'Primary Value'!$E59,Master!E$141:E$260)</f>
        <v>12.363520434532601</v>
      </c>
    </row>
    <row r="60" spans="4:6" x14ac:dyDescent="0.2">
      <c r="D60" s="481">
        <v>55</v>
      </c>
      <c r="E60" s="480" t="s">
        <v>183</v>
      </c>
      <c r="F60" s="482">
        <f>SUMIF(Master!$N$141:$N$260,'Primary Value'!$E60,Master!E$141:E$260)</f>
        <v>12.741243065704607</v>
      </c>
    </row>
    <row r="61" spans="4:6" x14ac:dyDescent="0.2">
      <c r="D61" s="481">
        <v>56</v>
      </c>
      <c r="E61" s="480" t="s">
        <v>264</v>
      </c>
      <c r="F61" s="482">
        <f>SUMIF(Master!$N$141:$N$260,'Primary Value'!$E61,Master!E$141:E$260)</f>
        <v>31.490368528831418</v>
      </c>
    </row>
    <row r="62" spans="4:6" x14ac:dyDescent="0.2">
      <c r="D62" s="481">
        <v>57</v>
      </c>
      <c r="E62" s="480" t="s">
        <v>223</v>
      </c>
      <c r="F62" s="482">
        <f>SUMIF(Master!$N$141:$N$260,'Primary Value'!$E62,Master!E$141:E$260)</f>
        <v>33.142014512998522</v>
      </c>
    </row>
    <row r="63" spans="4:6" x14ac:dyDescent="0.2">
      <c r="D63" s="481">
        <v>58</v>
      </c>
      <c r="E63" s="480" t="s">
        <v>298</v>
      </c>
      <c r="F63" s="482">
        <f>SUMIF(Master!$N$141:$N$260,'Primary Value'!$E63,Master!E$141:E$260)</f>
        <v>29.551266277812363</v>
      </c>
    </row>
    <row r="64" spans="4:6" x14ac:dyDescent="0.2">
      <c r="D64" s="481">
        <v>59</v>
      </c>
      <c r="E64" s="480" t="s">
        <v>274</v>
      </c>
      <c r="F64" s="482">
        <f>SUMIF(Master!$N$141:$N$260,'Primary Value'!$E64,Master!E$141:E$260)</f>
        <v>13.056013206829377</v>
      </c>
    </row>
    <row r="65" spans="4:6" x14ac:dyDescent="0.2">
      <c r="D65" s="481">
        <v>60</v>
      </c>
      <c r="E65" s="480" t="s">
        <v>184</v>
      </c>
      <c r="F65" s="482">
        <f>SUMIF(Master!$N$141:$N$260,'Primary Value'!$E65,Master!E$141:E$260)</f>
        <v>15.55080839090189</v>
      </c>
    </row>
    <row r="66" spans="4:6" x14ac:dyDescent="0.2">
      <c r="D66" s="481">
        <v>61</v>
      </c>
      <c r="E66" s="480" t="s">
        <v>185</v>
      </c>
      <c r="F66" s="482">
        <f>SUMIF(Master!$N$141:$N$260,'Primary Value'!$E66,Master!E$141:E$260)</f>
        <v>15.47396370226063</v>
      </c>
    </row>
    <row r="67" spans="4:6" x14ac:dyDescent="0.2">
      <c r="D67" s="481">
        <v>62</v>
      </c>
      <c r="E67" s="480" t="s">
        <v>186</v>
      </c>
      <c r="F67" s="482">
        <f>SUMIF(Master!$N$141:$N$260,'Primary Value'!$E67,Master!E$141:E$260)</f>
        <v>15.27268471600639</v>
      </c>
    </row>
    <row r="68" spans="4:6" x14ac:dyDescent="0.2">
      <c r="D68" s="481">
        <v>63</v>
      </c>
      <c r="E68" s="480" t="s">
        <v>187</v>
      </c>
      <c r="F68" s="482">
        <f>SUMIF(Master!$N$141:$N$260,'Primary Value'!$E68,Master!E$141:E$260)</f>
        <v>13.704201111686999</v>
      </c>
    </row>
    <row r="69" spans="4:6" x14ac:dyDescent="0.2">
      <c r="D69" s="481">
        <v>64</v>
      </c>
      <c r="E69" s="480" t="s">
        <v>188</v>
      </c>
      <c r="F69" s="482">
        <f>SUMIF(Master!$N$141:$N$260,'Primary Value'!$E69,Master!E$141:E$260)</f>
        <v>12.487747390847485</v>
      </c>
    </row>
    <row r="70" spans="4:6" x14ac:dyDescent="0.2">
      <c r="D70" s="481">
        <v>65</v>
      </c>
      <c r="E70" s="480" t="s">
        <v>189</v>
      </c>
      <c r="F70" s="482">
        <f>SUMIF(Master!$N$141:$N$260,'Primary Value'!$E70,Master!E$141:E$260)</f>
        <v>12.84520892174371</v>
      </c>
    </row>
    <row r="71" spans="4:6" x14ac:dyDescent="0.2">
      <c r="D71" s="481">
        <v>66</v>
      </c>
      <c r="E71" s="480" t="s">
        <v>193</v>
      </c>
      <c r="F71" s="482">
        <f>SUMIF(Master!$N$141:$N$260,'Primary Value'!$E71,Master!E$141:E$260)</f>
        <v>12.067767424188476</v>
      </c>
    </row>
    <row r="72" spans="4:6" x14ac:dyDescent="0.2">
      <c r="D72" s="481">
        <v>67</v>
      </c>
      <c r="E72" s="480" t="s">
        <v>322</v>
      </c>
      <c r="F72" s="482">
        <f>SUMIF(Master!$N$141:$N$260,'Primary Value'!$E72,Master!E$141:E$260)</f>
        <v>31.849172107335839</v>
      </c>
    </row>
    <row r="73" spans="4:6" x14ac:dyDescent="0.2">
      <c r="D73" s="481">
        <v>68</v>
      </c>
      <c r="E73" s="480" t="s">
        <v>196</v>
      </c>
      <c r="F73" s="482">
        <f>SUMIF(Master!$N$141:$N$260,'Primary Value'!$E73,Master!E$141:E$260)</f>
        <v>15.430302415329463</v>
      </c>
    </row>
    <row r="74" spans="4:6" x14ac:dyDescent="0.2">
      <c r="D74" s="481">
        <v>69</v>
      </c>
      <c r="E74" s="480" t="s">
        <v>197</v>
      </c>
      <c r="F74" s="482">
        <f>SUMIF(Master!$N$141:$N$260,'Primary Value'!$E74,Master!E$141:E$260)</f>
        <v>28.291147000712453</v>
      </c>
    </row>
    <row r="75" spans="4:6" x14ac:dyDescent="0.2">
      <c r="D75" s="481">
        <v>70</v>
      </c>
      <c r="E75" s="480" t="s">
        <v>303</v>
      </c>
      <c r="F75" s="482">
        <f>SUMIF(Master!$N$141:$N$260,'Primary Value'!$E75,Master!E$141:E$260)</f>
        <v>29.008504025822855</v>
      </c>
    </row>
    <row r="76" spans="4:6" x14ac:dyDescent="0.2">
      <c r="D76" s="481">
        <v>71</v>
      </c>
      <c r="E76" s="480" t="s">
        <v>199</v>
      </c>
      <c r="F76" s="482">
        <f>SUMIF(Master!$N$141:$N$260,'Primary Value'!$E76,Master!E$141:E$260)</f>
        <v>15.918179527407723</v>
      </c>
    </row>
    <row r="77" spans="4:6" x14ac:dyDescent="0.2">
      <c r="D77" s="481">
        <v>72</v>
      </c>
      <c r="E77" s="480" t="s">
        <v>319</v>
      </c>
      <c r="F77" s="482">
        <f>SUMIF(Master!$N$141:$N$260,'Primary Value'!$E77,Master!E$141:E$260)</f>
        <v>30.556329701673157</v>
      </c>
    </row>
    <row r="78" spans="4:6" x14ac:dyDescent="0.2">
      <c r="D78" s="481">
        <v>73</v>
      </c>
      <c r="E78" s="480" t="s">
        <v>277</v>
      </c>
      <c r="F78" s="482">
        <f>SUMIF(Master!$N$141:$N$260,'Primary Value'!$E78,Master!E$141:E$260)</f>
        <v>29.008504025822855</v>
      </c>
    </row>
    <row r="79" spans="4:6" x14ac:dyDescent="0.2">
      <c r="D79" s="481">
        <v>74</v>
      </c>
      <c r="E79" s="480" t="s">
        <v>200</v>
      </c>
      <c r="F79" s="482">
        <f>SUMIF(Master!$N$141:$N$260,'Primary Value'!$E79,Master!E$141:E$260)</f>
        <v>12.652615788962985</v>
      </c>
    </row>
    <row r="80" spans="4:6" x14ac:dyDescent="0.2">
      <c r="D80" s="481">
        <v>75</v>
      </c>
      <c r="E80" s="480" t="s">
        <v>201</v>
      </c>
      <c r="F80" s="482">
        <f>SUMIF(Master!$N$141:$N$260,'Primary Value'!$E80,Master!E$141:E$260)</f>
        <v>15.474167876835413</v>
      </c>
    </row>
    <row r="81" spans="4:6" x14ac:dyDescent="0.2">
      <c r="D81" s="481">
        <v>76</v>
      </c>
      <c r="E81" s="480" t="s">
        <v>253</v>
      </c>
      <c r="F81" s="482">
        <f>SUMIF(Master!$N$141:$N$260,'Primary Value'!$E81,Master!E$141:E$260)</f>
        <v>29.008504025822855</v>
      </c>
    </row>
    <row r="82" spans="4:6" x14ac:dyDescent="0.2">
      <c r="D82" s="481">
        <v>77</v>
      </c>
      <c r="E82" s="480" t="s">
        <v>262</v>
      </c>
      <c r="F82" s="482">
        <f>SUMIF(Master!$N$141:$N$260,'Primary Value'!$E82,Master!E$141:E$260)</f>
        <v>30.811385554912281</v>
      </c>
    </row>
    <row r="83" spans="4:6" x14ac:dyDescent="0.2">
      <c r="D83" s="481">
        <v>78</v>
      </c>
      <c r="E83" s="480" t="s">
        <v>202</v>
      </c>
      <c r="F83" s="482">
        <f>SUMIF(Master!$N$141:$N$260,'Primary Value'!$E83,Master!E$141:E$260)</f>
        <v>33.142014512998522</v>
      </c>
    </row>
    <row r="84" spans="4:6" x14ac:dyDescent="0.2">
      <c r="D84" s="481">
        <v>79</v>
      </c>
      <c r="E84" s="480" t="s">
        <v>315</v>
      </c>
      <c r="F84" s="482">
        <f>SUMIF(Master!$N$141:$N$260,'Primary Value'!$E84,Master!E$141:E$260)</f>
        <v>31.849172107335839</v>
      </c>
    </row>
    <row r="85" spans="4:6" x14ac:dyDescent="0.2">
      <c r="D85" s="481">
        <v>80</v>
      </c>
      <c r="E85" s="480" t="s">
        <v>283</v>
      </c>
      <c r="F85" s="482">
        <f>SUMIF(Master!$N$141:$N$260,'Primary Value'!$E85,Master!E$141:E$260)</f>
        <v>29.551266277812363</v>
      </c>
    </row>
    <row r="86" spans="4:6" x14ac:dyDescent="0.2">
      <c r="D86" s="481">
        <v>81</v>
      </c>
      <c r="E86" s="480" t="s">
        <v>312</v>
      </c>
      <c r="F86" s="482">
        <f>SUMIF(Master!$N$141:$N$260,'Primary Value'!$E86,Master!E$141:E$260)</f>
        <v>15.474167876835413</v>
      </c>
    </row>
    <row r="87" spans="4:6" x14ac:dyDescent="0.2">
      <c r="D87" s="481">
        <v>82</v>
      </c>
      <c r="E87" s="480" t="s">
        <v>203</v>
      </c>
      <c r="F87" s="482">
        <f>SUMIF(Master!$N$141:$N$260,'Primary Value'!$E87,Master!E$141:E$260)</f>
        <v>12.628678446683899</v>
      </c>
    </row>
    <row r="88" spans="4:6" x14ac:dyDescent="0.2">
      <c r="D88" s="481">
        <v>83</v>
      </c>
      <c r="E88" s="480" t="s">
        <v>191</v>
      </c>
      <c r="F88" s="482">
        <f>SUMIF(Master!$N$141:$N$260,'Primary Value'!$E88,Master!E$141:E$260)</f>
        <v>15.176509195935175</v>
      </c>
    </row>
    <row r="89" spans="4:6" x14ac:dyDescent="0.2">
      <c r="D89" s="481">
        <v>84</v>
      </c>
      <c r="E89" s="480" t="s">
        <v>198</v>
      </c>
      <c r="F89" s="482">
        <f>SUMIF(Master!$N$141:$N$260,'Primary Value'!$E89,Master!E$141:E$260)</f>
        <v>14.818997221199174</v>
      </c>
    </row>
    <row r="90" spans="4:6" x14ac:dyDescent="0.2">
      <c r="D90" s="481">
        <v>85</v>
      </c>
      <c r="E90" s="480" t="s">
        <v>204</v>
      </c>
      <c r="F90" s="482">
        <f>SUMIF(Master!$N$141:$N$260,'Primary Value'!$E90,Master!E$141:E$260)</f>
        <v>15.47396370226063</v>
      </c>
    </row>
    <row r="91" spans="4:6" x14ac:dyDescent="0.2">
      <c r="D91" s="481">
        <v>86</v>
      </c>
      <c r="E91" s="480" t="s">
        <v>205</v>
      </c>
      <c r="F91" s="482">
        <f>SUMIF(Master!$N$141:$N$260,'Primary Value'!$E91,Master!E$141:E$260)</f>
        <v>15.349913711425824</v>
      </c>
    </row>
    <row r="92" spans="4:6" x14ac:dyDescent="0.2">
      <c r="D92" s="481">
        <v>87</v>
      </c>
      <c r="E92" s="480" t="s">
        <v>258</v>
      </c>
      <c r="F92" s="482">
        <f>SUMIF(Master!$N$141:$N$260,'Primary Value'!$E92,Master!E$141:E$260)</f>
        <v>29.303635221686054</v>
      </c>
    </row>
    <row r="93" spans="4:6" x14ac:dyDescent="0.2">
      <c r="D93" s="481">
        <v>88</v>
      </c>
      <c r="E93" s="480" t="s">
        <v>269</v>
      </c>
      <c r="F93" s="482">
        <f>SUMIF(Master!$N$141:$N$260,'Primary Value'!$E93,Master!E$141:E$260)</f>
        <v>31.490368528831418</v>
      </c>
    </row>
    <row r="94" spans="4:6" x14ac:dyDescent="0.2">
      <c r="D94" s="481">
        <v>89</v>
      </c>
      <c r="E94" s="480" t="s">
        <v>206</v>
      </c>
      <c r="F94" s="482">
        <f>SUMIF(Master!$N$141:$N$260,'Primary Value'!$E94,Master!E$141:E$260)</f>
        <v>27.982311437835833</v>
      </c>
    </row>
    <row r="95" spans="4:6" x14ac:dyDescent="0.2">
      <c r="D95" s="481">
        <v>90</v>
      </c>
      <c r="E95" s="480" t="s">
        <v>263</v>
      </c>
      <c r="F95" s="482">
        <f>SUMIF(Master!$N$141:$N$260,'Primary Value'!$E95,Master!E$141:E$260)</f>
        <v>30.624959005536269</v>
      </c>
    </row>
    <row r="96" spans="4:6" x14ac:dyDescent="0.2">
      <c r="D96" s="481">
        <v>91</v>
      </c>
      <c r="E96" s="480" t="s">
        <v>314</v>
      </c>
      <c r="F96" s="482">
        <f>SUMIF(Master!$N$141:$N$260,'Primary Value'!$E96,Master!E$141:E$260)</f>
        <v>31.504563691282584</v>
      </c>
    </row>
    <row r="97" spans="4:6" x14ac:dyDescent="0.2">
      <c r="D97" s="481">
        <v>92</v>
      </c>
      <c r="E97" s="480" t="s">
        <v>208</v>
      </c>
      <c r="F97" s="482">
        <f>SUMIF(Master!$N$141:$N$260,'Primary Value'!$E97,Master!E$141:E$260)</f>
        <v>13.435198883827368</v>
      </c>
    </row>
    <row r="98" spans="4:6" x14ac:dyDescent="0.2">
      <c r="D98" s="481">
        <v>93</v>
      </c>
      <c r="E98" s="480" t="s">
        <v>329</v>
      </c>
      <c r="F98" s="482">
        <f>SUMIF(Master!$N$141:$N$260,'Primary Value'!$E98,Master!E$141:E$260)</f>
        <v>30.222749043448452</v>
      </c>
    </row>
    <row r="99" spans="4:6" x14ac:dyDescent="0.2">
      <c r="D99" s="481">
        <v>94</v>
      </c>
      <c r="E99" s="480" t="s">
        <v>209</v>
      </c>
      <c r="F99" s="482">
        <f>SUMIF(Master!$N$141:$N$260,'Primary Value'!$E99,Master!E$141:E$260)</f>
        <v>14.739004328364159</v>
      </c>
    </row>
    <row r="100" spans="4:6" x14ac:dyDescent="0.2">
      <c r="D100" s="481">
        <v>95</v>
      </c>
      <c r="E100" s="480" t="s">
        <v>280</v>
      </c>
      <c r="F100" s="482">
        <f>SUMIF(Master!$N$141:$N$260,'Primary Value'!$E100,Master!E$141:E$260)</f>
        <v>29.008504025822855</v>
      </c>
    </row>
    <row r="101" spans="4:6" x14ac:dyDescent="0.2">
      <c r="D101" s="481">
        <v>96</v>
      </c>
      <c r="E101" s="480" t="s">
        <v>268</v>
      </c>
      <c r="F101" s="482">
        <f>SUMIF(Master!$N$141:$N$260,'Primary Value'!$E101,Master!E$141:E$260)</f>
        <v>30.624959005536269</v>
      </c>
    </row>
    <row r="102" spans="4:6" x14ac:dyDescent="0.2">
      <c r="D102" s="481">
        <v>97</v>
      </c>
      <c r="E102" s="480" t="s">
        <v>210</v>
      </c>
      <c r="F102" s="482">
        <f>SUMIF(Master!$N$141:$N$260,'Primary Value'!$E102,Master!E$141:E$260)</f>
        <v>15.839903745332272</v>
      </c>
    </row>
    <row r="103" spans="4:6" x14ac:dyDescent="0.2">
      <c r="D103" s="481">
        <v>98</v>
      </c>
      <c r="E103" s="480" t="s">
        <v>328</v>
      </c>
      <c r="F103" s="482">
        <f>SUMIF(Master!$N$141:$N$260,'Primary Value'!$E103,Master!E$141:E$260)</f>
        <v>31.849172107335839</v>
      </c>
    </row>
    <row r="104" spans="4:6" x14ac:dyDescent="0.2">
      <c r="D104" s="481">
        <v>99</v>
      </c>
      <c r="E104" s="480" t="s">
        <v>332</v>
      </c>
      <c r="F104" s="482">
        <f>SUMIF(Master!$N$141:$N$260,'Primary Value'!$E104,Master!E$141:E$260)</f>
        <v>28.940934395614313</v>
      </c>
    </row>
    <row r="105" spans="4:6" x14ac:dyDescent="0.2">
      <c r="D105" s="481">
        <v>100</v>
      </c>
      <c r="E105" s="480" t="s">
        <v>293</v>
      </c>
      <c r="F105" s="482">
        <f>SUMIF(Master!$N$141:$N$260,'Primary Value'!$E105,Master!E$141:E$260)</f>
        <v>30.811385554912281</v>
      </c>
    </row>
    <row r="106" spans="4:6" x14ac:dyDescent="0.2">
      <c r="D106" s="481">
        <v>101</v>
      </c>
      <c r="E106" s="480" t="s">
        <v>326</v>
      </c>
      <c r="F106" s="482">
        <f>SUMIF(Master!$N$141:$N$260,'Primary Value'!$E106,Master!E$141:E$260)</f>
        <v>33.142014512998522</v>
      </c>
    </row>
    <row r="107" spans="4:6" x14ac:dyDescent="0.2">
      <c r="D107" s="481">
        <v>102</v>
      </c>
      <c r="E107" s="480" t="s">
        <v>259</v>
      </c>
      <c r="F107" s="482">
        <f>SUMIF(Master!$N$141:$N$260,'Primary Value'!$E107,Master!E$141:E$260)</f>
        <v>30.249436277327128</v>
      </c>
    </row>
    <row r="108" spans="4:6" x14ac:dyDescent="0.2">
      <c r="D108" s="481">
        <v>103</v>
      </c>
      <c r="E108" s="480" t="s">
        <v>211</v>
      </c>
      <c r="F108" s="482">
        <f>SUMIF(Master!$N$141:$N$260,'Primary Value'!$E108,Master!E$141:E$260)</f>
        <v>15.55080839090189</v>
      </c>
    </row>
    <row r="109" spans="4:6" x14ac:dyDescent="0.2">
      <c r="D109" s="481">
        <v>104</v>
      </c>
      <c r="E109" s="480" t="s">
        <v>212</v>
      </c>
      <c r="F109" s="482">
        <f>SUMIF(Master!$N$141:$N$260,'Primary Value'!$E109,Master!E$141:E$260)</f>
        <v>12.84520892174371</v>
      </c>
    </row>
    <row r="110" spans="4:6" x14ac:dyDescent="0.2">
      <c r="D110" s="481">
        <v>105</v>
      </c>
      <c r="E110" s="480" t="s">
        <v>172</v>
      </c>
      <c r="F110" s="482">
        <f>SUMIF(Master!$N$141:$N$260,'Primary Value'!$E110,Master!E$141:E$260)</f>
        <v>13.082365941491116</v>
      </c>
    </row>
    <row r="111" spans="4:6" x14ac:dyDescent="0.2">
      <c r="D111" s="481">
        <v>106</v>
      </c>
      <c r="E111" s="480" t="s">
        <v>218</v>
      </c>
      <c r="F111" s="482">
        <f>SUMIF(Master!$N$141:$N$260,'Primary Value'!$E111,Master!E$141:E$260)</f>
        <v>13.748066573192935</v>
      </c>
    </row>
    <row r="112" spans="4:6" x14ac:dyDescent="0.2">
      <c r="D112" s="481">
        <v>107</v>
      </c>
      <c r="E112" s="480" t="s">
        <v>272</v>
      </c>
      <c r="F112" s="482">
        <f>SUMIF(Master!$N$141:$N$260,'Primary Value'!$E112,Master!E$141:E$260)</f>
        <v>29.551266277812363</v>
      </c>
    </row>
    <row r="113" spans="4:6" x14ac:dyDescent="0.2">
      <c r="D113" s="481">
        <v>108</v>
      </c>
      <c r="E113" s="480" t="s">
        <v>222</v>
      </c>
      <c r="F113" s="482">
        <f>SUMIF(Master!$N$141:$N$260,'Primary Value'!$E113,Master!E$141:E$260)</f>
        <v>12.487747390847485</v>
      </c>
    </row>
    <row r="114" spans="4:6" x14ac:dyDescent="0.2">
      <c r="D114" s="481">
        <v>109</v>
      </c>
      <c r="E114" s="480" t="s">
        <v>224</v>
      </c>
      <c r="F114" s="482">
        <f>SUMIF(Master!$N$141:$N$260,'Primary Value'!$E114,Master!E$141:E$260)</f>
        <v>14.635038472325055</v>
      </c>
    </row>
    <row r="115" spans="4:6" x14ac:dyDescent="0.2">
      <c r="D115" s="481">
        <v>110</v>
      </c>
      <c r="E115" s="480" t="s">
        <v>289</v>
      </c>
      <c r="F115" s="482">
        <f>SUMIF(Master!$N$141:$N$260,'Primary Value'!$E115,Master!E$141:E$260)</f>
        <v>30.624959005536269</v>
      </c>
    </row>
    <row r="116" spans="4:6" x14ac:dyDescent="0.2">
      <c r="D116" s="481">
        <v>111</v>
      </c>
      <c r="E116" s="480" t="s">
        <v>227</v>
      </c>
      <c r="F116" s="482">
        <f>SUMIF(Master!$N$141:$N$260,'Primary Value'!$E116,Master!E$141:E$260)</f>
        <v>31.504563691282584</v>
      </c>
    </row>
    <row r="117" spans="4:6" x14ac:dyDescent="0.2">
      <c r="D117" s="481">
        <v>112</v>
      </c>
      <c r="E117" s="480" t="s">
        <v>213</v>
      </c>
      <c r="F117" s="482">
        <f>SUMIF(Master!$N$141:$N$260,'Primary Value'!$E117,Master!E$141:E$260)</f>
        <v>31.504563691282584</v>
      </c>
    </row>
    <row r="118" spans="4:6" x14ac:dyDescent="0.2">
      <c r="D118" s="481">
        <v>113</v>
      </c>
      <c r="E118" s="480" t="s">
        <v>290</v>
      </c>
      <c r="F118" s="482">
        <f>SUMIF(Master!$N$141:$N$260,'Primary Value'!$E118,Master!E$141:E$260)</f>
        <v>31.490368528831418</v>
      </c>
    </row>
    <row r="119" spans="4:6" x14ac:dyDescent="0.2">
      <c r="D119" s="481">
        <v>114</v>
      </c>
      <c r="E119" s="480" t="s">
        <v>299</v>
      </c>
      <c r="F119" s="482">
        <f>SUMIF(Master!$N$141:$N$260,'Primary Value'!$E119,Master!E$141:E$260)</f>
        <v>29.303635221686054</v>
      </c>
    </row>
    <row r="120" spans="4:6" x14ac:dyDescent="0.2">
      <c r="D120" s="481">
        <v>115</v>
      </c>
      <c r="E120" s="480" t="s">
        <v>170</v>
      </c>
      <c r="F120" s="482">
        <f>SUMIF(Master!$N$141:$N$260,'Primary Value'!$E120,Master!E$141:E$260)</f>
        <v>12.931963215994571</v>
      </c>
    </row>
    <row r="121" spans="4:6" x14ac:dyDescent="0.2">
      <c r="D121" s="481">
        <v>116</v>
      </c>
      <c r="E121" s="480" t="s">
        <v>320</v>
      </c>
      <c r="F121" s="482">
        <f>SUMIF(Master!$N$141:$N$260,'Primary Value'!$E121,Master!E$141:E$260)</f>
        <v>28.940934395614313</v>
      </c>
    </row>
    <row r="122" spans="4:6" x14ac:dyDescent="0.2">
      <c r="D122" s="481">
        <v>117</v>
      </c>
      <c r="E122" s="480" t="s">
        <v>294</v>
      </c>
      <c r="F122" s="482">
        <f>SUMIF(Master!$N$141:$N$260,'Primary Value'!$E122,Master!E$141:E$260)</f>
        <v>30.624959005536269</v>
      </c>
    </row>
    <row r="123" spans="4:6" x14ac:dyDescent="0.2">
      <c r="D123" s="481">
        <v>118</v>
      </c>
      <c r="E123" s="480" t="s">
        <v>234</v>
      </c>
      <c r="F123" s="482">
        <f>SUMIF(Master!$N$141:$N$260,'Primary Value'!$E123,Master!E$141:E$260)</f>
        <v>16.710066481666534</v>
      </c>
    </row>
    <row r="124" spans="4:6" x14ac:dyDescent="0.2">
      <c r="D124" s="481">
        <v>119</v>
      </c>
      <c r="E124" s="480" t="s">
        <v>308</v>
      </c>
      <c r="F124" s="482">
        <f>SUMIF(Master!$N$141:$N$260,'Primary Value'!$E124,Master!E$141:E$260)</f>
        <v>28.940934395614313</v>
      </c>
    </row>
    <row r="125" spans="4:6" x14ac:dyDescent="0.2">
      <c r="D125" s="481">
        <v>120</v>
      </c>
      <c r="E125" s="480" t="s">
        <v>318</v>
      </c>
      <c r="F125" s="482">
        <f>SUMIF(Master!$N$141:$N$260,'Primary Value'!$E125,Master!E$141:E$260)</f>
        <v>30.556329701673157</v>
      </c>
    </row>
    <row r="126" spans="4:6" ht="15.75" thickBot="1" x14ac:dyDescent="0.25">
      <c r="D126" s="483"/>
      <c r="E126" s="484"/>
      <c r="F126" s="485"/>
    </row>
  </sheetData>
  <sortState xmlns:xlrd2="http://schemas.microsoft.com/office/spreadsheetml/2017/richdata2" ref="E6:E125">
    <sortCondition ref="E6:E125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2A508-068C-43F4-BBE9-5BDF851CB472}">
  <sheetPr>
    <tabColor rgb="FF0000FF"/>
  </sheetPr>
  <dimension ref="B8:L61"/>
  <sheetViews>
    <sheetView topLeftCell="A12" workbookViewId="0">
      <selection activeCell="C28" sqref="C28:E29"/>
    </sheetView>
  </sheetViews>
  <sheetFormatPr defaultRowHeight="14.25" x14ac:dyDescent="0.2"/>
  <cols>
    <col min="3" max="3" width="16.625" customWidth="1"/>
    <col min="4" max="4" width="6.375" customWidth="1"/>
    <col min="5" max="5" width="11" customWidth="1"/>
    <col min="6" max="6" width="6.75" customWidth="1"/>
    <col min="11" max="11" width="5.875" customWidth="1"/>
  </cols>
  <sheetData>
    <row r="8" spans="3:4" ht="15" thickBot="1" x14ac:dyDescent="0.25">
      <c r="C8" s="515" t="s">
        <v>585</v>
      </c>
      <c r="D8" s="516" t="s">
        <v>8</v>
      </c>
    </row>
    <row r="9" spans="3:4" x14ac:dyDescent="0.2">
      <c r="C9" s="252"/>
      <c r="D9" s="215" t="s">
        <v>588</v>
      </c>
    </row>
    <row r="12" spans="3:4" x14ac:dyDescent="0.2">
      <c r="C12" s="148" t="s">
        <v>8</v>
      </c>
      <c r="D12" t="s">
        <v>599</v>
      </c>
    </row>
    <row r="13" spans="3:4" x14ac:dyDescent="0.2">
      <c r="C13" s="148"/>
    </row>
    <row r="14" spans="3:4" x14ac:dyDescent="0.2">
      <c r="C14" s="148" t="s">
        <v>583</v>
      </c>
      <c r="D14" t="s">
        <v>620</v>
      </c>
    </row>
    <row r="15" spans="3:4" x14ac:dyDescent="0.2">
      <c r="C15" s="148"/>
    </row>
    <row r="16" spans="3:4" x14ac:dyDescent="0.2">
      <c r="C16" s="148" t="s">
        <v>584</v>
      </c>
      <c r="D16" t="s">
        <v>621</v>
      </c>
    </row>
    <row r="20" spans="2:8" ht="15" thickBot="1" x14ac:dyDescent="0.25">
      <c r="B20" s="189"/>
      <c r="C20" s="189"/>
      <c r="D20" s="189"/>
      <c r="E20" s="189"/>
      <c r="F20" s="189"/>
      <c r="G20" s="189"/>
      <c r="H20" s="189"/>
    </row>
    <row r="21" spans="2:8" x14ac:dyDescent="0.2">
      <c r="B21" s="189"/>
      <c r="C21" s="517"/>
      <c r="D21" s="415"/>
      <c r="E21" s="415"/>
      <c r="F21" s="415"/>
      <c r="G21" s="417"/>
      <c r="H21" s="189"/>
    </row>
    <row r="22" spans="2:8" ht="18" x14ac:dyDescent="0.25">
      <c r="B22" s="189"/>
      <c r="C22" s="499"/>
      <c r="D22" s="568" t="s">
        <v>642</v>
      </c>
      <c r="E22" s="189"/>
      <c r="F22" s="189"/>
      <c r="G22" s="330"/>
      <c r="H22" s="189"/>
    </row>
    <row r="23" spans="2:8" ht="34.5" x14ac:dyDescent="0.45">
      <c r="B23" s="189"/>
      <c r="C23" s="492" t="s">
        <v>564</v>
      </c>
      <c r="D23" s="566" t="e" vm="1">
        <v>#VALUE!</v>
      </c>
      <c r="E23" s="565" t="s">
        <v>651</v>
      </c>
      <c r="F23" s="570" t="s">
        <v>47</v>
      </c>
      <c r="G23" s="569" t="s">
        <v>649</v>
      </c>
      <c r="H23" s="189"/>
    </row>
    <row r="24" spans="2:8" ht="18" x14ac:dyDescent="0.2">
      <c r="B24" s="189"/>
      <c r="C24" s="499"/>
      <c r="D24" s="567" t="s">
        <v>641</v>
      </c>
      <c r="E24" s="189"/>
      <c r="F24" s="189"/>
      <c r="G24" s="330"/>
      <c r="H24" s="189"/>
    </row>
    <row r="25" spans="2:8" ht="15" thickBot="1" x14ac:dyDescent="0.25">
      <c r="B25" s="189"/>
      <c r="C25" s="502"/>
      <c r="D25" s="333"/>
      <c r="E25" s="333"/>
      <c r="F25" s="333"/>
      <c r="G25" s="335"/>
      <c r="H25" s="189"/>
    </row>
    <row r="26" spans="2:8" ht="15" thickBot="1" x14ac:dyDescent="0.25">
      <c r="B26" s="189"/>
      <c r="C26" s="188"/>
      <c r="D26" s="189"/>
      <c r="E26" s="189"/>
      <c r="F26" s="189"/>
      <c r="G26" s="189"/>
      <c r="H26" s="189"/>
    </row>
    <row r="27" spans="2:8" x14ac:dyDescent="0.2">
      <c r="B27" s="189"/>
      <c r="C27" s="517"/>
      <c r="D27" s="415"/>
      <c r="E27" s="415"/>
      <c r="F27" s="415"/>
      <c r="G27" s="417"/>
      <c r="H27" s="189"/>
    </row>
    <row r="28" spans="2:8" ht="15" thickBot="1" x14ac:dyDescent="0.25">
      <c r="B28" s="189"/>
      <c r="C28" s="500" t="s">
        <v>640</v>
      </c>
      <c r="D28" s="803" t="s">
        <v>8</v>
      </c>
      <c r="E28" s="803"/>
      <c r="F28" s="487"/>
      <c r="G28" s="528"/>
      <c r="H28" s="487"/>
    </row>
    <row r="29" spans="2:8" x14ac:dyDescent="0.2">
      <c r="B29" s="189"/>
      <c r="C29" s="499"/>
      <c r="D29" s="804" t="s">
        <v>588</v>
      </c>
      <c r="E29" s="804"/>
      <c r="F29" s="487"/>
      <c r="G29" s="528"/>
      <c r="H29" s="487"/>
    </row>
    <row r="30" spans="2:8" ht="15" thickBot="1" x14ac:dyDescent="0.25">
      <c r="B30" s="189"/>
      <c r="C30" s="502"/>
      <c r="D30" s="333"/>
      <c r="E30" s="333"/>
      <c r="F30" s="333"/>
      <c r="G30" s="335"/>
      <c r="H30" s="189"/>
    </row>
    <row r="31" spans="2:8" x14ac:dyDescent="0.2">
      <c r="B31" s="189"/>
      <c r="C31" s="188"/>
      <c r="D31" s="189"/>
      <c r="E31" s="189"/>
      <c r="F31" s="189"/>
      <c r="G31" s="189"/>
      <c r="H31" s="189"/>
    </row>
    <row r="32" spans="2:8" x14ac:dyDescent="0.2">
      <c r="B32" s="189"/>
      <c r="C32" s="188"/>
      <c r="D32" s="189"/>
      <c r="E32" s="189"/>
      <c r="F32" s="189"/>
      <c r="G32" s="189"/>
      <c r="H32" s="189"/>
    </row>
    <row r="33" spans="2:12" x14ac:dyDescent="0.2">
      <c r="B33" s="189"/>
      <c r="C33" s="487" t="s">
        <v>8</v>
      </c>
      <c r="D33" s="189" t="s">
        <v>644</v>
      </c>
      <c r="E33" s="189"/>
      <c r="F33" s="189"/>
      <c r="G33" s="189"/>
      <c r="H33" s="189"/>
    </row>
    <row r="34" spans="2:12" x14ac:dyDescent="0.2">
      <c r="B34" s="189"/>
      <c r="C34" s="487"/>
      <c r="D34" s="189"/>
      <c r="E34" s="189"/>
      <c r="F34" s="189"/>
      <c r="G34" s="189"/>
      <c r="H34" s="189"/>
    </row>
    <row r="35" spans="2:12" x14ac:dyDescent="0.2">
      <c r="B35" s="189"/>
      <c r="C35" s="487" t="s">
        <v>583</v>
      </c>
      <c r="D35" s="189" t="s">
        <v>600</v>
      </c>
      <c r="E35" s="189"/>
      <c r="F35" s="189"/>
      <c r="G35" s="189"/>
      <c r="H35" s="189"/>
    </row>
    <row r="36" spans="2:12" x14ac:dyDescent="0.2">
      <c r="B36" s="189"/>
      <c r="C36" s="487"/>
      <c r="D36" s="189"/>
      <c r="E36" s="189"/>
      <c r="F36" s="189"/>
      <c r="G36" s="189"/>
      <c r="H36" s="189"/>
    </row>
    <row r="37" spans="2:12" x14ac:dyDescent="0.2">
      <c r="B37" s="189"/>
      <c r="C37" s="487" t="s">
        <v>584</v>
      </c>
      <c r="D37" s="189" t="s">
        <v>639</v>
      </c>
      <c r="E37" s="189"/>
      <c r="F37" s="189"/>
      <c r="G37" s="189"/>
      <c r="H37" s="189"/>
    </row>
    <row r="38" spans="2:12" x14ac:dyDescent="0.2">
      <c r="B38" s="189"/>
      <c r="C38" s="188"/>
      <c r="D38" s="189"/>
      <c r="E38" s="189"/>
      <c r="F38" s="189"/>
      <c r="G38" s="189"/>
      <c r="H38" s="189"/>
    </row>
    <row r="39" spans="2:12" x14ac:dyDescent="0.2">
      <c r="B39" s="189"/>
      <c r="C39" s="487" t="s">
        <v>649</v>
      </c>
      <c r="D39" s="189" t="s">
        <v>650</v>
      </c>
      <c r="E39" s="189"/>
      <c r="F39" s="189"/>
      <c r="G39" s="189"/>
      <c r="H39" s="189"/>
    </row>
    <row r="40" spans="2:12" x14ac:dyDescent="0.2">
      <c r="B40" s="189"/>
      <c r="C40" s="189"/>
      <c r="D40" s="189"/>
      <c r="E40" s="189"/>
      <c r="F40" s="189"/>
      <c r="G40" s="189"/>
      <c r="H40" s="189"/>
    </row>
    <row r="42" spans="2:12" x14ac:dyDescent="0.2">
      <c r="J42" s="148" t="s">
        <v>8</v>
      </c>
      <c r="K42" t="s">
        <v>599</v>
      </c>
    </row>
    <row r="43" spans="2:12" x14ac:dyDescent="0.2">
      <c r="J43" s="148"/>
      <c r="K43" t="s">
        <v>653</v>
      </c>
      <c r="L43" t="s">
        <v>652</v>
      </c>
    </row>
    <row r="44" spans="2:12" x14ac:dyDescent="0.2">
      <c r="J44" s="148"/>
    </row>
    <row r="45" spans="2:12" x14ac:dyDescent="0.2">
      <c r="J45" s="148"/>
    </row>
    <row r="46" spans="2:12" x14ac:dyDescent="0.2">
      <c r="J46" s="148"/>
    </row>
    <row r="47" spans="2:12" x14ac:dyDescent="0.2">
      <c r="J47" s="148"/>
    </row>
    <row r="48" spans="2:12" x14ac:dyDescent="0.2">
      <c r="J48" s="148"/>
    </row>
    <row r="49" spans="10:12" x14ac:dyDescent="0.2">
      <c r="J49" s="148"/>
    </row>
    <row r="50" spans="10:12" x14ac:dyDescent="0.2">
      <c r="J50" s="148" t="s">
        <v>583</v>
      </c>
      <c r="K50" s="189" t="s">
        <v>600</v>
      </c>
    </row>
    <row r="51" spans="10:12" x14ac:dyDescent="0.2">
      <c r="K51" t="s">
        <v>654</v>
      </c>
      <c r="L51" t="s">
        <v>620</v>
      </c>
    </row>
    <row r="52" spans="10:12" x14ac:dyDescent="0.2">
      <c r="J52" s="148"/>
    </row>
    <row r="53" spans="10:12" x14ac:dyDescent="0.2">
      <c r="J53" s="148"/>
    </row>
    <row r="54" spans="10:12" x14ac:dyDescent="0.2">
      <c r="J54" s="148"/>
    </row>
    <row r="55" spans="10:12" x14ac:dyDescent="0.2">
      <c r="J55" s="148"/>
    </row>
    <row r="56" spans="10:12" x14ac:dyDescent="0.2">
      <c r="J56" s="148"/>
    </row>
    <row r="57" spans="10:12" x14ac:dyDescent="0.2">
      <c r="J57" s="148"/>
    </row>
    <row r="58" spans="10:12" x14ac:dyDescent="0.2">
      <c r="J58" s="148"/>
    </row>
    <row r="59" spans="10:12" x14ac:dyDescent="0.2">
      <c r="J59" s="148"/>
    </row>
    <row r="60" spans="10:12" x14ac:dyDescent="0.2">
      <c r="J60" s="148" t="s">
        <v>584</v>
      </c>
      <c r="K60" s="189" t="s">
        <v>639</v>
      </c>
    </row>
    <row r="61" spans="10:12" x14ac:dyDescent="0.2">
      <c r="K61" t="s">
        <v>655</v>
      </c>
      <c r="L61" t="s">
        <v>621</v>
      </c>
    </row>
  </sheetData>
  <mergeCells count="2">
    <mergeCell ref="D28:E28"/>
    <mergeCell ref="D29:E2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05AED-0626-439E-B897-96E0AABE8344}">
  <sheetPr>
    <tabColor rgb="FF0000FF"/>
  </sheetPr>
  <dimension ref="A1:U69"/>
  <sheetViews>
    <sheetView topLeftCell="A19" workbookViewId="0">
      <selection activeCell="I9" sqref="I9"/>
    </sheetView>
  </sheetViews>
  <sheetFormatPr defaultRowHeight="14.25" x14ac:dyDescent="0.2"/>
  <cols>
    <col min="2" max="2" width="18.125" style="141" customWidth="1"/>
    <col min="3" max="4" width="5.625" customWidth="1"/>
    <col min="5" max="5" width="2.5" customWidth="1"/>
    <col min="6" max="6" width="4.75" customWidth="1"/>
    <col min="7" max="7" width="27.25" bestFit="1" customWidth="1"/>
    <col min="8" max="8" width="13.375" bestFit="1" customWidth="1"/>
    <col min="9" max="15" width="16.375" customWidth="1"/>
    <col min="17" max="17" width="14.125" bestFit="1" customWidth="1"/>
    <col min="20" max="20" width="13.125" bestFit="1" customWidth="1"/>
  </cols>
  <sheetData>
    <row r="1" spans="1:8" ht="19.5" x14ac:dyDescent="0.25">
      <c r="B1" s="536" t="s">
        <v>598</v>
      </c>
    </row>
    <row r="4" spans="1:8" ht="15" thickBot="1" x14ac:dyDescent="0.25">
      <c r="A4" s="189"/>
      <c r="B4" s="188"/>
      <c r="C4" s="189"/>
      <c r="D4" s="189"/>
      <c r="E4" s="189"/>
      <c r="F4" s="189"/>
      <c r="G4" s="189"/>
    </row>
    <row r="5" spans="1:8" x14ac:dyDescent="0.2">
      <c r="A5" s="189"/>
      <c r="B5" s="517"/>
      <c r="C5" s="415"/>
      <c r="D5" s="415"/>
      <c r="E5" s="415"/>
      <c r="F5" s="417"/>
      <c r="G5" s="189"/>
    </row>
    <row r="6" spans="1:8" ht="19.5" x14ac:dyDescent="0.25">
      <c r="A6" s="189"/>
      <c r="B6" s="499"/>
      <c r="C6" s="533" t="s">
        <v>642</v>
      </c>
      <c r="D6" s="189"/>
      <c r="E6" s="189"/>
      <c r="F6" s="330"/>
      <c r="G6" s="189"/>
    </row>
    <row r="7" spans="1:8" ht="30" x14ac:dyDescent="0.5">
      <c r="A7" s="189"/>
      <c r="B7" s="492" t="s">
        <v>564</v>
      </c>
      <c r="C7" s="534" t="e" vm="1">
        <v>#VALUE!</v>
      </c>
      <c r="D7" s="535" t="s">
        <v>643</v>
      </c>
      <c r="E7" s="534"/>
      <c r="F7" s="330"/>
      <c r="G7" s="189"/>
    </row>
    <row r="8" spans="1:8" ht="19.5" x14ac:dyDescent="0.25">
      <c r="A8" s="189"/>
      <c r="B8" s="499"/>
      <c r="C8" s="533" t="s">
        <v>641</v>
      </c>
      <c r="D8" s="189"/>
      <c r="E8" s="189"/>
      <c r="F8" s="330"/>
      <c r="G8" s="189"/>
    </row>
    <row r="9" spans="1:8" ht="15" thickBot="1" x14ac:dyDescent="0.25">
      <c r="A9" s="189"/>
      <c r="B9" s="502"/>
      <c r="C9" s="333"/>
      <c r="D9" s="333"/>
      <c r="E9" s="333"/>
      <c r="F9" s="335"/>
      <c r="G9" s="189"/>
    </row>
    <row r="10" spans="1:8" ht="15" thickBot="1" x14ac:dyDescent="0.25">
      <c r="A10" s="189"/>
      <c r="B10" s="188"/>
      <c r="C10" s="189"/>
      <c r="D10" s="189"/>
      <c r="E10" s="189"/>
      <c r="F10" s="189"/>
      <c r="G10" s="189"/>
    </row>
    <row r="11" spans="1:8" x14ac:dyDescent="0.2">
      <c r="A11" s="189"/>
      <c r="B11" s="517"/>
      <c r="C11" s="415"/>
      <c r="D11" s="415"/>
      <c r="E11" s="415"/>
      <c r="F11" s="417"/>
      <c r="G11" s="189"/>
    </row>
    <row r="12" spans="1:8" ht="15" thickBot="1" x14ac:dyDescent="0.25">
      <c r="A12" s="189"/>
      <c r="B12" s="500" t="s">
        <v>640</v>
      </c>
      <c r="C12" s="803" t="s">
        <v>8</v>
      </c>
      <c r="D12" s="803"/>
      <c r="E12" s="487"/>
      <c r="F12" s="528"/>
      <c r="G12" s="487"/>
      <c r="H12" s="148"/>
    </row>
    <row r="13" spans="1:8" x14ac:dyDescent="0.2">
      <c r="A13" s="189"/>
      <c r="B13" s="499"/>
      <c r="C13" s="804" t="s">
        <v>588</v>
      </c>
      <c r="D13" s="804"/>
      <c r="E13" s="487"/>
      <c r="F13" s="528"/>
      <c r="G13" s="487"/>
      <c r="H13" s="148"/>
    </row>
    <row r="14" spans="1:8" ht="15" thickBot="1" x14ac:dyDescent="0.25">
      <c r="A14" s="189"/>
      <c r="B14" s="502"/>
      <c r="C14" s="333"/>
      <c r="D14" s="333"/>
      <c r="E14" s="333"/>
      <c r="F14" s="335"/>
      <c r="G14" s="189"/>
    </row>
    <row r="15" spans="1:8" x14ac:dyDescent="0.2">
      <c r="A15" s="189"/>
      <c r="B15" s="188"/>
      <c r="C15" s="189"/>
      <c r="D15" s="189"/>
      <c r="E15" s="189"/>
      <c r="F15" s="189"/>
      <c r="G15" s="189"/>
    </row>
    <row r="16" spans="1:8" x14ac:dyDescent="0.2">
      <c r="A16" s="189"/>
      <c r="B16" s="188"/>
      <c r="C16" s="189"/>
      <c r="D16" s="189"/>
      <c r="E16" s="189"/>
      <c r="F16" s="189"/>
      <c r="G16" s="189"/>
    </row>
    <row r="17" spans="1:7" x14ac:dyDescent="0.2">
      <c r="A17" s="189"/>
      <c r="B17" s="487" t="s">
        <v>8</v>
      </c>
      <c r="C17" s="189" t="s">
        <v>644</v>
      </c>
      <c r="D17" s="189"/>
      <c r="E17" s="189"/>
      <c r="F17" s="189"/>
      <c r="G17" s="189"/>
    </row>
    <row r="18" spans="1:7" x14ac:dyDescent="0.2">
      <c r="A18" s="189"/>
      <c r="B18" s="487"/>
      <c r="C18" s="189"/>
      <c r="D18" s="189"/>
      <c r="E18" s="189"/>
      <c r="F18" s="189"/>
      <c r="G18" s="189"/>
    </row>
    <row r="19" spans="1:7" x14ac:dyDescent="0.2">
      <c r="A19" s="189"/>
      <c r="B19" s="487" t="s">
        <v>583</v>
      </c>
      <c r="C19" s="189" t="s">
        <v>600</v>
      </c>
      <c r="D19" s="189"/>
      <c r="E19" s="189"/>
      <c r="F19" s="189"/>
      <c r="G19" s="189"/>
    </row>
    <row r="20" spans="1:7" x14ac:dyDescent="0.2">
      <c r="A20" s="189"/>
      <c r="B20" s="487"/>
      <c r="C20" s="189"/>
      <c r="D20" s="189"/>
      <c r="E20" s="189"/>
      <c r="F20" s="189"/>
      <c r="G20" s="189"/>
    </row>
    <row r="21" spans="1:7" x14ac:dyDescent="0.2">
      <c r="A21" s="189"/>
      <c r="B21" s="487" t="s">
        <v>584</v>
      </c>
      <c r="C21" s="189" t="s">
        <v>639</v>
      </c>
      <c r="D21" s="189"/>
      <c r="E21" s="189"/>
      <c r="F21" s="189"/>
      <c r="G21" s="189"/>
    </row>
    <row r="22" spans="1:7" x14ac:dyDescent="0.2">
      <c r="A22" s="189"/>
      <c r="B22" s="188"/>
      <c r="C22" s="189"/>
      <c r="D22" s="189"/>
      <c r="E22" s="189"/>
      <c r="F22" s="189"/>
      <c r="G22" s="189"/>
    </row>
    <row r="32" spans="1:7" ht="15" thickBot="1" x14ac:dyDescent="0.25"/>
    <row r="33" spans="2:21" x14ac:dyDescent="0.2">
      <c r="B33" s="517" t="s">
        <v>601</v>
      </c>
      <c r="C33" s="415"/>
      <c r="D33" s="415"/>
      <c r="E33" s="415"/>
      <c r="F33" s="415"/>
      <c r="G33" s="557" t="s">
        <v>647</v>
      </c>
      <c r="H33" s="558" t="s">
        <v>589</v>
      </c>
      <c r="I33" s="544" t="s">
        <v>592</v>
      </c>
      <c r="J33" s="544" t="s">
        <v>593</v>
      </c>
      <c r="K33" s="544" t="s">
        <v>594</v>
      </c>
      <c r="L33" s="544" t="s">
        <v>595</v>
      </c>
      <c r="M33" s="544" t="s">
        <v>596</v>
      </c>
      <c r="N33" s="544" t="s">
        <v>645</v>
      </c>
      <c r="O33" s="545" t="s">
        <v>646</v>
      </c>
    </row>
    <row r="34" spans="2:21" x14ac:dyDescent="0.2">
      <c r="B34" s="49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330"/>
    </row>
    <row r="35" spans="2:21" x14ac:dyDescent="0.2">
      <c r="B35" s="500" t="s">
        <v>597</v>
      </c>
      <c r="C35" s="189" t="s">
        <v>648</v>
      </c>
      <c r="D35" s="189"/>
      <c r="E35" s="189"/>
      <c r="F35" s="189"/>
      <c r="G35" s="518" t="s">
        <v>623</v>
      </c>
      <c r="H35" s="519" t="s">
        <v>590</v>
      </c>
      <c r="I35" s="537">
        <v>15</v>
      </c>
      <c r="J35" s="537">
        <v>30</v>
      </c>
      <c r="K35" s="537">
        <v>40</v>
      </c>
      <c r="L35" s="537">
        <v>50</v>
      </c>
      <c r="M35" s="537">
        <v>70</v>
      </c>
      <c r="N35" s="537">
        <v>80</v>
      </c>
      <c r="O35" s="538">
        <v>90</v>
      </c>
      <c r="Q35" s="520"/>
      <c r="R35" s="520"/>
      <c r="S35" s="520"/>
      <c r="T35" s="520"/>
      <c r="U35" s="520"/>
    </row>
    <row r="36" spans="2:21" x14ac:dyDescent="0.2">
      <c r="B36" s="500"/>
      <c r="C36" s="189"/>
      <c r="D36" s="189"/>
      <c r="E36" s="189"/>
      <c r="F36" s="189"/>
      <c r="G36" s="521"/>
      <c r="H36" s="519"/>
      <c r="I36" s="539"/>
      <c r="J36" s="539"/>
      <c r="K36" s="539"/>
      <c r="L36" s="539"/>
      <c r="M36" s="539"/>
      <c r="N36" s="539"/>
      <c r="O36" s="540"/>
    </row>
    <row r="37" spans="2:21" x14ac:dyDescent="0.2">
      <c r="B37" s="524" t="s">
        <v>583</v>
      </c>
      <c r="C37" s="189" t="s">
        <v>586</v>
      </c>
      <c r="D37" s="189"/>
      <c r="E37" s="189"/>
      <c r="F37" s="189"/>
      <c r="G37" s="521" t="s">
        <v>624</v>
      </c>
      <c r="H37" s="519" t="s">
        <v>591</v>
      </c>
      <c r="I37" s="537">
        <v>60</v>
      </c>
      <c r="J37" s="537">
        <v>50</v>
      </c>
      <c r="K37" s="537">
        <v>40</v>
      </c>
      <c r="L37" s="537">
        <v>30</v>
      </c>
      <c r="M37" s="537">
        <v>10</v>
      </c>
      <c r="N37" s="537">
        <v>5</v>
      </c>
      <c r="O37" s="538">
        <v>2</v>
      </c>
      <c r="Q37" s="507"/>
      <c r="R37" s="507"/>
      <c r="S37" s="507"/>
      <c r="T37" s="507"/>
      <c r="U37" s="507"/>
    </row>
    <row r="38" spans="2:21" x14ac:dyDescent="0.2">
      <c r="B38" s="500"/>
      <c r="C38" s="189"/>
      <c r="D38" s="189"/>
      <c r="E38" s="189"/>
      <c r="F38" s="189"/>
      <c r="G38" s="521"/>
      <c r="H38" s="519"/>
      <c r="I38" s="189"/>
      <c r="J38" s="189"/>
      <c r="K38" s="189"/>
      <c r="L38" s="189"/>
      <c r="M38" s="189"/>
      <c r="N38" s="189"/>
      <c r="O38" s="330"/>
      <c r="Q38" s="505"/>
      <c r="R38" s="505"/>
      <c r="S38" s="505"/>
      <c r="T38" s="505"/>
      <c r="U38" s="505"/>
    </row>
    <row r="39" spans="2:21" x14ac:dyDescent="0.2">
      <c r="B39" s="524" t="s">
        <v>584</v>
      </c>
      <c r="C39" s="189" t="s">
        <v>587</v>
      </c>
      <c r="D39" s="189"/>
      <c r="E39" s="189"/>
      <c r="F39" s="189"/>
      <c r="G39" s="529" t="s">
        <v>622</v>
      </c>
      <c r="H39" s="519" t="s">
        <v>590</v>
      </c>
      <c r="I39" s="541">
        <v>0.01</v>
      </c>
      <c r="J39" s="541">
        <v>0.05</v>
      </c>
      <c r="K39" s="541">
        <v>0.1</v>
      </c>
      <c r="L39" s="541">
        <v>0.2</v>
      </c>
      <c r="M39" s="542">
        <v>0.5</v>
      </c>
      <c r="N39" s="542">
        <v>0.8</v>
      </c>
      <c r="O39" s="543">
        <v>0.85</v>
      </c>
    </row>
    <row r="40" spans="2:21" x14ac:dyDescent="0.2">
      <c r="B40" s="49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330"/>
    </row>
    <row r="41" spans="2:21" ht="15" thickBot="1" x14ac:dyDescent="0.25">
      <c r="B41" s="499" t="s">
        <v>640</v>
      </c>
      <c r="C41" s="803" t="s">
        <v>597</v>
      </c>
      <c r="D41" s="803"/>
      <c r="E41" s="487"/>
      <c r="F41" s="487"/>
      <c r="G41" s="189"/>
      <c r="H41" s="189"/>
      <c r="I41" s="539">
        <f>I35/(I37-I39)</f>
        <v>0.2500416736122687</v>
      </c>
      <c r="J41" s="539">
        <f t="shared" ref="J41:O41" si="0">J35/(J37-J39)</f>
        <v>0.60060060060060061</v>
      </c>
      <c r="K41" s="539">
        <f t="shared" si="0"/>
        <v>1.0025062656641603</v>
      </c>
      <c r="L41" s="539">
        <f t="shared" si="0"/>
        <v>1.6778523489932886</v>
      </c>
      <c r="M41" s="539">
        <f t="shared" si="0"/>
        <v>7.3684210526315788</v>
      </c>
      <c r="N41" s="539">
        <f t="shared" si="0"/>
        <v>19.047619047619047</v>
      </c>
      <c r="O41" s="540">
        <f t="shared" si="0"/>
        <v>78.260869565217391</v>
      </c>
      <c r="Q41" s="498"/>
    </row>
    <row r="42" spans="2:21" x14ac:dyDescent="0.2">
      <c r="B42" s="499"/>
      <c r="C42" s="804" t="s">
        <v>588</v>
      </c>
      <c r="D42" s="804"/>
      <c r="E42" s="487"/>
      <c r="F42" s="487"/>
      <c r="G42" s="189"/>
      <c r="H42" s="189"/>
      <c r="I42" s="376"/>
      <c r="J42" s="376"/>
      <c r="K42" s="376"/>
      <c r="L42" s="376"/>
      <c r="M42" s="376"/>
      <c r="N42" s="376"/>
      <c r="O42" s="501"/>
      <c r="Q42" s="498"/>
    </row>
    <row r="43" spans="2:21" ht="15" thickBot="1" x14ac:dyDescent="0.25">
      <c r="B43" s="502"/>
      <c r="C43" s="333"/>
      <c r="D43" s="333"/>
      <c r="E43" s="333"/>
      <c r="F43" s="333"/>
      <c r="G43" s="333"/>
      <c r="H43" s="333"/>
      <c r="I43" s="503"/>
      <c r="J43" s="503"/>
      <c r="K43" s="503"/>
      <c r="L43" s="503"/>
      <c r="M43" s="503"/>
      <c r="N43" s="503"/>
      <c r="O43" s="504"/>
    </row>
    <row r="44" spans="2:21" ht="15" thickBot="1" x14ac:dyDescent="0.25">
      <c r="I44" s="158"/>
      <c r="J44" s="158"/>
      <c r="K44" s="158"/>
      <c r="L44" s="158"/>
      <c r="M44" s="158"/>
      <c r="N44" s="158"/>
      <c r="O44" s="158"/>
    </row>
    <row r="45" spans="2:21" x14ac:dyDescent="0.2">
      <c r="B45" s="517" t="s">
        <v>602</v>
      </c>
      <c r="C45" s="415"/>
      <c r="D45" s="415"/>
      <c r="E45" s="415"/>
      <c r="F45" s="415"/>
      <c r="G45" s="557" t="s">
        <v>647</v>
      </c>
      <c r="H45" s="558" t="s">
        <v>589</v>
      </c>
      <c r="I45" s="544" t="s">
        <v>592</v>
      </c>
      <c r="J45" s="544" t="s">
        <v>593</v>
      </c>
      <c r="K45" s="544" t="s">
        <v>594</v>
      </c>
      <c r="L45" s="544" t="s">
        <v>595</v>
      </c>
      <c r="M45" s="544" t="s">
        <v>596</v>
      </c>
      <c r="N45" s="544" t="s">
        <v>645</v>
      </c>
      <c r="O45" s="545" t="s">
        <v>646</v>
      </c>
    </row>
    <row r="46" spans="2:21" x14ac:dyDescent="0.2">
      <c r="B46" s="499"/>
      <c r="C46" s="189"/>
      <c r="D46" s="189"/>
      <c r="E46" s="189"/>
      <c r="F46" s="189"/>
      <c r="G46" s="189"/>
      <c r="H46" s="189"/>
      <c r="I46" s="376"/>
      <c r="J46" s="376"/>
      <c r="K46" s="376"/>
      <c r="L46" s="376"/>
      <c r="M46" s="376"/>
      <c r="N46" s="376"/>
      <c r="O46" s="501"/>
    </row>
    <row r="47" spans="2:21" x14ac:dyDescent="0.2">
      <c r="B47" s="500" t="s">
        <v>8</v>
      </c>
      <c r="C47" s="189" t="s">
        <v>648</v>
      </c>
      <c r="D47" s="189"/>
      <c r="E47" s="189"/>
      <c r="F47" s="189"/>
      <c r="G47" s="518" t="s">
        <v>623</v>
      </c>
      <c r="H47" s="519" t="s">
        <v>590</v>
      </c>
      <c r="I47" s="546">
        <v>100</v>
      </c>
      <c r="J47" s="546">
        <v>85</v>
      </c>
      <c r="K47" s="546">
        <v>75</v>
      </c>
      <c r="L47" s="546">
        <v>55</v>
      </c>
      <c r="M47" s="546">
        <v>45</v>
      </c>
      <c r="N47" s="546">
        <v>15</v>
      </c>
      <c r="O47" s="547">
        <v>5</v>
      </c>
    </row>
    <row r="48" spans="2:21" x14ac:dyDescent="0.2">
      <c r="B48" s="500"/>
      <c r="C48" s="189"/>
      <c r="D48" s="189"/>
      <c r="E48" s="189"/>
      <c r="F48" s="189"/>
      <c r="G48" s="521"/>
      <c r="H48" s="519"/>
      <c r="I48" s="548"/>
      <c r="J48" s="548"/>
      <c r="K48" s="548"/>
      <c r="L48" s="548"/>
      <c r="M48" s="548"/>
      <c r="N48" s="548"/>
      <c r="O48" s="549"/>
    </row>
    <row r="49" spans="2:18" x14ac:dyDescent="0.2">
      <c r="B49" s="524" t="s">
        <v>583</v>
      </c>
      <c r="C49" s="189" t="s">
        <v>586</v>
      </c>
      <c r="D49" s="189"/>
      <c r="E49" s="189"/>
      <c r="F49" s="189"/>
      <c r="G49" s="521" t="s">
        <v>624</v>
      </c>
      <c r="H49" s="519" t="s">
        <v>591</v>
      </c>
      <c r="I49" s="550">
        <v>1</v>
      </c>
      <c r="J49" s="550">
        <v>5</v>
      </c>
      <c r="K49" s="550">
        <v>10</v>
      </c>
      <c r="L49" s="550">
        <v>30</v>
      </c>
      <c r="M49" s="550">
        <v>40</v>
      </c>
      <c r="N49" s="550">
        <v>50</v>
      </c>
      <c r="O49" s="551">
        <v>60</v>
      </c>
    </row>
    <row r="50" spans="2:18" x14ac:dyDescent="0.2">
      <c r="B50" s="500"/>
      <c r="C50" s="189"/>
      <c r="D50" s="189"/>
      <c r="E50" s="189"/>
      <c r="F50" s="189"/>
      <c r="G50" s="521"/>
      <c r="H50" s="519"/>
      <c r="I50" s="548"/>
      <c r="J50" s="548"/>
      <c r="K50" s="548"/>
      <c r="L50" s="548"/>
      <c r="M50" s="548"/>
      <c r="N50" s="548"/>
      <c r="O50" s="549"/>
    </row>
    <row r="51" spans="2:18" x14ac:dyDescent="0.2">
      <c r="B51" s="524" t="s">
        <v>584</v>
      </c>
      <c r="C51" s="189" t="s">
        <v>587</v>
      </c>
      <c r="D51" s="189"/>
      <c r="E51" s="189"/>
      <c r="F51" s="189"/>
      <c r="G51" s="529" t="s">
        <v>622</v>
      </c>
      <c r="H51" s="519" t="s">
        <v>590</v>
      </c>
      <c r="I51" s="552">
        <v>0.99990000000000001</v>
      </c>
      <c r="J51" s="553">
        <v>0.85</v>
      </c>
      <c r="K51" s="553">
        <v>0.75</v>
      </c>
      <c r="L51" s="553">
        <v>0.55000000000000004</v>
      </c>
      <c r="M51" s="553">
        <v>0.35</v>
      </c>
      <c r="N51" s="553">
        <v>0.15</v>
      </c>
      <c r="O51" s="554">
        <v>0.05</v>
      </c>
    </row>
    <row r="52" spans="2:18" x14ac:dyDescent="0.2">
      <c r="B52" s="499"/>
      <c r="C52" s="189"/>
      <c r="D52" s="189"/>
      <c r="E52" s="189"/>
      <c r="F52" s="189"/>
      <c r="G52" s="189"/>
      <c r="H52" s="189"/>
      <c r="I52" s="548"/>
      <c r="J52" s="548"/>
      <c r="K52" s="548"/>
      <c r="L52" s="548"/>
      <c r="M52" s="548"/>
      <c r="N52" s="548"/>
      <c r="O52" s="549"/>
    </row>
    <row r="53" spans="2:18" ht="15" thickBot="1" x14ac:dyDescent="0.25">
      <c r="B53" s="499" t="s">
        <v>640</v>
      </c>
      <c r="C53" s="803" t="s">
        <v>597</v>
      </c>
      <c r="D53" s="803"/>
      <c r="E53" s="487"/>
      <c r="F53" s="487"/>
      <c r="G53" s="189"/>
      <c r="H53" s="189"/>
      <c r="I53" s="555">
        <f t="shared" ref="I53:O53" si="1">I47/(I49-I51)</f>
        <v>1000000.0000001101</v>
      </c>
      <c r="J53" s="555">
        <f t="shared" si="1"/>
        <v>20.481927710843372</v>
      </c>
      <c r="K53" s="555">
        <f t="shared" si="1"/>
        <v>8.1081081081081088</v>
      </c>
      <c r="L53" s="555">
        <f t="shared" si="1"/>
        <v>1.8675721561969441</v>
      </c>
      <c r="M53" s="555">
        <f t="shared" si="1"/>
        <v>1.1349306431273645</v>
      </c>
      <c r="N53" s="555">
        <f t="shared" si="1"/>
        <v>0.30090270812437309</v>
      </c>
      <c r="O53" s="556">
        <f t="shared" si="1"/>
        <v>8.3402835696413671E-2</v>
      </c>
      <c r="Q53" s="507"/>
      <c r="R53" s="507"/>
    </row>
    <row r="54" spans="2:18" x14ac:dyDescent="0.2">
      <c r="B54" s="499"/>
      <c r="C54" s="804" t="s">
        <v>588</v>
      </c>
      <c r="D54" s="804"/>
      <c r="E54" s="487"/>
      <c r="F54" s="487"/>
      <c r="G54" s="189"/>
      <c r="H54" s="189"/>
      <c r="I54" s="548"/>
      <c r="J54" s="548"/>
      <c r="K54" s="548"/>
      <c r="L54" s="548"/>
      <c r="M54" s="548"/>
      <c r="N54" s="548"/>
      <c r="O54" s="549"/>
      <c r="Q54" s="506"/>
    </row>
    <row r="55" spans="2:18" ht="15" thickBot="1" x14ac:dyDescent="0.25">
      <c r="B55" s="502"/>
      <c r="C55" s="333"/>
      <c r="D55" s="333"/>
      <c r="E55" s="333"/>
      <c r="F55" s="333"/>
      <c r="G55" s="333"/>
      <c r="H55" s="333"/>
      <c r="I55" s="503"/>
      <c r="J55" s="503"/>
      <c r="K55" s="503"/>
      <c r="L55" s="503"/>
      <c r="M55" s="503"/>
      <c r="N55" s="503"/>
      <c r="O55" s="504"/>
    </row>
    <row r="56" spans="2:18" ht="15" thickBot="1" x14ac:dyDescent="0.25">
      <c r="I56" s="158"/>
      <c r="J56" s="158"/>
      <c r="K56" s="158"/>
      <c r="L56" s="158"/>
      <c r="M56" s="158"/>
      <c r="N56" s="158"/>
      <c r="O56" s="158"/>
    </row>
    <row r="57" spans="2:18" x14ac:dyDescent="0.2">
      <c r="B57" s="517" t="s">
        <v>603</v>
      </c>
      <c r="C57" s="415"/>
      <c r="D57" s="415"/>
      <c r="E57" s="415"/>
      <c r="F57" s="415"/>
      <c r="G57" s="415"/>
      <c r="H57" s="415"/>
      <c r="I57" s="525"/>
      <c r="J57" s="525"/>
      <c r="K57" s="525"/>
      <c r="L57" s="525"/>
      <c r="M57" s="525"/>
      <c r="N57" s="525"/>
      <c r="O57" s="526"/>
    </row>
    <row r="58" spans="2:18" x14ac:dyDescent="0.2">
      <c r="B58" s="499"/>
      <c r="C58" s="189"/>
      <c r="D58" s="189"/>
      <c r="E58" s="189"/>
      <c r="F58" s="189"/>
      <c r="G58" s="559" t="s">
        <v>647</v>
      </c>
      <c r="H58" s="560" t="s">
        <v>589</v>
      </c>
      <c r="I58" s="561" t="s">
        <v>610</v>
      </c>
      <c r="J58" s="561" t="s">
        <v>609</v>
      </c>
      <c r="K58" s="561" t="s">
        <v>608</v>
      </c>
      <c r="L58" s="561" t="s">
        <v>607</v>
      </c>
      <c r="M58" s="561" t="s">
        <v>606</v>
      </c>
      <c r="N58" s="561" t="s">
        <v>605</v>
      </c>
      <c r="O58" s="562" t="s">
        <v>604</v>
      </c>
    </row>
    <row r="59" spans="2:18" x14ac:dyDescent="0.2">
      <c r="B59" s="499"/>
      <c r="C59" s="189"/>
      <c r="D59" s="189"/>
      <c r="E59" s="189"/>
      <c r="F59" s="189"/>
      <c r="G59" s="189"/>
      <c r="H59" s="189"/>
      <c r="I59" s="531"/>
      <c r="J59" s="531"/>
      <c r="K59" s="531"/>
      <c r="L59" s="531"/>
      <c r="M59" s="531"/>
      <c r="N59" s="531"/>
      <c r="O59" s="527"/>
    </row>
    <row r="60" spans="2:18" x14ac:dyDescent="0.2">
      <c r="B60" s="524" t="s">
        <v>583</v>
      </c>
      <c r="C60" s="189" t="s">
        <v>611</v>
      </c>
      <c r="D60" s="189"/>
      <c r="E60" s="189"/>
      <c r="F60" s="189"/>
      <c r="G60" s="521" t="s">
        <v>624</v>
      </c>
      <c r="H60" s="519" t="s">
        <v>591</v>
      </c>
      <c r="I60" s="376" t="s">
        <v>628</v>
      </c>
      <c r="J60" s="376" t="s">
        <v>627</v>
      </c>
      <c r="K60" s="376" t="s">
        <v>626</v>
      </c>
      <c r="L60" s="376" t="s">
        <v>629</v>
      </c>
      <c r="M60" s="376" t="s">
        <v>630</v>
      </c>
      <c r="N60" s="376" t="s">
        <v>625</v>
      </c>
      <c r="O60" s="530" t="s">
        <v>631</v>
      </c>
    </row>
    <row r="61" spans="2:18" ht="15" thickBot="1" x14ac:dyDescent="0.25">
      <c r="B61" s="502"/>
      <c r="C61" s="333"/>
      <c r="D61" s="333"/>
      <c r="E61" s="333"/>
      <c r="F61" s="333"/>
      <c r="G61" s="333"/>
      <c r="H61" s="333"/>
      <c r="I61" s="532"/>
      <c r="J61" s="503"/>
      <c r="K61" s="503"/>
      <c r="L61" s="503"/>
      <c r="M61" s="503"/>
      <c r="N61" s="503"/>
      <c r="O61" s="504"/>
    </row>
    <row r="62" spans="2:18" ht="15" thickBot="1" x14ac:dyDescent="0.25">
      <c r="I62" s="158"/>
      <c r="J62" s="158"/>
      <c r="K62" s="158"/>
      <c r="L62" s="158"/>
      <c r="M62" s="158"/>
      <c r="N62" s="158"/>
      <c r="O62" s="158"/>
    </row>
    <row r="63" spans="2:18" x14ac:dyDescent="0.2">
      <c r="B63" s="517" t="s">
        <v>612</v>
      </c>
      <c r="C63" s="415"/>
      <c r="D63" s="415"/>
      <c r="E63" s="415"/>
      <c r="F63" s="415"/>
      <c r="G63" s="415"/>
      <c r="H63" s="415"/>
      <c r="I63" s="525"/>
      <c r="J63" s="525"/>
      <c r="K63" s="525"/>
      <c r="L63" s="525"/>
      <c r="M63" s="525"/>
      <c r="N63" s="525"/>
      <c r="O63" s="526"/>
    </row>
    <row r="64" spans="2:18" x14ac:dyDescent="0.2">
      <c r="B64" s="499"/>
      <c r="C64" s="189"/>
      <c r="D64" s="189"/>
      <c r="E64" s="189"/>
      <c r="F64" s="189"/>
      <c r="G64" s="559" t="s">
        <v>647</v>
      </c>
      <c r="H64" s="560" t="s">
        <v>589</v>
      </c>
      <c r="I64" s="563" t="s">
        <v>613</v>
      </c>
      <c r="J64" s="563" t="s">
        <v>614</v>
      </c>
      <c r="K64" s="563" t="s">
        <v>615</v>
      </c>
      <c r="L64" s="563" t="s">
        <v>616</v>
      </c>
      <c r="M64" s="563" t="s">
        <v>617</v>
      </c>
      <c r="N64" s="563" t="s">
        <v>618</v>
      </c>
      <c r="O64" s="564" t="s">
        <v>619</v>
      </c>
    </row>
    <row r="65" spans="2:15" x14ac:dyDescent="0.2">
      <c r="B65" s="499"/>
      <c r="C65" s="189"/>
      <c r="D65" s="189"/>
      <c r="E65" s="189"/>
      <c r="F65" s="189"/>
      <c r="G65" s="189"/>
      <c r="H65" s="189"/>
      <c r="I65" s="376"/>
      <c r="J65" s="376"/>
      <c r="K65" s="376"/>
      <c r="L65" s="376"/>
      <c r="M65" s="376"/>
      <c r="N65" s="376"/>
      <c r="O65" s="501"/>
    </row>
    <row r="66" spans="2:15" x14ac:dyDescent="0.2">
      <c r="B66" s="524" t="s">
        <v>584</v>
      </c>
      <c r="C66" s="189" t="s">
        <v>587</v>
      </c>
      <c r="D66" s="189"/>
      <c r="E66" s="189"/>
      <c r="F66" s="189"/>
      <c r="G66" s="529" t="s">
        <v>622</v>
      </c>
      <c r="H66" s="519" t="s">
        <v>590</v>
      </c>
      <c r="I66" s="376" t="s">
        <v>632</v>
      </c>
      <c r="J66" s="522" t="s">
        <v>633</v>
      </c>
      <c r="K66" s="522" t="s">
        <v>634</v>
      </c>
      <c r="L66" s="522" t="s">
        <v>636</v>
      </c>
      <c r="M66" s="522" t="s">
        <v>637</v>
      </c>
      <c r="N66" s="522" t="s">
        <v>638</v>
      </c>
      <c r="O66" s="523" t="s">
        <v>635</v>
      </c>
    </row>
    <row r="67" spans="2:15" ht="15" thickBot="1" x14ac:dyDescent="0.25">
      <c r="B67" s="502"/>
      <c r="C67" s="333"/>
      <c r="D67" s="333"/>
      <c r="E67" s="333"/>
      <c r="F67" s="333"/>
      <c r="G67" s="333"/>
      <c r="H67" s="333"/>
      <c r="I67" s="503"/>
      <c r="J67" s="503"/>
      <c r="K67" s="503"/>
      <c r="L67" s="503"/>
      <c r="M67" s="503"/>
      <c r="N67" s="503"/>
      <c r="O67" s="504"/>
    </row>
    <row r="68" spans="2:15" x14ac:dyDescent="0.2">
      <c r="I68" s="158"/>
      <c r="J68" s="158"/>
      <c r="K68" s="158"/>
      <c r="L68" s="158"/>
      <c r="M68" s="158"/>
      <c r="N68" s="158"/>
      <c r="O68" s="158"/>
    </row>
    <row r="69" spans="2:15" x14ac:dyDescent="0.2">
      <c r="I69" s="158"/>
      <c r="J69" s="158"/>
      <c r="K69" s="158"/>
      <c r="L69" s="158"/>
      <c r="M69" s="158"/>
      <c r="N69" s="158"/>
      <c r="O69" s="158"/>
    </row>
  </sheetData>
  <mergeCells count="6">
    <mergeCell ref="C54:D54"/>
    <mergeCell ref="C12:D12"/>
    <mergeCell ref="C13:D13"/>
    <mergeCell ref="C41:D41"/>
    <mergeCell ref="C42:D42"/>
    <mergeCell ref="C53:D53"/>
  </mergeCells>
  <phoneticPr fontId="5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F05C-D4F7-407D-9D0A-CAFDCFA85DCB}">
  <sheetPr>
    <tabColor rgb="FF0000FF"/>
  </sheetPr>
  <dimension ref="C10:T54"/>
  <sheetViews>
    <sheetView workbookViewId="0">
      <selection activeCell="V13" sqref="V13"/>
    </sheetView>
  </sheetViews>
  <sheetFormatPr defaultRowHeight="14.25" x14ac:dyDescent="0.2"/>
  <cols>
    <col min="9" max="9" width="13" customWidth="1"/>
    <col min="10" max="10" width="11.375" customWidth="1"/>
  </cols>
  <sheetData>
    <row r="10" spans="3:20" x14ac:dyDescent="0.2">
      <c r="C10" s="571"/>
      <c r="D10" s="571"/>
      <c r="E10" s="571"/>
      <c r="F10" s="571"/>
      <c r="G10" s="571"/>
      <c r="H10" s="571"/>
      <c r="I10" s="571"/>
      <c r="J10" s="571"/>
      <c r="K10" s="571"/>
      <c r="L10" s="571"/>
      <c r="M10" s="571"/>
      <c r="N10" s="571"/>
      <c r="O10" s="571"/>
      <c r="P10" s="571"/>
      <c r="Q10" s="571"/>
      <c r="R10" s="571"/>
      <c r="S10" s="571"/>
      <c r="T10" s="571"/>
    </row>
    <row r="11" spans="3:20" x14ac:dyDescent="0.2">
      <c r="C11" s="571"/>
      <c r="D11" s="571"/>
      <c r="E11" s="571"/>
      <c r="F11" s="571"/>
      <c r="G11" s="571"/>
      <c r="H11" s="571"/>
      <c r="I11" s="571" t="s">
        <v>668</v>
      </c>
      <c r="J11" s="571" t="s">
        <v>656</v>
      </c>
      <c r="K11" s="571"/>
      <c r="L11" s="571"/>
      <c r="M11" s="571"/>
      <c r="N11" s="571"/>
      <c r="O11" s="571"/>
      <c r="P11" s="571"/>
      <c r="Q11" s="571"/>
      <c r="R11" s="571"/>
      <c r="S11" s="571"/>
      <c r="T11" s="571"/>
    </row>
    <row r="12" spans="3:20" x14ac:dyDescent="0.2">
      <c r="C12" s="571"/>
      <c r="D12" s="571"/>
      <c r="E12" s="571"/>
      <c r="F12" s="571"/>
      <c r="G12" s="571"/>
      <c r="H12" s="571"/>
      <c r="I12" s="571" t="s">
        <v>669</v>
      </c>
      <c r="J12" s="571" t="s">
        <v>657</v>
      </c>
      <c r="K12" s="571"/>
      <c r="L12" s="571"/>
      <c r="M12" s="571"/>
      <c r="N12" s="833" t="s">
        <v>681</v>
      </c>
      <c r="O12" s="833"/>
      <c r="P12" s="833"/>
      <c r="Q12" s="833"/>
      <c r="R12" s="833"/>
      <c r="S12" s="833"/>
      <c r="T12" s="571"/>
    </row>
    <row r="13" spans="3:20" x14ac:dyDescent="0.2">
      <c r="C13" s="571"/>
      <c r="D13" s="571"/>
      <c r="E13" s="572" t="s">
        <v>680</v>
      </c>
      <c r="F13" s="571"/>
      <c r="G13" s="571"/>
      <c r="H13" s="571"/>
      <c r="I13" s="571" t="s">
        <v>670</v>
      </c>
      <c r="J13" s="571" t="s">
        <v>658</v>
      </c>
      <c r="K13" s="571"/>
      <c r="L13" s="571"/>
      <c r="M13" s="571"/>
      <c r="N13" s="571"/>
      <c r="O13" s="571"/>
      <c r="P13" s="571"/>
      <c r="Q13" s="571"/>
      <c r="R13" s="571"/>
      <c r="S13" s="571"/>
      <c r="T13" s="571"/>
    </row>
    <row r="14" spans="3:20" x14ac:dyDescent="0.2">
      <c r="C14" s="571"/>
      <c r="D14" s="571"/>
      <c r="E14" s="571"/>
      <c r="F14" s="571"/>
      <c r="G14" s="571"/>
      <c r="H14" s="571"/>
      <c r="I14" s="571"/>
      <c r="J14" s="571"/>
      <c r="K14" s="571"/>
      <c r="L14" s="571"/>
      <c r="M14" s="571"/>
      <c r="N14" s="571"/>
      <c r="O14" s="571"/>
      <c r="P14" s="571"/>
      <c r="Q14" s="571"/>
      <c r="R14" s="571"/>
      <c r="S14" s="571"/>
      <c r="T14" s="571"/>
    </row>
    <row r="15" spans="3:20" x14ac:dyDescent="0.2">
      <c r="C15" s="571"/>
      <c r="D15" s="571"/>
      <c r="E15" s="571"/>
      <c r="F15" s="571"/>
      <c r="G15" s="571"/>
      <c r="H15" s="571"/>
      <c r="I15" s="571" t="s">
        <v>671</v>
      </c>
      <c r="J15" s="571" t="s">
        <v>659</v>
      </c>
      <c r="K15" s="571"/>
      <c r="L15" s="571"/>
      <c r="M15" s="571"/>
      <c r="N15" s="571"/>
      <c r="O15" s="571"/>
      <c r="P15" s="571"/>
      <c r="Q15" s="571"/>
      <c r="R15" s="571"/>
      <c r="S15" s="571"/>
      <c r="T15" s="571"/>
    </row>
    <row r="16" spans="3:20" x14ac:dyDescent="0.2">
      <c r="C16" s="571"/>
      <c r="D16" s="571"/>
      <c r="E16" s="571"/>
      <c r="F16" s="571"/>
      <c r="G16" s="571"/>
      <c r="H16" s="571"/>
      <c r="I16" s="571" t="s">
        <v>672</v>
      </c>
      <c r="J16" s="571" t="s">
        <v>660</v>
      </c>
      <c r="K16" s="571"/>
      <c r="L16" s="571"/>
      <c r="M16" s="571"/>
      <c r="N16" s="571"/>
      <c r="O16" s="571"/>
      <c r="P16" s="571"/>
      <c r="Q16" s="571"/>
      <c r="R16" s="571"/>
      <c r="S16" s="571"/>
      <c r="T16" s="571"/>
    </row>
    <row r="17" spans="3:20" x14ac:dyDescent="0.2">
      <c r="C17" s="571"/>
      <c r="D17" s="571"/>
      <c r="E17" s="571"/>
      <c r="F17" s="571"/>
      <c r="G17" s="571"/>
      <c r="H17" s="571"/>
      <c r="I17" s="571" t="s">
        <v>673</v>
      </c>
      <c r="J17" s="571" t="s">
        <v>661</v>
      </c>
      <c r="K17" s="571"/>
      <c r="L17" s="571"/>
      <c r="M17" s="571"/>
      <c r="N17" s="571"/>
      <c r="O17" s="571"/>
      <c r="P17" s="571"/>
      <c r="Q17" s="571"/>
      <c r="R17" s="571"/>
      <c r="S17" s="571"/>
      <c r="T17" s="571"/>
    </row>
    <row r="18" spans="3:20" x14ac:dyDescent="0.2">
      <c r="C18" s="571"/>
      <c r="D18" s="571"/>
      <c r="E18" s="571"/>
      <c r="F18" s="571"/>
      <c r="G18" s="571"/>
      <c r="H18" s="571"/>
      <c r="I18" s="571"/>
      <c r="J18" s="571"/>
      <c r="K18" s="571"/>
      <c r="L18" s="571"/>
      <c r="M18" s="571"/>
      <c r="N18" s="571"/>
      <c r="O18" s="571"/>
      <c r="P18" s="571"/>
      <c r="Q18" s="571"/>
      <c r="R18" s="571"/>
      <c r="S18" s="571"/>
      <c r="T18" s="571"/>
    </row>
    <row r="19" spans="3:20" x14ac:dyDescent="0.2">
      <c r="C19" s="571"/>
      <c r="D19" s="571"/>
      <c r="E19" s="571"/>
      <c r="F19" s="571"/>
      <c r="G19" s="571"/>
      <c r="H19" s="571"/>
      <c r="I19" s="571" t="s">
        <v>674</v>
      </c>
      <c r="J19" s="571" t="s">
        <v>662</v>
      </c>
      <c r="K19" s="571"/>
      <c r="L19" s="571"/>
      <c r="M19" s="571"/>
      <c r="N19" s="571"/>
      <c r="O19" s="571"/>
      <c r="P19" s="571"/>
      <c r="Q19" s="571"/>
      <c r="R19" s="571"/>
      <c r="S19" s="571"/>
      <c r="T19" s="571"/>
    </row>
    <row r="20" spans="3:20" x14ac:dyDescent="0.2">
      <c r="C20" s="571"/>
      <c r="D20" s="571"/>
      <c r="E20" s="571"/>
      <c r="F20" s="571"/>
      <c r="G20" s="571"/>
      <c r="H20" s="571"/>
      <c r="I20" s="571" t="s">
        <v>675</v>
      </c>
      <c r="J20" s="571" t="s">
        <v>663</v>
      </c>
      <c r="K20" s="571"/>
      <c r="L20" s="571"/>
      <c r="M20" s="571"/>
      <c r="N20" s="571"/>
      <c r="O20" s="571"/>
      <c r="P20" s="571"/>
      <c r="Q20" s="571"/>
      <c r="R20" s="571"/>
      <c r="S20" s="571"/>
      <c r="T20" s="571"/>
    </row>
    <row r="21" spans="3:20" x14ac:dyDescent="0.2">
      <c r="C21" s="571"/>
      <c r="D21" s="571"/>
      <c r="E21" s="571"/>
      <c r="F21" s="571"/>
      <c r="G21" s="571"/>
      <c r="H21" s="571"/>
      <c r="I21" s="571" t="s">
        <v>676</v>
      </c>
      <c r="J21" s="571" t="s">
        <v>664</v>
      </c>
      <c r="K21" s="571"/>
      <c r="L21" s="571"/>
      <c r="M21" s="571"/>
      <c r="N21" s="571"/>
      <c r="O21" s="571"/>
      <c r="P21" s="571"/>
      <c r="Q21" s="571"/>
      <c r="R21" s="571"/>
      <c r="S21" s="571"/>
      <c r="T21" s="571"/>
    </row>
    <row r="22" spans="3:20" x14ac:dyDescent="0.2">
      <c r="C22" s="571"/>
      <c r="D22" s="571"/>
      <c r="E22" s="571"/>
      <c r="F22" s="571"/>
      <c r="G22" s="571"/>
      <c r="H22" s="571"/>
      <c r="I22" s="571"/>
      <c r="J22" s="571"/>
      <c r="K22" s="571"/>
      <c r="L22" s="571"/>
      <c r="M22" s="571"/>
      <c r="N22" s="571"/>
      <c r="O22" s="571"/>
      <c r="P22" s="571"/>
      <c r="Q22" s="571"/>
      <c r="R22" s="571"/>
      <c r="S22" s="571"/>
      <c r="T22" s="571"/>
    </row>
    <row r="23" spans="3:20" x14ac:dyDescent="0.2">
      <c r="C23" s="571"/>
      <c r="D23" s="571"/>
      <c r="E23" s="571"/>
      <c r="F23" s="571"/>
      <c r="G23" s="571"/>
      <c r="H23" s="571"/>
      <c r="I23" s="571" t="s">
        <v>677</v>
      </c>
      <c r="J23" s="571" t="s">
        <v>665</v>
      </c>
      <c r="K23" s="571"/>
      <c r="L23" s="571"/>
      <c r="M23" s="571"/>
      <c r="N23" s="571"/>
      <c r="O23" s="571"/>
      <c r="P23" s="571"/>
      <c r="Q23" s="571"/>
      <c r="R23" s="571"/>
      <c r="S23" s="571"/>
      <c r="T23" s="571"/>
    </row>
    <row r="24" spans="3:20" x14ac:dyDescent="0.2">
      <c r="C24" s="571"/>
      <c r="D24" s="571"/>
      <c r="E24" s="571"/>
      <c r="F24" s="571"/>
      <c r="G24" s="571"/>
      <c r="H24" s="571"/>
      <c r="I24" s="571" t="s">
        <v>678</v>
      </c>
      <c r="J24" s="571" t="s">
        <v>666</v>
      </c>
      <c r="K24" s="571"/>
      <c r="L24" s="571"/>
      <c r="M24" s="571"/>
      <c r="N24" s="571"/>
      <c r="O24" s="571"/>
      <c r="P24" s="571"/>
      <c r="Q24" s="571"/>
      <c r="R24" s="571"/>
      <c r="S24" s="571"/>
      <c r="T24" s="571"/>
    </row>
    <row r="25" spans="3:20" x14ac:dyDescent="0.2"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</row>
    <row r="26" spans="3:20" x14ac:dyDescent="0.2">
      <c r="C26" s="571"/>
      <c r="D26" s="571"/>
      <c r="E26" s="571"/>
      <c r="F26" s="571"/>
      <c r="G26" s="571"/>
      <c r="H26" s="571"/>
      <c r="I26" s="571" t="s">
        <v>679</v>
      </c>
      <c r="J26" s="571" t="s">
        <v>667</v>
      </c>
      <c r="K26" s="571"/>
      <c r="L26" s="571"/>
      <c r="M26" s="571"/>
      <c r="N26" s="571"/>
      <c r="O26" s="571"/>
      <c r="P26" s="571"/>
      <c r="Q26" s="571"/>
      <c r="R26" s="571"/>
      <c r="S26" s="571"/>
      <c r="T26" s="571"/>
    </row>
    <row r="27" spans="3:20" x14ac:dyDescent="0.2">
      <c r="C27" s="571"/>
      <c r="D27" s="571"/>
      <c r="E27" s="571"/>
      <c r="F27" s="571"/>
      <c r="G27" s="571"/>
      <c r="H27" s="571"/>
      <c r="I27" s="571"/>
      <c r="J27" s="571"/>
      <c r="K27" s="571"/>
      <c r="L27" s="571"/>
      <c r="M27" s="571"/>
      <c r="N27" s="571"/>
      <c r="O27" s="571"/>
      <c r="P27" s="571"/>
      <c r="Q27" s="571"/>
      <c r="R27" s="571"/>
      <c r="S27" s="571"/>
      <c r="T27" s="571"/>
    </row>
    <row r="28" spans="3:20" x14ac:dyDescent="0.2">
      <c r="C28" s="571"/>
      <c r="D28" s="571"/>
      <c r="E28" s="571"/>
      <c r="F28" s="571"/>
      <c r="G28" s="571"/>
      <c r="H28" s="571"/>
      <c r="I28" s="571"/>
      <c r="J28" s="571"/>
      <c r="K28" s="571"/>
      <c r="L28" s="571"/>
      <c r="M28" s="571"/>
      <c r="N28" s="571"/>
      <c r="O28" s="571"/>
      <c r="P28" s="571"/>
      <c r="Q28" s="571" t="s">
        <v>682</v>
      </c>
      <c r="R28" s="571"/>
      <c r="S28" s="571"/>
      <c r="T28" s="571"/>
    </row>
    <row r="29" spans="3:20" x14ac:dyDescent="0.2">
      <c r="C29" s="571"/>
      <c r="D29" s="571"/>
      <c r="E29" s="571"/>
      <c r="F29" s="571"/>
      <c r="G29" s="571"/>
      <c r="H29" s="571"/>
      <c r="I29" s="571"/>
      <c r="J29" s="571"/>
      <c r="K29" s="571"/>
      <c r="L29" s="571"/>
      <c r="M29" s="571"/>
      <c r="N29" s="571"/>
      <c r="O29" s="571"/>
      <c r="P29" s="571"/>
      <c r="Q29" s="571"/>
      <c r="R29" s="571"/>
      <c r="S29" s="571"/>
      <c r="T29" s="571"/>
    </row>
    <row r="30" spans="3:20" x14ac:dyDescent="0.2">
      <c r="C30" s="571"/>
      <c r="D30" s="571"/>
      <c r="E30" s="571"/>
      <c r="F30" s="571" t="s">
        <v>683</v>
      </c>
      <c r="G30" s="571"/>
      <c r="H30" s="571"/>
      <c r="I30" s="571"/>
      <c r="J30" s="571"/>
      <c r="K30" s="571"/>
      <c r="L30" s="571"/>
      <c r="M30" s="571"/>
      <c r="N30" s="571"/>
      <c r="O30" s="571"/>
      <c r="P30" s="571"/>
      <c r="Q30" s="571"/>
      <c r="R30" s="571"/>
      <c r="S30" s="571"/>
      <c r="T30" s="571"/>
    </row>
    <row r="31" spans="3:20" x14ac:dyDescent="0.2">
      <c r="C31" s="571"/>
      <c r="D31" s="571"/>
      <c r="E31" s="571"/>
      <c r="F31" s="571" t="s">
        <v>684</v>
      </c>
      <c r="G31" s="571"/>
      <c r="H31" s="571"/>
      <c r="I31" s="571"/>
      <c r="J31" s="571"/>
      <c r="K31" s="571"/>
      <c r="L31" s="571"/>
      <c r="M31" s="571"/>
      <c r="N31" s="571"/>
      <c r="O31" s="571"/>
      <c r="P31" s="571"/>
      <c r="Q31" s="571"/>
      <c r="R31" s="571"/>
      <c r="S31" s="571"/>
      <c r="T31" s="571"/>
    </row>
    <row r="32" spans="3:20" x14ac:dyDescent="0.2">
      <c r="C32" s="571"/>
      <c r="D32" s="571"/>
      <c r="E32" s="571"/>
      <c r="F32" s="571"/>
      <c r="G32" s="571"/>
      <c r="H32" s="571"/>
      <c r="I32" s="571"/>
      <c r="J32" s="571"/>
      <c r="K32" s="571"/>
      <c r="L32" s="571"/>
      <c r="M32" s="571"/>
      <c r="N32" s="571"/>
      <c r="O32" s="571"/>
      <c r="P32" s="571"/>
      <c r="Q32" s="571"/>
      <c r="R32" s="571"/>
      <c r="S32" s="571"/>
      <c r="T32" s="571"/>
    </row>
    <row r="33" spans="3:20" x14ac:dyDescent="0.2">
      <c r="C33" s="571"/>
      <c r="D33" s="571"/>
      <c r="E33" s="571"/>
      <c r="F33" s="571"/>
      <c r="G33" s="571"/>
      <c r="H33" s="571"/>
      <c r="I33" s="571"/>
      <c r="J33" s="571"/>
      <c r="K33" s="571"/>
      <c r="L33" s="571"/>
      <c r="M33" s="571"/>
      <c r="N33" s="571"/>
      <c r="O33" s="571"/>
      <c r="P33" s="571"/>
      <c r="Q33" s="571"/>
      <c r="R33" s="571"/>
      <c r="S33" s="571"/>
      <c r="T33" s="571"/>
    </row>
    <row r="34" spans="3:20" x14ac:dyDescent="0.2">
      <c r="C34" s="571"/>
      <c r="D34" s="571"/>
      <c r="E34" s="571"/>
      <c r="F34" s="571"/>
      <c r="G34" s="571"/>
      <c r="H34" s="571"/>
      <c r="I34" s="571"/>
      <c r="J34" s="571"/>
      <c r="K34" s="571"/>
      <c r="L34" s="571"/>
      <c r="M34" s="571"/>
      <c r="N34" s="571"/>
      <c r="O34" s="571"/>
      <c r="P34" s="571"/>
      <c r="Q34" s="571"/>
      <c r="R34" s="571"/>
      <c r="S34" s="571"/>
      <c r="T34" s="571"/>
    </row>
    <row r="35" spans="3:20" x14ac:dyDescent="0.2">
      <c r="C35" s="571"/>
      <c r="D35" s="571"/>
      <c r="E35" s="571"/>
      <c r="F35" s="571"/>
      <c r="G35" s="571"/>
      <c r="H35" s="571"/>
      <c r="I35" s="571"/>
      <c r="J35" s="571"/>
      <c r="K35" s="571"/>
      <c r="L35" s="571"/>
      <c r="M35" s="571"/>
      <c r="N35" s="571"/>
      <c r="O35" s="571"/>
      <c r="P35" s="571"/>
      <c r="Q35" s="571"/>
      <c r="R35" s="571"/>
      <c r="S35" s="571"/>
      <c r="T35" s="571"/>
    </row>
    <row r="36" spans="3:20" x14ac:dyDescent="0.2">
      <c r="C36" s="571"/>
      <c r="D36" s="571"/>
      <c r="E36" s="571"/>
      <c r="F36" s="571"/>
      <c r="G36" s="571" t="s">
        <v>685</v>
      </c>
      <c r="H36" s="571"/>
      <c r="I36" s="571"/>
      <c r="J36" s="571"/>
      <c r="K36" s="571"/>
      <c r="L36" s="571" t="s">
        <v>686</v>
      </c>
      <c r="M36" s="571"/>
      <c r="N36" s="571"/>
      <c r="O36" s="571"/>
      <c r="P36" s="571"/>
      <c r="Q36" s="571"/>
      <c r="R36" s="571"/>
      <c r="S36" s="571"/>
      <c r="T36" s="571"/>
    </row>
    <row r="37" spans="3:20" x14ac:dyDescent="0.2"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</row>
    <row r="38" spans="3:20" x14ac:dyDescent="0.2">
      <c r="C38" s="571"/>
      <c r="D38" s="571"/>
      <c r="E38" s="571"/>
      <c r="F38" s="571"/>
      <c r="G38" s="571"/>
      <c r="H38" s="571"/>
      <c r="I38" s="571"/>
      <c r="J38" s="571"/>
      <c r="K38" s="571"/>
      <c r="L38" s="571"/>
      <c r="M38" s="571"/>
      <c r="N38" s="571"/>
      <c r="O38" s="571"/>
      <c r="P38" s="571"/>
      <c r="Q38" s="571"/>
      <c r="R38" s="571"/>
      <c r="S38" s="571"/>
      <c r="T38" s="571"/>
    </row>
    <row r="39" spans="3:20" x14ac:dyDescent="0.2">
      <c r="C39" s="571"/>
      <c r="D39" s="571"/>
      <c r="E39" s="571"/>
      <c r="F39" s="571"/>
      <c r="G39" s="571"/>
      <c r="H39" s="571"/>
      <c r="I39" s="571"/>
      <c r="J39" s="571"/>
      <c r="K39" s="571"/>
      <c r="L39" s="571"/>
      <c r="M39" s="571"/>
      <c r="N39" s="571"/>
      <c r="O39" s="571"/>
      <c r="P39" s="571"/>
      <c r="Q39" s="571"/>
      <c r="R39" s="571"/>
      <c r="S39" s="571"/>
      <c r="T39" s="571"/>
    </row>
    <row r="40" spans="3:20" x14ac:dyDescent="0.2">
      <c r="C40" s="571"/>
      <c r="D40" s="571"/>
      <c r="E40" s="571"/>
      <c r="F40" s="571"/>
      <c r="G40" s="571"/>
      <c r="H40" s="571"/>
      <c r="I40" s="571"/>
      <c r="J40" s="571"/>
      <c r="K40" s="571"/>
      <c r="L40" s="571"/>
      <c r="M40" s="571"/>
      <c r="N40" s="571"/>
      <c r="O40" s="571"/>
      <c r="P40" s="571"/>
      <c r="Q40" s="571"/>
      <c r="R40" s="571"/>
      <c r="S40" s="571"/>
      <c r="T40" s="571"/>
    </row>
    <row r="41" spans="3:20" x14ac:dyDescent="0.2">
      <c r="C41" s="571"/>
      <c r="D41" s="571"/>
      <c r="E41" s="571"/>
      <c r="F41" s="571"/>
      <c r="G41" s="571"/>
      <c r="H41" s="571"/>
      <c r="I41" s="571"/>
      <c r="J41" s="571"/>
      <c r="K41" s="571"/>
      <c r="L41" s="571"/>
      <c r="M41" s="571"/>
      <c r="N41" s="571"/>
      <c r="O41" s="571"/>
      <c r="P41" s="571"/>
      <c r="Q41" s="571"/>
      <c r="R41" s="571"/>
      <c r="S41" s="571"/>
      <c r="T41" s="571"/>
    </row>
    <row r="42" spans="3:20" x14ac:dyDescent="0.2">
      <c r="C42" s="571"/>
      <c r="D42" s="571"/>
      <c r="E42" s="571"/>
      <c r="F42" s="571"/>
      <c r="G42" s="571"/>
      <c r="H42" s="571"/>
      <c r="I42" s="571"/>
      <c r="J42" s="571"/>
      <c r="K42" s="571"/>
      <c r="L42" s="571"/>
      <c r="M42" s="571"/>
      <c r="N42" s="571"/>
      <c r="O42" s="571"/>
      <c r="P42" s="571"/>
      <c r="Q42" s="571"/>
      <c r="R42" s="571"/>
      <c r="S42" s="571"/>
      <c r="T42" s="571"/>
    </row>
    <row r="43" spans="3:20" x14ac:dyDescent="0.2">
      <c r="C43" s="571"/>
      <c r="D43" s="571"/>
      <c r="E43" s="571"/>
      <c r="F43" s="571"/>
      <c r="G43" s="571"/>
      <c r="H43" s="571"/>
      <c r="I43" s="571"/>
      <c r="J43" s="571"/>
      <c r="K43" s="571"/>
      <c r="L43" s="571"/>
      <c r="M43" s="571"/>
      <c r="N43" s="571"/>
      <c r="O43" s="571"/>
      <c r="P43" s="571"/>
      <c r="Q43" s="571"/>
      <c r="R43" s="571"/>
      <c r="S43" s="571"/>
      <c r="T43" s="571"/>
    </row>
    <row r="44" spans="3:20" x14ac:dyDescent="0.2">
      <c r="C44" s="571"/>
      <c r="D44" s="571"/>
      <c r="E44" s="571"/>
      <c r="F44" s="571"/>
      <c r="G44" s="571"/>
      <c r="H44" s="571"/>
      <c r="I44" s="571"/>
      <c r="J44" s="571"/>
      <c r="K44" s="571"/>
      <c r="L44" s="571"/>
      <c r="M44" s="571"/>
      <c r="N44" s="571"/>
      <c r="O44" s="571"/>
      <c r="P44" s="571"/>
      <c r="Q44" s="571"/>
      <c r="R44" s="571"/>
      <c r="S44" s="571"/>
      <c r="T44" s="571"/>
    </row>
    <row r="45" spans="3:20" x14ac:dyDescent="0.2">
      <c r="C45" s="571"/>
      <c r="D45" s="571"/>
      <c r="E45" s="571"/>
      <c r="F45" s="571"/>
      <c r="G45" s="571"/>
      <c r="H45" s="571"/>
      <c r="I45" s="571"/>
      <c r="J45" s="571"/>
      <c r="K45" s="571"/>
      <c r="L45" s="571"/>
      <c r="M45" s="571"/>
      <c r="N45" s="571"/>
      <c r="O45" s="571"/>
      <c r="P45" s="571"/>
      <c r="Q45" s="571"/>
      <c r="R45" s="571"/>
      <c r="S45" s="571"/>
      <c r="T45" s="571"/>
    </row>
    <row r="46" spans="3:20" x14ac:dyDescent="0.2">
      <c r="C46" s="571"/>
      <c r="D46" s="571"/>
      <c r="E46" s="571"/>
      <c r="F46" s="571"/>
      <c r="G46" s="571"/>
      <c r="H46" s="571"/>
      <c r="I46" s="571"/>
      <c r="J46" s="571"/>
      <c r="K46" s="571"/>
      <c r="L46" s="571"/>
      <c r="M46" s="571"/>
      <c r="N46" s="571"/>
      <c r="O46" s="571"/>
      <c r="P46" s="571"/>
      <c r="Q46" s="571"/>
      <c r="R46" s="571"/>
      <c r="S46" s="571"/>
      <c r="T46" s="571"/>
    </row>
    <row r="47" spans="3:20" x14ac:dyDescent="0.2">
      <c r="C47" s="571"/>
      <c r="D47" s="571"/>
      <c r="E47" s="571"/>
      <c r="F47" s="571"/>
      <c r="G47" s="571"/>
      <c r="H47" s="571"/>
      <c r="I47" s="571"/>
      <c r="J47" s="571"/>
      <c r="K47" s="571"/>
      <c r="L47" s="571"/>
      <c r="M47" s="571"/>
      <c r="N47" s="571"/>
      <c r="O47" s="571"/>
      <c r="P47" s="571"/>
      <c r="Q47" s="571"/>
      <c r="R47" s="571"/>
      <c r="S47" s="571"/>
      <c r="T47" s="571"/>
    </row>
    <row r="48" spans="3:20" x14ac:dyDescent="0.2">
      <c r="C48" s="571"/>
      <c r="D48" s="571"/>
      <c r="E48" s="571"/>
      <c r="F48" s="571"/>
      <c r="G48" s="571"/>
      <c r="H48" s="571"/>
      <c r="I48" s="571"/>
      <c r="J48" s="571"/>
      <c r="K48" s="571"/>
      <c r="L48" s="571"/>
      <c r="M48" s="571"/>
      <c r="N48" s="571"/>
      <c r="O48" s="571"/>
      <c r="P48" s="571"/>
      <c r="Q48" s="571"/>
      <c r="R48" s="571"/>
      <c r="S48" s="571"/>
      <c r="T48" s="571"/>
    </row>
    <row r="49" spans="3:20" x14ac:dyDescent="0.2">
      <c r="C49" s="571"/>
      <c r="D49" s="571"/>
      <c r="E49" s="571"/>
      <c r="F49" s="571"/>
      <c r="G49" s="571"/>
      <c r="H49" s="571"/>
      <c r="I49" s="571"/>
      <c r="J49" s="571"/>
      <c r="K49" s="571"/>
      <c r="L49" s="571"/>
      <c r="M49" s="571"/>
      <c r="N49" s="571"/>
      <c r="O49" s="571"/>
      <c r="P49" s="571"/>
      <c r="Q49" s="571"/>
      <c r="R49" s="571"/>
      <c r="S49" s="571"/>
      <c r="T49" s="571"/>
    </row>
    <row r="50" spans="3:20" x14ac:dyDescent="0.2">
      <c r="C50" s="571"/>
      <c r="D50" s="571"/>
      <c r="E50" s="571"/>
      <c r="F50" s="571"/>
      <c r="G50" s="571"/>
      <c r="H50" s="571"/>
      <c r="I50" s="571"/>
      <c r="J50" s="571"/>
      <c r="K50" s="571"/>
      <c r="L50" s="571"/>
      <c r="M50" s="571"/>
      <c r="N50" s="571"/>
      <c r="O50" s="571"/>
      <c r="P50" s="571"/>
      <c r="Q50" s="571"/>
      <c r="R50" s="571"/>
      <c r="S50" s="571"/>
      <c r="T50" s="571"/>
    </row>
    <row r="51" spans="3:20" x14ac:dyDescent="0.2">
      <c r="C51" s="571"/>
      <c r="D51" s="571"/>
      <c r="E51" s="571"/>
      <c r="F51" s="571"/>
      <c r="G51" s="571"/>
      <c r="H51" s="571"/>
      <c r="I51" s="571"/>
      <c r="J51" s="571"/>
      <c r="K51" s="571"/>
      <c r="L51" s="571"/>
      <c r="M51" s="571"/>
      <c r="N51" s="571"/>
      <c r="O51" s="571"/>
      <c r="P51" s="571"/>
      <c r="Q51" s="571"/>
      <c r="R51" s="571"/>
      <c r="S51" s="571"/>
      <c r="T51" s="571"/>
    </row>
    <row r="52" spans="3:20" x14ac:dyDescent="0.2">
      <c r="C52" s="571"/>
      <c r="D52" s="571"/>
      <c r="E52" s="571"/>
      <c r="F52" s="571"/>
      <c r="G52" s="571"/>
      <c r="H52" s="571"/>
      <c r="I52" s="571"/>
      <c r="J52" s="571"/>
      <c r="K52" s="571"/>
      <c r="L52" s="571"/>
      <c r="M52" s="571"/>
      <c r="N52" s="571"/>
      <c r="O52" s="571"/>
      <c r="P52" s="571"/>
      <c r="Q52" s="571"/>
      <c r="R52" s="571"/>
      <c r="S52" s="571"/>
      <c r="T52" s="571"/>
    </row>
    <row r="53" spans="3:20" x14ac:dyDescent="0.2">
      <c r="C53" s="571"/>
      <c r="D53" s="571"/>
      <c r="E53" s="571"/>
      <c r="F53" s="571"/>
      <c r="G53" s="571"/>
      <c r="H53" s="571"/>
      <c r="I53" s="571"/>
      <c r="J53" s="571"/>
      <c r="K53" s="571"/>
      <c r="L53" s="571"/>
      <c r="M53" s="571"/>
      <c r="N53" s="571"/>
      <c r="O53" s="571"/>
      <c r="P53" s="571"/>
      <c r="Q53" s="571"/>
      <c r="R53" s="571"/>
      <c r="S53" s="571"/>
      <c r="T53" s="571"/>
    </row>
    <row r="54" spans="3:20" x14ac:dyDescent="0.2">
      <c r="C54" s="571"/>
      <c r="D54" s="571"/>
      <c r="E54" s="571"/>
      <c r="F54" s="571"/>
      <c r="G54" s="571"/>
      <c r="H54" s="571"/>
      <c r="I54" s="571"/>
      <c r="J54" s="571"/>
      <c r="K54" s="571"/>
      <c r="L54" s="571"/>
      <c r="M54" s="571"/>
      <c r="N54" s="571"/>
      <c r="O54" s="571"/>
      <c r="P54" s="571"/>
      <c r="Q54" s="571"/>
      <c r="R54" s="571"/>
      <c r="S54" s="571"/>
      <c r="T54" s="571"/>
    </row>
  </sheetData>
  <mergeCells count="1">
    <mergeCell ref="N12:S12"/>
  </mergeCells>
  <phoneticPr fontId="5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B6BE-5B4D-4ED1-836F-71CE76E0E564}">
  <sheetPr>
    <tabColor rgb="FF0000FF"/>
  </sheetPr>
  <dimension ref="E4:S36"/>
  <sheetViews>
    <sheetView topLeftCell="A10" workbookViewId="0">
      <selection activeCell="M57" sqref="M57"/>
    </sheetView>
  </sheetViews>
  <sheetFormatPr defaultRowHeight="14.25" x14ac:dyDescent="0.2"/>
  <cols>
    <col min="9" max="9" width="13" customWidth="1"/>
    <col min="10" max="10" width="11.375" customWidth="1"/>
  </cols>
  <sheetData>
    <row r="4" spans="5:19" x14ac:dyDescent="0.2">
      <c r="I4" t="s">
        <v>687</v>
      </c>
    </row>
    <row r="5" spans="5:19" x14ac:dyDescent="0.2">
      <c r="I5" t="s">
        <v>688</v>
      </c>
      <c r="J5" t="s">
        <v>689</v>
      </c>
      <c r="K5" t="s">
        <v>690</v>
      </c>
    </row>
    <row r="11" spans="5:19" x14ac:dyDescent="0.2">
      <c r="I11" t="s">
        <v>668</v>
      </c>
      <c r="J11" t="s">
        <v>656</v>
      </c>
    </row>
    <row r="12" spans="5:19" x14ac:dyDescent="0.2">
      <c r="I12" t="s">
        <v>669</v>
      </c>
      <c r="J12" t="s">
        <v>657</v>
      </c>
      <c r="N12" s="834" t="s">
        <v>681</v>
      </c>
      <c r="O12" s="834"/>
      <c r="P12" s="834"/>
      <c r="Q12" s="834"/>
      <c r="R12" s="834"/>
      <c r="S12" s="834"/>
    </row>
    <row r="13" spans="5:19" x14ac:dyDescent="0.2">
      <c r="E13" s="141" t="s">
        <v>680</v>
      </c>
      <c r="I13" t="s">
        <v>670</v>
      </c>
      <c r="J13" t="s">
        <v>658</v>
      </c>
    </row>
    <row r="15" spans="5:19" x14ac:dyDescent="0.2">
      <c r="I15" t="s">
        <v>671</v>
      </c>
      <c r="J15" t="s">
        <v>659</v>
      </c>
    </row>
    <row r="16" spans="5:19" x14ac:dyDescent="0.2">
      <c r="I16" t="s">
        <v>672</v>
      </c>
      <c r="J16" t="s">
        <v>660</v>
      </c>
    </row>
    <row r="17" spans="6:17" x14ac:dyDescent="0.2">
      <c r="I17" t="s">
        <v>673</v>
      </c>
      <c r="J17" t="s">
        <v>661</v>
      </c>
    </row>
    <row r="19" spans="6:17" x14ac:dyDescent="0.2">
      <c r="I19" t="s">
        <v>674</v>
      </c>
      <c r="J19" t="s">
        <v>662</v>
      </c>
    </row>
    <row r="20" spans="6:17" x14ac:dyDescent="0.2">
      <c r="I20" t="s">
        <v>675</v>
      </c>
      <c r="J20" t="s">
        <v>663</v>
      </c>
    </row>
    <row r="21" spans="6:17" x14ac:dyDescent="0.2">
      <c r="I21" t="s">
        <v>676</v>
      </c>
      <c r="J21" t="s">
        <v>664</v>
      </c>
    </row>
    <row r="23" spans="6:17" x14ac:dyDescent="0.2">
      <c r="I23" t="s">
        <v>677</v>
      </c>
      <c r="J23" t="s">
        <v>665</v>
      </c>
    </row>
    <row r="24" spans="6:17" x14ac:dyDescent="0.2">
      <c r="I24" t="s">
        <v>678</v>
      </c>
      <c r="J24" t="s">
        <v>666</v>
      </c>
    </row>
    <row r="26" spans="6:17" x14ac:dyDescent="0.2">
      <c r="I26" t="s">
        <v>679</v>
      </c>
      <c r="J26" t="s">
        <v>667</v>
      </c>
    </row>
    <row r="28" spans="6:17" x14ac:dyDescent="0.2">
      <c r="Q28" t="s">
        <v>682</v>
      </c>
    </row>
    <row r="30" spans="6:17" x14ac:dyDescent="0.2">
      <c r="F30" t="s">
        <v>683</v>
      </c>
    </row>
    <row r="31" spans="6:17" x14ac:dyDescent="0.2">
      <c r="F31" t="s">
        <v>684</v>
      </c>
    </row>
    <row r="36" spans="7:12" x14ac:dyDescent="0.2">
      <c r="G36" t="s">
        <v>685</v>
      </c>
      <c r="L36" t="s">
        <v>686</v>
      </c>
    </row>
  </sheetData>
  <mergeCells count="1">
    <mergeCell ref="N12:S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D1538-981D-47D8-B3EA-B5D54946FA2F}">
  <dimension ref="A1:EK245"/>
  <sheetViews>
    <sheetView topLeftCell="H141" workbookViewId="0">
      <selection activeCell="AX238" sqref="AX238"/>
    </sheetView>
  </sheetViews>
  <sheetFormatPr defaultRowHeight="14.25" x14ac:dyDescent="0.2"/>
  <cols>
    <col min="1" max="1" width="2.875" style="2" customWidth="1"/>
    <col min="2" max="2" width="7.25" style="2" customWidth="1"/>
    <col min="3" max="7" width="9" style="2"/>
    <col min="8" max="8" width="5.875" style="2" customWidth="1"/>
    <col min="9" max="9" width="9.625" style="3" customWidth="1"/>
    <col min="10" max="16" width="9" style="2"/>
    <col min="17" max="17" width="10.5" style="2" customWidth="1"/>
    <col min="18" max="18" width="10.875" style="2" bestFit="1" customWidth="1"/>
    <col min="19" max="19" width="12.5" style="2" bestFit="1" customWidth="1"/>
    <col min="20" max="20" width="10" style="2" bestFit="1" customWidth="1"/>
    <col min="21" max="21" width="12.75" style="2" bestFit="1" customWidth="1"/>
    <col min="22" max="22" width="7.75" style="2" customWidth="1"/>
    <col min="23" max="23" width="9" style="2"/>
    <col min="24" max="28" width="14.25" style="3" customWidth="1"/>
    <col min="29" max="29" width="3" style="4" customWidth="1"/>
    <col min="30" max="30" width="7.25" style="2" customWidth="1"/>
    <col min="31" max="35" width="9" style="2"/>
    <col min="36" max="36" width="5.875" style="2" customWidth="1"/>
    <col min="37" max="37" width="9.625" style="3" customWidth="1"/>
    <col min="38" max="44" width="9" style="2"/>
    <col min="45" max="45" width="10.5" style="2" customWidth="1"/>
    <col min="46" max="46" width="10.875" style="2" bestFit="1" customWidth="1"/>
    <col min="47" max="47" width="12.5" style="2" bestFit="1" customWidth="1"/>
    <col min="48" max="48" width="11.75" style="2" customWidth="1"/>
    <col min="49" max="49" width="12.75" style="2" bestFit="1" customWidth="1"/>
    <col min="50" max="50" width="7.75" style="2" customWidth="1"/>
    <col min="51" max="51" width="9" style="2"/>
    <col min="52" max="56" width="14.25" style="3" customWidth="1"/>
    <col min="57" max="57" width="3" style="4" customWidth="1"/>
    <col min="58" max="58" width="7.25" style="2" customWidth="1"/>
    <col min="59" max="63" width="9" style="2"/>
    <col min="64" max="64" width="5.875" style="2" customWidth="1"/>
    <col min="65" max="65" width="9.625" style="3" customWidth="1"/>
    <col min="66" max="72" width="9" style="2"/>
    <col min="73" max="73" width="10.5" style="2" customWidth="1"/>
    <col min="74" max="74" width="10.875" style="2" bestFit="1" customWidth="1"/>
    <col min="75" max="75" width="12.5" style="2" bestFit="1" customWidth="1"/>
    <col min="76" max="76" width="10" style="2" bestFit="1" customWidth="1"/>
    <col min="77" max="77" width="12.75" style="2" bestFit="1" customWidth="1"/>
    <col min="78" max="78" width="7.75" style="2" customWidth="1"/>
    <col min="79" max="79" width="9" style="2"/>
    <col min="80" max="84" width="14.25" style="3" customWidth="1"/>
    <col min="85" max="85" width="3" style="4" customWidth="1"/>
    <col min="86" max="86" width="7.25" style="2" customWidth="1"/>
    <col min="87" max="91" width="9" style="2"/>
    <col min="92" max="92" width="5.875" style="2" customWidth="1"/>
    <col min="93" max="93" width="9.625" style="3" customWidth="1"/>
    <col min="94" max="100" width="9" style="2"/>
    <col min="101" max="101" width="10.5" style="2" customWidth="1"/>
    <col min="102" max="102" width="10.875" style="2" bestFit="1" customWidth="1"/>
    <col min="103" max="103" width="12.5" style="2" bestFit="1" customWidth="1"/>
    <col min="104" max="104" width="10" style="2" bestFit="1" customWidth="1"/>
    <col min="105" max="105" width="12.75" style="2" bestFit="1" customWidth="1"/>
    <col min="106" max="106" width="7.75" style="2" customWidth="1"/>
    <col min="107" max="107" width="9" style="2"/>
    <col min="108" max="112" width="14.25" style="3" customWidth="1"/>
    <col min="113" max="113" width="3" style="4" customWidth="1"/>
    <col min="114" max="114" width="7.25" style="2" customWidth="1"/>
    <col min="115" max="119" width="9" style="2"/>
    <col min="120" max="120" width="5.875" style="2" customWidth="1"/>
    <col min="121" max="121" width="9.625" style="3" customWidth="1"/>
    <col min="122" max="128" width="9" style="2"/>
    <col min="129" max="129" width="10.5" style="2" customWidth="1"/>
    <col min="130" max="130" width="10.875" style="2" bestFit="1" customWidth="1"/>
    <col min="131" max="131" width="12.5" style="2" bestFit="1" customWidth="1"/>
    <col min="132" max="132" width="10" style="2" bestFit="1" customWidth="1"/>
    <col min="133" max="133" width="12.75" style="2" bestFit="1" customWidth="1"/>
    <col min="134" max="134" width="7.75" style="2" customWidth="1"/>
    <col min="135" max="135" width="9" style="2"/>
    <col min="136" max="140" width="14.25" style="3" customWidth="1"/>
    <col min="141" max="141" width="3" style="4" customWidth="1"/>
    <col min="142" max="16384" width="9" style="2"/>
  </cols>
  <sheetData>
    <row r="1" spans="2:140" ht="22.5" x14ac:dyDescent="0.3">
      <c r="B1" s="1" t="s">
        <v>0</v>
      </c>
      <c r="AD1" s="1" t="s">
        <v>0</v>
      </c>
      <c r="BF1" s="1" t="s">
        <v>0</v>
      </c>
      <c r="CH1" s="1" t="s">
        <v>0</v>
      </c>
      <c r="DJ1" s="1" t="s">
        <v>0</v>
      </c>
    </row>
    <row r="3" spans="2:140" x14ac:dyDescent="0.2">
      <c r="B3" s="5" t="s">
        <v>1</v>
      </c>
      <c r="C3" s="5" t="s">
        <v>1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1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1</v>
      </c>
      <c r="AB3" s="5" t="s">
        <v>1</v>
      </c>
      <c r="AD3" s="6" t="s">
        <v>2</v>
      </c>
      <c r="AE3" s="6" t="s">
        <v>2</v>
      </c>
      <c r="AF3" s="6" t="s">
        <v>2</v>
      </c>
      <c r="AG3" s="6" t="s">
        <v>2</v>
      </c>
      <c r="AH3" s="6" t="s">
        <v>2</v>
      </c>
      <c r="AI3" s="6" t="s">
        <v>2</v>
      </c>
      <c r="AJ3" s="6" t="s">
        <v>2</v>
      </c>
      <c r="AK3" s="6" t="s">
        <v>2</v>
      </c>
      <c r="AL3" s="6" t="s">
        <v>2</v>
      </c>
      <c r="AM3" s="6" t="s">
        <v>2</v>
      </c>
      <c r="AN3" s="6" t="s">
        <v>2</v>
      </c>
      <c r="AO3" s="6" t="s">
        <v>2</v>
      </c>
      <c r="AP3" s="6" t="s">
        <v>2</v>
      </c>
      <c r="AQ3" s="6" t="s">
        <v>2</v>
      </c>
      <c r="AR3" s="6" t="s">
        <v>2</v>
      </c>
      <c r="AS3" s="6" t="s">
        <v>2</v>
      </c>
      <c r="AT3" s="6" t="s">
        <v>2</v>
      </c>
      <c r="AU3" s="6" t="s">
        <v>2</v>
      </c>
      <c r="AV3" s="6" t="s">
        <v>2</v>
      </c>
      <c r="AW3" s="6" t="s">
        <v>2</v>
      </c>
      <c r="AX3" s="6" t="s">
        <v>2</v>
      </c>
      <c r="AY3" s="6" t="s">
        <v>2</v>
      </c>
      <c r="AZ3" s="6" t="s">
        <v>2</v>
      </c>
      <c r="BA3" s="6" t="s">
        <v>2</v>
      </c>
      <c r="BB3" s="6" t="s">
        <v>2</v>
      </c>
      <c r="BC3" s="6" t="s">
        <v>2</v>
      </c>
      <c r="BD3" s="6" t="s">
        <v>2</v>
      </c>
      <c r="BF3" s="6" t="s">
        <v>3</v>
      </c>
      <c r="BG3" s="6" t="s">
        <v>3</v>
      </c>
      <c r="BH3" s="6" t="s">
        <v>3</v>
      </c>
      <c r="BI3" s="6" t="s">
        <v>3</v>
      </c>
      <c r="BJ3" s="6" t="s">
        <v>3</v>
      </c>
      <c r="BK3" s="6" t="s">
        <v>3</v>
      </c>
      <c r="BL3" s="6" t="s">
        <v>3</v>
      </c>
      <c r="BM3" s="6" t="s">
        <v>3</v>
      </c>
      <c r="BN3" s="6" t="s">
        <v>3</v>
      </c>
      <c r="BO3" s="6" t="s">
        <v>3</v>
      </c>
      <c r="BP3" s="6" t="s">
        <v>3</v>
      </c>
      <c r="BQ3" s="6" t="s">
        <v>3</v>
      </c>
      <c r="BR3" s="6" t="s">
        <v>3</v>
      </c>
      <c r="BS3" s="6" t="s">
        <v>3</v>
      </c>
      <c r="BT3" s="6" t="s">
        <v>3</v>
      </c>
      <c r="BU3" s="6" t="s">
        <v>3</v>
      </c>
      <c r="BV3" s="6" t="s">
        <v>3</v>
      </c>
      <c r="BW3" s="6" t="s">
        <v>3</v>
      </c>
      <c r="BX3" s="6" t="s">
        <v>3</v>
      </c>
      <c r="BY3" s="6" t="s">
        <v>3</v>
      </c>
      <c r="BZ3" s="6" t="s">
        <v>3</v>
      </c>
      <c r="CA3" s="6" t="s">
        <v>3</v>
      </c>
      <c r="CB3" s="6" t="s">
        <v>3</v>
      </c>
      <c r="CC3" s="6" t="s">
        <v>3</v>
      </c>
      <c r="CD3" s="6" t="s">
        <v>3</v>
      </c>
      <c r="CE3" s="6" t="s">
        <v>3</v>
      </c>
      <c r="CF3" s="6" t="s">
        <v>3</v>
      </c>
      <c r="CH3" s="6" t="s">
        <v>4</v>
      </c>
      <c r="CI3" s="6" t="s">
        <v>4</v>
      </c>
      <c r="CJ3" s="6" t="s">
        <v>4</v>
      </c>
      <c r="CK3" s="6" t="s">
        <v>4</v>
      </c>
      <c r="CL3" s="6" t="s">
        <v>4</v>
      </c>
      <c r="CM3" s="6" t="s">
        <v>4</v>
      </c>
      <c r="CN3" s="6" t="s">
        <v>4</v>
      </c>
      <c r="CO3" s="6" t="s">
        <v>4</v>
      </c>
      <c r="CP3" s="6" t="s">
        <v>4</v>
      </c>
      <c r="CQ3" s="6" t="s">
        <v>4</v>
      </c>
      <c r="CR3" s="6" t="s">
        <v>4</v>
      </c>
      <c r="CS3" s="6" t="s">
        <v>4</v>
      </c>
      <c r="CT3" s="6" t="s">
        <v>4</v>
      </c>
      <c r="CU3" s="6" t="s">
        <v>4</v>
      </c>
      <c r="CV3" s="6" t="s">
        <v>4</v>
      </c>
      <c r="CW3" s="6" t="s">
        <v>4</v>
      </c>
      <c r="CX3" s="6" t="s">
        <v>4</v>
      </c>
      <c r="CY3" s="6" t="s">
        <v>4</v>
      </c>
      <c r="CZ3" s="6" t="s">
        <v>4</v>
      </c>
      <c r="DA3" s="6" t="s">
        <v>4</v>
      </c>
      <c r="DB3" s="6" t="s">
        <v>4</v>
      </c>
      <c r="DC3" s="6" t="s">
        <v>4</v>
      </c>
      <c r="DD3" s="6" t="s">
        <v>4</v>
      </c>
      <c r="DE3" s="6" t="s">
        <v>4</v>
      </c>
      <c r="DF3" s="6" t="s">
        <v>4</v>
      </c>
      <c r="DG3" s="6" t="s">
        <v>4</v>
      </c>
      <c r="DH3" s="6" t="s">
        <v>4</v>
      </c>
      <c r="DJ3" s="6" t="s">
        <v>5</v>
      </c>
      <c r="DK3" s="6" t="s">
        <v>5</v>
      </c>
      <c r="DL3" s="6" t="s">
        <v>5</v>
      </c>
      <c r="DM3" s="6" t="s">
        <v>5</v>
      </c>
      <c r="DN3" s="6" t="s">
        <v>5</v>
      </c>
      <c r="DO3" s="6" t="s">
        <v>5</v>
      </c>
      <c r="DP3" s="6" t="s">
        <v>5</v>
      </c>
      <c r="DQ3" s="6" t="s">
        <v>5</v>
      </c>
      <c r="DR3" s="6" t="s">
        <v>5</v>
      </c>
      <c r="DS3" s="6" t="s">
        <v>5</v>
      </c>
      <c r="DT3" s="6" t="s">
        <v>5</v>
      </c>
      <c r="DU3" s="6" t="s">
        <v>5</v>
      </c>
      <c r="DV3" s="6" t="s">
        <v>5</v>
      </c>
      <c r="DW3" s="6" t="s">
        <v>5</v>
      </c>
      <c r="DX3" s="6" t="s">
        <v>5</v>
      </c>
      <c r="DY3" s="6" t="s">
        <v>5</v>
      </c>
      <c r="DZ3" s="6" t="s">
        <v>5</v>
      </c>
      <c r="EA3" s="6" t="s">
        <v>5</v>
      </c>
      <c r="EB3" s="6" t="s">
        <v>5</v>
      </c>
      <c r="EC3" s="6" t="s">
        <v>5</v>
      </c>
      <c r="ED3" s="6" t="s">
        <v>5</v>
      </c>
      <c r="EE3" s="6" t="s">
        <v>5</v>
      </c>
      <c r="EF3" s="6" t="s">
        <v>5</v>
      </c>
      <c r="EG3" s="6" t="s">
        <v>5</v>
      </c>
      <c r="EH3" s="6" t="s">
        <v>5</v>
      </c>
      <c r="EI3" s="6" t="s">
        <v>5</v>
      </c>
      <c r="EJ3" s="6" t="s">
        <v>5</v>
      </c>
    </row>
    <row r="4" spans="2:140" ht="15" thickBot="1" x14ac:dyDescent="0.25"/>
    <row r="5" spans="2:140" ht="15" thickBot="1" x14ac:dyDescent="0.25">
      <c r="W5" s="160"/>
      <c r="X5" s="835" t="s">
        <v>52</v>
      </c>
      <c r="Y5" s="836"/>
      <c r="Z5" s="836"/>
      <c r="AA5" s="836"/>
      <c r="AB5" s="837"/>
    </row>
    <row r="6" spans="2:140" ht="15" thickBot="1" x14ac:dyDescent="0.25">
      <c r="B6" s="7"/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  <c r="H6" s="9"/>
      <c r="I6" s="10"/>
      <c r="J6" s="11" t="s">
        <v>11</v>
      </c>
      <c r="K6" s="12" t="s">
        <v>6</v>
      </c>
      <c r="L6" s="12" t="s">
        <v>7</v>
      </c>
      <c r="M6" s="12" t="s">
        <v>8</v>
      </c>
      <c r="N6" s="12" t="s">
        <v>9</v>
      </c>
      <c r="O6" s="13" t="s">
        <v>10</v>
      </c>
      <c r="P6" s="10"/>
      <c r="W6" s="204" t="s">
        <v>37</v>
      </c>
      <c r="X6" s="166" t="s">
        <v>30</v>
      </c>
      <c r="Y6" s="167" t="s">
        <v>31</v>
      </c>
      <c r="Z6" s="167" t="s">
        <v>32</v>
      </c>
      <c r="AA6" s="167" t="s">
        <v>33</v>
      </c>
      <c r="AB6" s="168" t="s">
        <v>34</v>
      </c>
      <c r="AD6" s="7"/>
      <c r="AE6" s="8" t="s">
        <v>6</v>
      </c>
      <c r="AF6" s="8" t="s">
        <v>7</v>
      </c>
      <c r="AG6" s="8" t="s">
        <v>8</v>
      </c>
      <c r="AH6" s="8" t="s">
        <v>9</v>
      </c>
      <c r="AI6" s="8" t="s">
        <v>10</v>
      </c>
      <c r="AJ6" s="9"/>
      <c r="AK6" s="10"/>
      <c r="AL6" s="11" t="s">
        <v>11</v>
      </c>
      <c r="AM6" s="12" t="s">
        <v>6</v>
      </c>
      <c r="AN6" s="12" t="s">
        <v>7</v>
      </c>
      <c r="AO6" s="12" t="s">
        <v>8</v>
      </c>
      <c r="AP6" s="12" t="s">
        <v>9</v>
      </c>
      <c r="AQ6" s="13" t="s">
        <v>10</v>
      </c>
      <c r="AR6" s="10"/>
      <c r="AY6" s="204" t="s">
        <v>37</v>
      </c>
      <c r="AZ6" s="835" t="s">
        <v>81</v>
      </c>
      <c r="BA6" s="836"/>
      <c r="BB6" s="836"/>
      <c r="BC6" s="836"/>
      <c r="BD6" s="837"/>
      <c r="BF6" s="7"/>
      <c r="BG6" s="8" t="s">
        <v>6</v>
      </c>
      <c r="BH6" s="8" t="s">
        <v>7</v>
      </c>
      <c r="BI6" s="8" t="s">
        <v>8</v>
      </c>
      <c r="BJ6" s="8" t="s">
        <v>9</v>
      </c>
      <c r="BK6" s="8" t="s">
        <v>10</v>
      </c>
      <c r="BL6" s="9"/>
      <c r="BM6" s="10"/>
      <c r="BN6" s="11" t="s">
        <v>11</v>
      </c>
      <c r="BO6" s="12" t="s">
        <v>6</v>
      </c>
      <c r="BP6" s="12" t="s">
        <v>7</v>
      </c>
      <c r="BQ6" s="12" t="s">
        <v>8</v>
      </c>
      <c r="BR6" s="12" t="s">
        <v>9</v>
      </c>
      <c r="BS6" s="13" t="s">
        <v>10</v>
      </c>
      <c r="BT6" s="10"/>
      <c r="CA6" s="204" t="s">
        <v>37</v>
      </c>
      <c r="CB6" s="835" t="s">
        <v>82</v>
      </c>
      <c r="CC6" s="836"/>
      <c r="CD6" s="836"/>
      <c r="CE6" s="836"/>
      <c r="CF6" s="837"/>
      <c r="CH6" s="7"/>
      <c r="CI6" s="8" t="s">
        <v>6</v>
      </c>
      <c r="CJ6" s="8" t="s">
        <v>7</v>
      </c>
      <c r="CK6" s="8" t="s">
        <v>8</v>
      </c>
      <c r="CL6" s="8" t="s">
        <v>9</v>
      </c>
      <c r="CM6" s="8" t="s">
        <v>10</v>
      </c>
      <c r="CN6" s="9"/>
      <c r="CO6" s="10"/>
      <c r="CP6" s="11" t="s">
        <v>11</v>
      </c>
      <c r="CQ6" s="12" t="s">
        <v>6</v>
      </c>
      <c r="CR6" s="12" t="s">
        <v>7</v>
      </c>
      <c r="CS6" s="12" t="s">
        <v>8</v>
      </c>
      <c r="CT6" s="12" t="s">
        <v>9</v>
      </c>
      <c r="CU6" s="13" t="s">
        <v>10</v>
      </c>
      <c r="CV6" s="10"/>
      <c r="DC6" s="204" t="s">
        <v>37</v>
      </c>
      <c r="DD6" s="835" t="s">
        <v>97</v>
      </c>
      <c r="DE6" s="836"/>
      <c r="DF6" s="836"/>
      <c r="DG6" s="836"/>
      <c r="DH6" s="837"/>
      <c r="DJ6" s="7"/>
      <c r="DK6" s="8" t="s">
        <v>6</v>
      </c>
      <c r="DL6" s="8" t="s">
        <v>7</v>
      </c>
      <c r="DM6" s="8" t="s">
        <v>8</v>
      </c>
      <c r="DN6" s="8" t="s">
        <v>9</v>
      </c>
      <c r="DO6" s="8" t="s">
        <v>10</v>
      </c>
      <c r="DP6" s="9"/>
      <c r="DQ6" s="10"/>
      <c r="DR6" s="11" t="s">
        <v>11</v>
      </c>
      <c r="DS6" s="12" t="s">
        <v>6</v>
      </c>
      <c r="DT6" s="12" t="s">
        <v>7</v>
      </c>
      <c r="DU6" s="12" t="s">
        <v>8</v>
      </c>
      <c r="DV6" s="12" t="s">
        <v>9</v>
      </c>
      <c r="DW6" s="13" t="s">
        <v>10</v>
      </c>
      <c r="DX6" s="10"/>
      <c r="EE6" s="204" t="s">
        <v>37</v>
      </c>
      <c r="EF6" s="835" t="s">
        <v>112</v>
      </c>
      <c r="EG6" s="836"/>
      <c r="EH6" s="836"/>
      <c r="EI6" s="836"/>
      <c r="EJ6" s="837"/>
    </row>
    <row r="7" spans="2:140" x14ac:dyDescent="0.2">
      <c r="B7" s="14" t="s">
        <v>13</v>
      </c>
      <c r="C7" s="15">
        <f>K39</f>
        <v>25</v>
      </c>
      <c r="D7" s="16">
        <f>K45</f>
        <v>6</v>
      </c>
      <c r="E7" s="16">
        <f>K27</f>
        <v>13</v>
      </c>
      <c r="F7" s="16">
        <f>K40</f>
        <v>1</v>
      </c>
      <c r="G7" s="17">
        <f>K42</f>
        <v>3</v>
      </c>
      <c r="H7" s="18">
        <f>SUM(C7:G7)</f>
        <v>48</v>
      </c>
      <c r="I7" s="10"/>
      <c r="J7" s="19" t="s">
        <v>13</v>
      </c>
      <c r="K7" s="161">
        <f>C7/C12</f>
        <v>0.36231884057971014</v>
      </c>
      <c r="L7" s="21">
        <f>D7/D12</f>
        <v>0.16216216216216217</v>
      </c>
      <c r="M7" s="21">
        <f>E7/E12</f>
        <v>0.19696969696969696</v>
      </c>
      <c r="N7" s="21">
        <f>F7/F12</f>
        <v>1.4705882352941176E-2</v>
      </c>
      <c r="O7" s="22">
        <f>G7/G12</f>
        <v>3.5294117647058823E-2</v>
      </c>
      <c r="P7" s="23"/>
      <c r="W7" s="206">
        <v>1</v>
      </c>
      <c r="X7" s="205">
        <f t="shared" ref="X7:AB18" si="0">X23+X38</f>
        <v>51.554859111227856</v>
      </c>
      <c r="Y7" s="25">
        <f t="shared" si="0"/>
        <v>33.56967032137225</v>
      </c>
      <c r="Z7" s="25">
        <f t="shared" si="0"/>
        <v>37.492857259209913</v>
      </c>
      <c r="AA7" s="25">
        <f t="shared" si="0"/>
        <v>31.49855378328882</v>
      </c>
      <c r="AB7" s="26">
        <f t="shared" si="0"/>
        <v>33.41767762489502</v>
      </c>
      <c r="AD7" s="14" t="s">
        <v>13</v>
      </c>
      <c r="AE7" s="24">
        <f>AM39</f>
        <v>19</v>
      </c>
      <c r="AF7" s="27">
        <f>AM45</f>
        <v>25</v>
      </c>
      <c r="AG7" s="16">
        <f>AM27</f>
        <v>7</v>
      </c>
      <c r="AH7" s="16">
        <f>AM40</f>
        <v>20</v>
      </c>
      <c r="AI7" s="17">
        <f>AM42</f>
        <v>22</v>
      </c>
      <c r="AJ7" s="18">
        <f>SUM(AE7:AI7)</f>
        <v>93</v>
      </c>
      <c r="AK7" s="10"/>
      <c r="AL7" s="19" t="s">
        <v>13</v>
      </c>
      <c r="AM7" s="28">
        <f>AE7/AE12</f>
        <v>0.48717948717948717</v>
      </c>
      <c r="AN7" s="29">
        <f>AF7/AF12</f>
        <v>0.3048780487804878</v>
      </c>
      <c r="AO7" s="21">
        <f>AG7/AG12</f>
        <v>0.11475409836065574</v>
      </c>
      <c r="AP7" s="21">
        <f>AH7/AH12</f>
        <v>0.31746031746031744</v>
      </c>
      <c r="AQ7" s="22">
        <f>AI7/AI12</f>
        <v>0.27500000000000002</v>
      </c>
      <c r="AR7" s="23"/>
      <c r="AY7" s="206">
        <v>1</v>
      </c>
      <c r="AZ7" s="24">
        <f t="shared" ref="AZ7:BD18" si="1">AZ23+AZ38</f>
        <v>42.370276186613573</v>
      </c>
      <c r="BA7" s="25">
        <f t="shared" si="1"/>
        <v>43.916563350180596</v>
      </c>
      <c r="BB7" s="25">
        <f t="shared" si="1"/>
        <v>35.896971559519727</v>
      </c>
      <c r="BC7" s="25">
        <f t="shared" si="1"/>
        <v>42.371495596124738</v>
      </c>
      <c r="BD7" s="26">
        <f t="shared" si="1"/>
        <v>41.556795145820622</v>
      </c>
      <c r="BF7" s="14" t="s">
        <v>13</v>
      </c>
      <c r="BG7" s="24">
        <f>BO39</f>
        <v>12</v>
      </c>
      <c r="BH7" s="25">
        <f>BO45</f>
        <v>18</v>
      </c>
      <c r="BI7" s="27">
        <f>BO27</f>
        <v>25</v>
      </c>
      <c r="BJ7" s="16">
        <f>BO40</f>
        <v>13</v>
      </c>
      <c r="BK7" s="17">
        <f>BO42</f>
        <v>15</v>
      </c>
      <c r="BL7" s="18">
        <f>SUM(BG7:BK7)</f>
        <v>83</v>
      </c>
      <c r="BM7" s="10"/>
      <c r="BN7" s="19" t="s">
        <v>13</v>
      </c>
      <c r="BO7" s="28">
        <f>BG7/BG12</f>
        <v>0.15189873417721519</v>
      </c>
      <c r="BP7" s="21">
        <f>BH7/BH12</f>
        <v>0.25</v>
      </c>
      <c r="BQ7" s="29">
        <f>BI7/BI12</f>
        <v>0.32894736842105265</v>
      </c>
      <c r="BR7" s="21">
        <f>BJ7/BJ12</f>
        <v>0.24528301886792453</v>
      </c>
      <c r="BS7" s="22">
        <f>BK7/BK12</f>
        <v>0.33333333333333331</v>
      </c>
      <c r="BT7" s="23"/>
      <c r="CA7" s="206">
        <v>1</v>
      </c>
      <c r="CB7" s="24">
        <f t="shared" ref="CB7:CF18" si="2">CB23+CB38</f>
        <v>37.568202060393425</v>
      </c>
      <c r="CC7" s="25">
        <f t="shared" si="2"/>
        <v>38.857742551202513</v>
      </c>
      <c r="CD7" s="25">
        <f t="shared" si="2"/>
        <v>42.438468668377944</v>
      </c>
      <c r="CE7" s="25">
        <f t="shared" si="2"/>
        <v>37.534057327922852</v>
      </c>
      <c r="CF7" s="26">
        <f t="shared" si="2"/>
        <v>36.681221583543646</v>
      </c>
      <c r="CH7" s="14" t="s">
        <v>13</v>
      </c>
      <c r="CI7" s="24">
        <f>CQ39</f>
        <v>24</v>
      </c>
      <c r="CJ7" s="25">
        <f>CQ45</f>
        <v>5</v>
      </c>
      <c r="CK7" s="25">
        <f>CQ27</f>
        <v>12</v>
      </c>
      <c r="CL7" s="27">
        <f>CQ40</f>
        <v>25</v>
      </c>
      <c r="CM7" s="17">
        <f>CQ42</f>
        <v>2</v>
      </c>
      <c r="CN7" s="18">
        <f>SUM(CI7:CM7)</f>
        <v>68</v>
      </c>
      <c r="CO7" s="10"/>
      <c r="CP7" s="19" t="s">
        <v>13</v>
      </c>
      <c r="CQ7" s="28">
        <f>CI7/CI12</f>
        <v>0.375</v>
      </c>
      <c r="CR7" s="21">
        <f>CJ7/CJ12</f>
        <v>0.15625</v>
      </c>
      <c r="CS7" s="21">
        <f>CK7/CK12</f>
        <v>0.19672131147540983</v>
      </c>
      <c r="CT7" s="29">
        <f>CL7/CL12</f>
        <v>0.28409090909090912</v>
      </c>
      <c r="CU7" s="22">
        <f>CM7/CM12</f>
        <v>2.5000000000000001E-2</v>
      </c>
      <c r="CV7" s="23"/>
      <c r="DC7" s="206">
        <v>1</v>
      </c>
      <c r="DD7" s="24">
        <f t="shared" ref="DD7:DH18" si="3">DD23+DD38</f>
        <v>51.909149625073795</v>
      </c>
      <c r="DE7" s="25">
        <f t="shared" si="3"/>
        <v>39.884651104515697</v>
      </c>
      <c r="DF7" s="25">
        <f t="shared" si="3"/>
        <v>44.44512651656693</v>
      </c>
      <c r="DG7" s="25">
        <f t="shared" si="3"/>
        <v>52.181670019395952</v>
      </c>
      <c r="DH7" s="26">
        <f t="shared" si="3"/>
        <v>46.439124441407216</v>
      </c>
      <c r="DJ7" s="14" t="s">
        <v>13</v>
      </c>
      <c r="DK7" s="24">
        <f>DS39</f>
        <v>22</v>
      </c>
      <c r="DL7" s="25">
        <f>DS45</f>
        <v>3</v>
      </c>
      <c r="DM7" s="25">
        <f>DS27</f>
        <v>10</v>
      </c>
      <c r="DN7" s="25">
        <f>DS40</f>
        <v>23</v>
      </c>
      <c r="DO7" s="30">
        <f>DS42</f>
        <v>25</v>
      </c>
      <c r="DP7" s="18">
        <f>SUM(DK7:DO7)</f>
        <v>83</v>
      </c>
      <c r="DQ7" s="10"/>
      <c r="DR7" s="19" t="s">
        <v>13</v>
      </c>
      <c r="DS7" s="28">
        <f>DK7/DK12</f>
        <v>0.40740740740740738</v>
      </c>
      <c r="DT7" s="21">
        <f>DL7/DL12</f>
        <v>6.3829787234042548E-2</v>
      </c>
      <c r="DU7" s="21">
        <f>DM7/DM12</f>
        <v>0.19607843137254902</v>
      </c>
      <c r="DV7" s="21">
        <f>DN7/DN12</f>
        <v>0.29487179487179488</v>
      </c>
      <c r="DW7" s="31">
        <f>DO7/DO12</f>
        <v>0.26315789473684209</v>
      </c>
      <c r="DX7" s="23"/>
      <c r="EE7" s="206">
        <v>1</v>
      </c>
      <c r="EF7" s="24">
        <f t="shared" ref="EF7:EJ18" si="4">EF23+EF38</f>
        <v>43.001521583705468</v>
      </c>
      <c r="EG7" s="25">
        <f t="shared" si="4"/>
        <v>43.123358412450251</v>
      </c>
      <c r="EH7" s="25">
        <f t="shared" si="4"/>
        <v>38.534439232374353</v>
      </c>
      <c r="EI7" s="25">
        <f t="shared" si="4"/>
        <v>43.146965805972314</v>
      </c>
      <c r="EJ7" s="26">
        <f t="shared" si="4"/>
        <v>47.265804831765465</v>
      </c>
    </row>
    <row r="8" spans="2:140" x14ac:dyDescent="0.2">
      <c r="B8" s="14" t="s">
        <v>3</v>
      </c>
      <c r="C8" s="32">
        <f>K23</f>
        <v>9</v>
      </c>
      <c r="D8" s="33">
        <f>K41</f>
        <v>2</v>
      </c>
      <c r="E8" s="33">
        <f>K26</f>
        <v>12</v>
      </c>
      <c r="F8" s="33">
        <f>K28</f>
        <v>14</v>
      </c>
      <c r="G8" s="34">
        <f>K29</f>
        <v>15</v>
      </c>
      <c r="H8" s="18">
        <f t="shared" ref="H8:H11" si="5">SUM(C8:G8)</f>
        <v>52</v>
      </c>
      <c r="I8" s="10"/>
      <c r="J8" s="19" t="s">
        <v>3</v>
      </c>
      <c r="K8" s="162">
        <f>C8/C12</f>
        <v>0.13043478260869565</v>
      </c>
      <c r="L8" s="36">
        <f>D8/D12</f>
        <v>5.4054054054054057E-2</v>
      </c>
      <c r="M8" s="36">
        <f>E8/E12</f>
        <v>0.18181818181818182</v>
      </c>
      <c r="N8" s="36">
        <f>F8/F12</f>
        <v>0.20588235294117646</v>
      </c>
      <c r="O8" s="37">
        <f>G8/G12</f>
        <v>0.17647058823529413</v>
      </c>
      <c r="P8" s="23"/>
      <c r="W8" s="98">
        <v>2</v>
      </c>
      <c r="X8" s="202">
        <f t="shared" si="0"/>
        <v>60.425577161293724</v>
      </c>
      <c r="Y8" s="38">
        <f t="shared" si="0"/>
        <v>39.189908416610344</v>
      </c>
      <c r="Z8" s="38">
        <f t="shared" si="0"/>
        <v>43.838464812576092</v>
      </c>
      <c r="AA8" s="38">
        <f t="shared" si="0"/>
        <v>36.735197778173138</v>
      </c>
      <c r="AB8" s="39">
        <f t="shared" si="0"/>
        <v>38.961231084014521</v>
      </c>
      <c r="AD8" s="14" t="s">
        <v>3</v>
      </c>
      <c r="AE8" s="32">
        <f>AM23</f>
        <v>3</v>
      </c>
      <c r="AF8" s="33">
        <f>AM41</f>
        <v>21</v>
      </c>
      <c r="AG8" s="33">
        <f>AM26</f>
        <v>6</v>
      </c>
      <c r="AH8" s="33">
        <f>AM28</f>
        <v>8</v>
      </c>
      <c r="AI8" s="34">
        <f>AM29</f>
        <v>9</v>
      </c>
      <c r="AJ8" s="18">
        <f t="shared" ref="AJ8:AJ11" si="6">SUM(AE8:AI8)</f>
        <v>47</v>
      </c>
      <c r="AK8" s="10"/>
      <c r="AL8" s="19" t="s">
        <v>3</v>
      </c>
      <c r="AM8" s="40">
        <f>AE8/AE12</f>
        <v>7.6923076923076927E-2</v>
      </c>
      <c r="AN8" s="41">
        <f>AF8/AF12</f>
        <v>0.25609756097560976</v>
      </c>
      <c r="AO8" s="36">
        <f>AG8/AG12</f>
        <v>9.8360655737704916E-2</v>
      </c>
      <c r="AP8" s="36">
        <f>AH8/AH12</f>
        <v>0.12698412698412698</v>
      </c>
      <c r="AQ8" s="37">
        <f>AI8/AI12</f>
        <v>0.1125</v>
      </c>
      <c r="AR8" s="23"/>
      <c r="AY8" s="98">
        <v>2</v>
      </c>
      <c r="AZ8" s="32">
        <f t="shared" si="1"/>
        <v>42.337025830994797</v>
      </c>
      <c r="BA8" s="38">
        <f t="shared" si="1"/>
        <v>43.56719819428217</v>
      </c>
      <c r="BB8" s="38">
        <f t="shared" si="1"/>
        <v>35.788193207524316</v>
      </c>
      <c r="BC8" s="38">
        <f t="shared" si="1"/>
        <v>42.255047565786526</v>
      </c>
      <c r="BD8" s="39">
        <f t="shared" si="1"/>
        <v>41.150172074056705</v>
      </c>
      <c r="BF8" s="14" t="s">
        <v>3</v>
      </c>
      <c r="BG8" s="32">
        <f>BO23</f>
        <v>21</v>
      </c>
      <c r="BH8" s="33">
        <f>BO41</f>
        <v>14</v>
      </c>
      <c r="BI8" s="33">
        <f>BO26</f>
        <v>24</v>
      </c>
      <c r="BJ8" s="33">
        <f>BO28</f>
        <v>1</v>
      </c>
      <c r="BK8" s="34">
        <f>BO29</f>
        <v>2</v>
      </c>
      <c r="BL8" s="18">
        <f t="shared" ref="BL8:BL11" si="7">SUM(BG8:BK8)</f>
        <v>62</v>
      </c>
      <c r="BM8" s="10"/>
      <c r="BN8" s="19" t="s">
        <v>3</v>
      </c>
      <c r="BO8" s="40">
        <f>BG8/BG12</f>
        <v>0.26582278481012656</v>
      </c>
      <c r="BP8" s="36">
        <f>BH8/BH12</f>
        <v>0.19444444444444445</v>
      </c>
      <c r="BQ8" s="41">
        <f>BI8/BI12</f>
        <v>0.31578947368421051</v>
      </c>
      <c r="BR8" s="36">
        <f>BJ8/BJ12</f>
        <v>1.8867924528301886E-2</v>
      </c>
      <c r="BS8" s="37">
        <f>BK8/BK12</f>
        <v>4.4444444444444446E-2</v>
      </c>
      <c r="BT8" s="23"/>
      <c r="CA8" s="98">
        <v>2</v>
      </c>
      <c r="CB8" s="32">
        <f t="shared" si="2"/>
        <v>46.957286567435681</v>
      </c>
      <c r="CC8" s="38">
        <f t="shared" si="2"/>
        <v>48.802326989752473</v>
      </c>
      <c r="CD8" s="38">
        <f t="shared" si="2"/>
        <v>53.424832797634068</v>
      </c>
      <c r="CE8" s="38">
        <f t="shared" si="2"/>
        <v>46.975723994589515</v>
      </c>
      <c r="CF8" s="39">
        <f t="shared" si="2"/>
        <v>46.12104452764666</v>
      </c>
      <c r="CH8" s="14" t="s">
        <v>3</v>
      </c>
      <c r="CI8" s="32">
        <f>CQ23</f>
        <v>8</v>
      </c>
      <c r="CJ8" s="33">
        <f>CQ41</f>
        <v>1</v>
      </c>
      <c r="CK8" s="33">
        <f>CQ26</f>
        <v>11</v>
      </c>
      <c r="CL8" s="33">
        <f>CQ28</f>
        <v>13</v>
      </c>
      <c r="CM8" s="34">
        <f>CQ29</f>
        <v>14</v>
      </c>
      <c r="CN8" s="18">
        <f t="shared" ref="CN8:CN11" si="8">SUM(CI8:CM8)</f>
        <v>47</v>
      </c>
      <c r="CO8" s="10"/>
      <c r="CP8" s="19" t="s">
        <v>3</v>
      </c>
      <c r="CQ8" s="40">
        <f>CI8/CI12</f>
        <v>0.125</v>
      </c>
      <c r="CR8" s="36">
        <f>CJ8/CJ12</f>
        <v>3.125E-2</v>
      </c>
      <c r="CS8" s="36">
        <f>CK8/CK12</f>
        <v>0.18032786885245902</v>
      </c>
      <c r="CT8" s="41">
        <f>CL8/CL12</f>
        <v>0.14772727272727273</v>
      </c>
      <c r="CU8" s="37">
        <f>CM8/CM12</f>
        <v>0.17499999999999999</v>
      </c>
      <c r="CV8" s="23"/>
      <c r="DC8" s="98">
        <v>2</v>
      </c>
      <c r="DD8" s="32">
        <f t="shared" si="3"/>
        <v>49.499637840562009</v>
      </c>
      <c r="DE8" s="38">
        <f t="shared" si="3"/>
        <v>38.720480597603256</v>
      </c>
      <c r="DF8" s="38">
        <f t="shared" si="3"/>
        <v>43.074705271145689</v>
      </c>
      <c r="DG8" s="38">
        <f t="shared" si="3"/>
        <v>49.582598915413058</v>
      </c>
      <c r="DH8" s="39">
        <f t="shared" si="3"/>
        <v>46.523215350498127</v>
      </c>
      <c r="DJ8" s="14" t="s">
        <v>3</v>
      </c>
      <c r="DK8" s="32">
        <f>DS23</f>
        <v>6</v>
      </c>
      <c r="DL8" s="33">
        <f>DS41</f>
        <v>24</v>
      </c>
      <c r="DM8" s="33">
        <f>DS26</f>
        <v>9</v>
      </c>
      <c r="DN8" s="33">
        <f>DS28</f>
        <v>11</v>
      </c>
      <c r="DO8" s="34">
        <f>DS29</f>
        <v>12</v>
      </c>
      <c r="DP8" s="18">
        <f t="shared" ref="DP8:DP11" si="9">SUM(DK8:DO8)</f>
        <v>62</v>
      </c>
      <c r="DQ8" s="10"/>
      <c r="DR8" s="19" t="s">
        <v>3</v>
      </c>
      <c r="DS8" s="40">
        <f>DK8/DK12</f>
        <v>0.1111111111111111</v>
      </c>
      <c r="DT8" s="36">
        <f>DL8/DL12</f>
        <v>0.51063829787234039</v>
      </c>
      <c r="DU8" s="36">
        <f>DM8/DM12</f>
        <v>0.17647058823529413</v>
      </c>
      <c r="DV8" s="36">
        <f>DN8/DN12</f>
        <v>0.14102564102564102</v>
      </c>
      <c r="DW8" s="42">
        <f>DO8/DO12</f>
        <v>0.12631578947368421</v>
      </c>
      <c r="DX8" s="23"/>
      <c r="EE8" s="98">
        <v>2</v>
      </c>
      <c r="EF8" s="32">
        <f t="shared" si="4"/>
        <v>47.832681543963773</v>
      </c>
      <c r="EG8" s="38">
        <f t="shared" si="4"/>
        <v>48.283503339986481</v>
      </c>
      <c r="EH8" s="38">
        <f t="shared" si="4"/>
        <v>42.94310175759469</v>
      </c>
      <c r="EI8" s="38">
        <f t="shared" si="4"/>
        <v>47.977038269740433</v>
      </c>
      <c r="EJ8" s="39">
        <f t="shared" si="4"/>
        <v>52.638290463949374</v>
      </c>
    </row>
    <row r="9" spans="2:140" x14ac:dyDescent="0.2">
      <c r="B9" s="14" t="s">
        <v>14</v>
      </c>
      <c r="C9" s="32">
        <f>K25</f>
        <v>11</v>
      </c>
      <c r="D9" s="33">
        <f>K46</f>
        <v>7</v>
      </c>
      <c r="E9" s="33">
        <f>K44</f>
        <v>5</v>
      </c>
      <c r="F9" s="33">
        <f>K24</f>
        <v>10</v>
      </c>
      <c r="G9" s="34">
        <f>K36</f>
        <v>22</v>
      </c>
      <c r="H9" s="18">
        <f t="shared" si="5"/>
        <v>55</v>
      </c>
      <c r="I9" s="10"/>
      <c r="J9" s="19" t="s">
        <v>14</v>
      </c>
      <c r="K9" s="162">
        <f>C9/C12</f>
        <v>0.15942028985507245</v>
      </c>
      <c r="L9" s="36">
        <f>D9/D12</f>
        <v>0.1891891891891892</v>
      </c>
      <c r="M9" s="36">
        <f>E9/E12</f>
        <v>7.575757575757576E-2</v>
      </c>
      <c r="N9" s="36">
        <f>F9/F12</f>
        <v>0.14705882352941177</v>
      </c>
      <c r="O9" s="37">
        <f>G9/G12</f>
        <v>0.25882352941176473</v>
      </c>
      <c r="P9" s="23"/>
      <c r="W9" s="98">
        <v>3</v>
      </c>
      <c r="X9" s="202">
        <f t="shared" si="0"/>
        <v>58.86151260266395</v>
      </c>
      <c r="Y9" s="38">
        <f t="shared" si="0"/>
        <v>39.095860797562722</v>
      </c>
      <c r="Z9" s="38">
        <f t="shared" si="0"/>
        <v>43.32692950879941</v>
      </c>
      <c r="AA9" s="38">
        <f t="shared" si="0"/>
        <v>36.865458794334046</v>
      </c>
      <c r="AB9" s="39">
        <f t="shared" si="0"/>
        <v>39.171451209800686</v>
      </c>
      <c r="AD9" s="14" t="s">
        <v>14</v>
      </c>
      <c r="AE9" s="32">
        <f>AM25</f>
        <v>5</v>
      </c>
      <c r="AF9" s="33">
        <f>AM46</f>
        <v>1</v>
      </c>
      <c r="AG9" s="33">
        <f>AM44</f>
        <v>24</v>
      </c>
      <c r="AH9" s="33">
        <f>AM24</f>
        <v>4</v>
      </c>
      <c r="AI9" s="34">
        <f>AM36</f>
        <v>16</v>
      </c>
      <c r="AJ9" s="18">
        <f t="shared" si="6"/>
        <v>50</v>
      </c>
      <c r="AK9" s="10"/>
      <c r="AL9" s="19" t="s">
        <v>14</v>
      </c>
      <c r="AM9" s="40">
        <f>AE9/AE12</f>
        <v>0.12820512820512819</v>
      </c>
      <c r="AN9" s="41">
        <f>AF9/AF12</f>
        <v>1.2195121951219513E-2</v>
      </c>
      <c r="AO9" s="36">
        <f>AG9/AG12</f>
        <v>0.39344262295081966</v>
      </c>
      <c r="AP9" s="36">
        <f>AH9/AH12</f>
        <v>6.3492063492063489E-2</v>
      </c>
      <c r="AQ9" s="37">
        <f>AI9/AI12</f>
        <v>0.2</v>
      </c>
      <c r="AR9" s="23"/>
      <c r="AY9" s="98">
        <v>3</v>
      </c>
      <c r="AZ9" s="32">
        <f t="shared" si="1"/>
        <v>52.357829529430077</v>
      </c>
      <c r="BA9" s="38">
        <f t="shared" si="1"/>
        <v>54.159009508971984</v>
      </c>
      <c r="BB9" s="38">
        <f t="shared" si="1"/>
        <v>44.330577646226587</v>
      </c>
      <c r="BC9" s="38">
        <f t="shared" si="1"/>
        <v>52.330380357366131</v>
      </c>
      <c r="BD9" s="39">
        <f t="shared" si="1"/>
        <v>51.222422241729404</v>
      </c>
      <c r="BF9" s="14" t="s">
        <v>14</v>
      </c>
      <c r="BG9" s="32">
        <f>BO25</f>
        <v>23</v>
      </c>
      <c r="BH9" s="33">
        <f>BO46</f>
        <v>19</v>
      </c>
      <c r="BI9" s="33">
        <f>BO44</f>
        <v>17</v>
      </c>
      <c r="BJ9" s="33">
        <f>BO24</f>
        <v>22</v>
      </c>
      <c r="BK9" s="34">
        <f>BO36</f>
        <v>9</v>
      </c>
      <c r="BL9" s="18">
        <f t="shared" si="7"/>
        <v>90</v>
      </c>
      <c r="BM9" s="10"/>
      <c r="BN9" s="19" t="s">
        <v>14</v>
      </c>
      <c r="BO9" s="40">
        <f>BG9/BG12</f>
        <v>0.29113924050632911</v>
      </c>
      <c r="BP9" s="36">
        <f>BH9/BH12</f>
        <v>0.2638888888888889</v>
      </c>
      <c r="BQ9" s="41">
        <f>BI9/BI12</f>
        <v>0.22368421052631579</v>
      </c>
      <c r="BR9" s="36">
        <f>BJ9/BJ12</f>
        <v>0.41509433962264153</v>
      </c>
      <c r="BS9" s="37">
        <f>BK9/BK12</f>
        <v>0.2</v>
      </c>
      <c r="BT9" s="23"/>
      <c r="CA9" s="98">
        <v>3</v>
      </c>
      <c r="CB9" s="32">
        <f t="shared" si="2"/>
        <v>45.825244313914553</v>
      </c>
      <c r="CC9" s="38">
        <f t="shared" si="2"/>
        <v>47.254603735994735</v>
      </c>
      <c r="CD9" s="38">
        <f t="shared" si="2"/>
        <v>51.531886582062604</v>
      </c>
      <c r="CE9" s="38">
        <f t="shared" si="2"/>
        <v>45.745962089827621</v>
      </c>
      <c r="CF9" s="39">
        <f t="shared" si="2"/>
        <v>44.575573354102623</v>
      </c>
      <c r="CH9" s="14" t="s">
        <v>14</v>
      </c>
      <c r="CI9" s="32">
        <f>CQ25</f>
        <v>10</v>
      </c>
      <c r="CJ9" s="33">
        <f>CQ46</f>
        <v>6</v>
      </c>
      <c r="CK9" s="33">
        <f>CQ44</f>
        <v>4</v>
      </c>
      <c r="CL9" s="33">
        <f>CQ24</f>
        <v>9</v>
      </c>
      <c r="CM9" s="34">
        <f>CQ36</f>
        <v>21</v>
      </c>
      <c r="CN9" s="18">
        <f t="shared" si="8"/>
        <v>50</v>
      </c>
      <c r="CO9" s="10"/>
      <c r="CP9" s="19" t="s">
        <v>14</v>
      </c>
      <c r="CQ9" s="40">
        <f>CI9/CI12</f>
        <v>0.15625</v>
      </c>
      <c r="CR9" s="36">
        <f>CJ9/CJ12</f>
        <v>0.1875</v>
      </c>
      <c r="CS9" s="36">
        <f>CK9/CK12</f>
        <v>6.5573770491803282E-2</v>
      </c>
      <c r="CT9" s="41">
        <f>CL9/CL12</f>
        <v>0.10227272727272728</v>
      </c>
      <c r="CU9" s="37">
        <f>CM9/CM12</f>
        <v>0.26250000000000001</v>
      </c>
      <c r="CV9" s="23"/>
      <c r="DC9" s="98">
        <v>3</v>
      </c>
      <c r="DD9" s="32">
        <f t="shared" si="3"/>
        <v>54.81739878332295</v>
      </c>
      <c r="DE9" s="38">
        <f t="shared" si="3"/>
        <v>42.953135487516214</v>
      </c>
      <c r="DF9" s="38">
        <f t="shared" si="3"/>
        <v>47.775712597153017</v>
      </c>
      <c r="DG9" s="38">
        <f t="shared" si="3"/>
        <v>54.890504555616211</v>
      </c>
      <c r="DH9" s="39">
        <f t="shared" si="3"/>
        <v>51.758821411104186</v>
      </c>
      <c r="DJ9" s="14" t="s">
        <v>14</v>
      </c>
      <c r="DK9" s="32">
        <f>DS25</f>
        <v>8</v>
      </c>
      <c r="DL9" s="33">
        <f>DS46</f>
        <v>4</v>
      </c>
      <c r="DM9" s="33">
        <f>DS44</f>
        <v>2</v>
      </c>
      <c r="DN9" s="33">
        <f>DS24</f>
        <v>7</v>
      </c>
      <c r="DO9" s="34">
        <f>DS36</f>
        <v>19</v>
      </c>
      <c r="DP9" s="18">
        <f t="shared" si="9"/>
        <v>40</v>
      </c>
      <c r="DQ9" s="10"/>
      <c r="DR9" s="19" t="s">
        <v>14</v>
      </c>
      <c r="DS9" s="40">
        <f>DK9/DK12</f>
        <v>0.14814814814814814</v>
      </c>
      <c r="DT9" s="36">
        <f>DL9/DL12</f>
        <v>8.5106382978723402E-2</v>
      </c>
      <c r="DU9" s="36">
        <f>DM9/DM12</f>
        <v>3.9215686274509803E-2</v>
      </c>
      <c r="DV9" s="36">
        <f>DN9/DN12</f>
        <v>8.9743589743589744E-2</v>
      </c>
      <c r="DW9" s="42">
        <f>DO9/DO12</f>
        <v>0.2</v>
      </c>
      <c r="DX9" s="23"/>
      <c r="EE9" s="98">
        <v>3</v>
      </c>
      <c r="EF9" s="32">
        <f t="shared" si="4"/>
        <v>41.778595602582762</v>
      </c>
      <c r="EG9" s="38">
        <f t="shared" si="4"/>
        <v>45.143648267522707</v>
      </c>
      <c r="EH9" s="38">
        <f t="shared" si="4"/>
        <v>38.255873871856139</v>
      </c>
      <c r="EI9" s="38">
        <f t="shared" si="4"/>
        <v>41.740444066841874</v>
      </c>
      <c r="EJ9" s="39">
        <f t="shared" si="4"/>
        <v>46.562500234064316</v>
      </c>
    </row>
    <row r="10" spans="2:140" x14ac:dyDescent="0.2">
      <c r="B10" s="14" t="s">
        <v>8</v>
      </c>
      <c r="C10" s="32">
        <f>K47</f>
        <v>8</v>
      </c>
      <c r="D10" s="33">
        <f>K43</f>
        <v>4</v>
      </c>
      <c r="E10" s="33">
        <f>K31</f>
        <v>17</v>
      </c>
      <c r="F10" s="33">
        <f>K37</f>
        <v>23</v>
      </c>
      <c r="G10" s="34">
        <f>K38</f>
        <v>24</v>
      </c>
      <c r="H10" s="18">
        <f t="shared" si="5"/>
        <v>76</v>
      </c>
      <c r="I10" s="10"/>
      <c r="J10" s="19" t="s">
        <v>8</v>
      </c>
      <c r="K10" s="162">
        <f>C10/C12</f>
        <v>0.11594202898550725</v>
      </c>
      <c r="L10" s="36">
        <f>D10/D12</f>
        <v>0.10810810810810811</v>
      </c>
      <c r="M10" s="36">
        <f>E10/E12</f>
        <v>0.25757575757575757</v>
      </c>
      <c r="N10" s="36">
        <f>F10/F12</f>
        <v>0.33823529411764708</v>
      </c>
      <c r="O10" s="37">
        <f>G10/G12</f>
        <v>0.28235294117647058</v>
      </c>
      <c r="P10" s="23"/>
      <c r="W10" s="98">
        <v>4</v>
      </c>
      <c r="X10" s="202">
        <f t="shared" si="0"/>
        <v>71.383251733098732</v>
      </c>
      <c r="Y10" s="38">
        <f t="shared" si="0"/>
        <v>45.953003654705583</v>
      </c>
      <c r="Z10" s="38">
        <f t="shared" si="0"/>
        <v>51.555500937370837</v>
      </c>
      <c r="AA10" s="38">
        <f t="shared" si="0"/>
        <v>42.993118368802129</v>
      </c>
      <c r="AB10" s="39">
        <f t="shared" si="0"/>
        <v>45.571451209800685</v>
      </c>
      <c r="AD10" s="14" t="s">
        <v>8</v>
      </c>
      <c r="AE10" s="32">
        <f>AM47</f>
        <v>2</v>
      </c>
      <c r="AF10" s="33">
        <f>AM43</f>
        <v>23</v>
      </c>
      <c r="AG10" s="33">
        <f>AM31</f>
        <v>11</v>
      </c>
      <c r="AH10" s="33">
        <f>AM37</f>
        <v>17</v>
      </c>
      <c r="AI10" s="34">
        <f>AM38</f>
        <v>18</v>
      </c>
      <c r="AJ10" s="18">
        <f t="shared" si="6"/>
        <v>71</v>
      </c>
      <c r="AK10" s="10"/>
      <c r="AL10" s="19" t="s">
        <v>8</v>
      </c>
      <c r="AM10" s="40">
        <f>AE10/AE12</f>
        <v>5.128205128205128E-2</v>
      </c>
      <c r="AN10" s="41">
        <f>AF10/AF12</f>
        <v>0.28048780487804881</v>
      </c>
      <c r="AO10" s="36">
        <f>AG10/AG12</f>
        <v>0.18032786885245902</v>
      </c>
      <c r="AP10" s="36">
        <f>AH10/AH12</f>
        <v>0.26984126984126983</v>
      </c>
      <c r="AQ10" s="37">
        <f>AI10/AI12</f>
        <v>0.22500000000000001</v>
      </c>
      <c r="AR10" s="23"/>
      <c r="AY10" s="98">
        <v>4</v>
      </c>
      <c r="AZ10" s="32">
        <f t="shared" si="1"/>
        <v>48.587559259159804</v>
      </c>
      <c r="BA10" s="38">
        <f t="shared" si="1"/>
        <v>50.056068332501397</v>
      </c>
      <c r="BB10" s="38">
        <f t="shared" si="1"/>
        <v>41.086391599714958</v>
      </c>
      <c r="BC10" s="38">
        <f t="shared" si="1"/>
        <v>48.508462549146955</v>
      </c>
      <c r="BD10" s="39">
        <f t="shared" si="1"/>
        <v>47.292844776940669</v>
      </c>
      <c r="BF10" s="14" t="s">
        <v>8</v>
      </c>
      <c r="BG10" s="32">
        <f>BO47</f>
        <v>20</v>
      </c>
      <c r="BH10" s="33">
        <f>BO43</f>
        <v>16</v>
      </c>
      <c r="BI10" s="33">
        <f>BO31</f>
        <v>4</v>
      </c>
      <c r="BJ10" s="33">
        <f>BO37</f>
        <v>10</v>
      </c>
      <c r="BK10" s="34">
        <f>BO38</f>
        <v>11</v>
      </c>
      <c r="BL10" s="18">
        <f t="shared" si="7"/>
        <v>61</v>
      </c>
      <c r="BM10" s="10"/>
      <c r="BN10" s="19" t="s">
        <v>8</v>
      </c>
      <c r="BO10" s="40">
        <f>BG10/BG12</f>
        <v>0.25316455696202533</v>
      </c>
      <c r="BP10" s="36">
        <f>BH10/BH12</f>
        <v>0.22222222222222221</v>
      </c>
      <c r="BQ10" s="41">
        <f>BI10/BI12</f>
        <v>5.2631578947368418E-2</v>
      </c>
      <c r="BR10" s="36">
        <f>BJ10/BJ12</f>
        <v>0.18867924528301888</v>
      </c>
      <c r="BS10" s="37">
        <f>BK10/BK12</f>
        <v>0.24444444444444444</v>
      </c>
      <c r="BT10" s="23"/>
      <c r="CA10" s="98">
        <v>4</v>
      </c>
      <c r="CB10" s="32">
        <f t="shared" si="2"/>
        <v>48.163272482928633</v>
      </c>
      <c r="CC10" s="38">
        <f t="shared" si="2"/>
        <v>49.808449889840887</v>
      </c>
      <c r="CD10" s="38">
        <f t="shared" si="2"/>
        <v>54.39395554757985</v>
      </c>
      <c r="CE10" s="38">
        <f t="shared" si="2"/>
        <v>48.117390661256181</v>
      </c>
      <c r="CF10" s="39">
        <f t="shared" si="2"/>
        <v>47.016749824690855</v>
      </c>
      <c r="CH10" s="14" t="s">
        <v>8</v>
      </c>
      <c r="CI10" s="32">
        <f>CQ47</f>
        <v>7</v>
      </c>
      <c r="CJ10" s="33">
        <f>CQ43</f>
        <v>3</v>
      </c>
      <c r="CK10" s="33">
        <f>CQ31</f>
        <v>16</v>
      </c>
      <c r="CL10" s="33">
        <f>CQ37</f>
        <v>22</v>
      </c>
      <c r="CM10" s="34">
        <f>CQ38</f>
        <v>23</v>
      </c>
      <c r="CN10" s="18">
        <f t="shared" si="8"/>
        <v>71</v>
      </c>
      <c r="CO10" s="10"/>
      <c r="CP10" s="19" t="s">
        <v>8</v>
      </c>
      <c r="CQ10" s="40">
        <f>CI10/CI12</f>
        <v>0.109375</v>
      </c>
      <c r="CR10" s="36">
        <f>CJ10/CJ12</f>
        <v>9.375E-2</v>
      </c>
      <c r="CS10" s="36">
        <f>CK10/CK12</f>
        <v>0.26229508196721313</v>
      </c>
      <c r="CT10" s="41">
        <f>CL10/CL12</f>
        <v>0.25</v>
      </c>
      <c r="CU10" s="37">
        <f>CM10/CM12</f>
        <v>0.28749999999999998</v>
      </c>
      <c r="CV10" s="23"/>
      <c r="DC10" s="98">
        <v>4</v>
      </c>
      <c r="DD10" s="32">
        <f t="shared" si="3"/>
        <v>45.544671510595677</v>
      </c>
      <c r="DE10" s="38">
        <f t="shared" si="3"/>
        <v>36.476945011325739</v>
      </c>
      <c r="DF10" s="38">
        <f t="shared" si="3"/>
        <v>40.489998311438725</v>
      </c>
      <c r="DG10" s="38">
        <f t="shared" si="3"/>
        <v>45.402132462592959</v>
      </c>
      <c r="DH10" s="39">
        <f t="shared" si="3"/>
        <v>45.577003229286007</v>
      </c>
      <c r="DJ10" s="14" t="s">
        <v>8</v>
      </c>
      <c r="DK10" s="32">
        <f>DS47</f>
        <v>5</v>
      </c>
      <c r="DL10" s="33">
        <f>DS43</f>
        <v>1</v>
      </c>
      <c r="DM10" s="33">
        <f>DS31</f>
        <v>14</v>
      </c>
      <c r="DN10" s="33">
        <f>DS37</f>
        <v>20</v>
      </c>
      <c r="DO10" s="34">
        <f>DS38</f>
        <v>21</v>
      </c>
      <c r="DP10" s="18">
        <f t="shared" si="9"/>
        <v>61</v>
      </c>
      <c r="DQ10" s="10"/>
      <c r="DR10" s="19" t="s">
        <v>8</v>
      </c>
      <c r="DS10" s="40">
        <f>DK10/DK12</f>
        <v>9.2592592592592587E-2</v>
      </c>
      <c r="DT10" s="36">
        <f>DL10/DL12</f>
        <v>2.1276595744680851E-2</v>
      </c>
      <c r="DU10" s="36">
        <f>DM10/DM12</f>
        <v>0.27450980392156865</v>
      </c>
      <c r="DV10" s="36">
        <f>DN10/DN12</f>
        <v>0.25641025641025639</v>
      </c>
      <c r="DW10" s="42">
        <f>DO10/DO12</f>
        <v>0.22105263157894736</v>
      </c>
      <c r="DX10" s="23"/>
      <c r="EE10" s="98">
        <v>4</v>
      </c>
      <c r="EF10" s="32">
        <f t="shared" si="4"/>
        <v>45.86056281569752</v>
      </c>
      <c r="EG10" s="38">
        <f t="shared" si="4"/>
        <v>48.256148267522711</v>
      </c>
      <c r="EH10" s="38">
        <f t="shared" si="4"/>
        <v>41.66683277596573</v>
      </c>
      <c r="EI10" s="38">
        <f t="shared" si="4"/>
        <v>45.89044406684188</v>
      </c>
      <c r="EJ10" s="39">
        <f t="shared" si="4"/>
        <v>50.855603682340181</v>
      </c>
    </row>
    <row r="11" spans="2:140" ht="15" thickBot="1" x14ac:dyDescent="0.25">
      <c r="B11" s="14" t="s">
        <v>3</v>
      </c>
      <c r="C11" s="43">
        <f>K30</f>
        <v>16</v>
      </c>
      <c r="D11" s="44">
        <f>K32</f>
        <v>18</v>
      </c>
      <c r="E11" s="44">
        <f>K33</f>
        <v>19</v>
      </c>
      <c r="F11" s="44">
        <f>K34</f>
        <v>20</v>
      </c>
      <c r="G11" s="45">
        <f>K35</f>
        <v>21</v>
      </c>
      <c r="H11" s="18">
        <f t="shared" si="5"/>
        <v>94</v>
      </c>
      <c r="I11" s="10"/>
      <c r="J11" s="46" t="s">
        <v>3</v>
      </c>
      <c r="K11" s="163">
        <f>C11/C12</f>
        <v>0.2318840579710145</v>
      </c>
      <c r="L11" s="48">
        <f>D11/D12</f>
        <v>0.48648648648648651</v>
      </c>
      <c r="M11" s="48">
        <f>E11/E12</f>
        <v>0.2878787878787879</v>
      </c>
      <c r="N11" s="48">
        <f>F11/F12</f>
        <v>0.29411764705882354</v>
      </c>
      <c r="O11" s="49">
        <f>G11/G12</f>
        <v>0.24705882352941178</v>
      </c>
      <c r="P11" s="23"/>
      <c r="W11" s="98">
        <v>5</v>
      </c>
      <c r="X11" s="202">
        <f t="shared" si="0"/>
        <v>62.512533683032856</v>
      </c>
      <c r="Y11" s="38">
        <f t="shared" si="0"/>
        <v>40.332765559467489</v>
      </c>
      <c r="Z11" s="38">
        <f t="shared" si="0"/>
        <v>45.209893384004658</v>
      </c>
      <c r="AA11" s="38">
        <f t="shared" si="0"/>
        <v>37.756474373917811</v>
      </c>
      <c r="AB11" s="39">
        <f t="shared" si="0"/>
        <v>40.027897750681191</v>
      </c>
      <c r="AD11" s="14" t="s">
        <v>3</v>
      </c>
      <c r="AE11" s="43">
        <f>AM30</f>
        <v>10</v>
      </c>
      <c r="AF11" s="44">
        <f>AM32</f>
        <v>12</v>
      </c>
      <c r="AG11" s="44">
        <f>AM33</f>
        <v>13</v>
      </c>
      <c r="AH11" s="44">
        <f>AM34</f>
        <v>14</v>
      </c>
      <c r="AI11" s="45">
        <f>AM35</f>
        <v>15</v>
      </c>
      <c r="AJ11" s="18">
        <f t="shared" si="6"/>
        <v>64</v>
      </c>
      <c r="AK11" s="10"/>
      <c r="AL11" s="46" t="s">
        <v>3</v>
      </c>
      <c r="AM11" s="50">
        <f>AE11/AE12</f>
        <v>0.25641025641025639</v>
      </c>
      <c r="AN11" s="51">
        <f>AF11/AF12</f>
        <v>0.14634146341463414</v>
      </c>
      <c r="AO11" s="48">
        <f>AG11/AG12</f>
        <v>0.21311475409836064</v>
      </c>
      <c r="AP11" s="48">
        <f>AH11/AH12</f>
        <v>0.22222222222222221</v>
      </c>
      <c r="AQ11" s="49">
        <f>AI11/AI12</f>
        <v>0.1875</v>
      </c>
      <c r="AR11" s="23"/>
      <c r="AY11" s="98">
        <v>5</v>
      </c>
      <c r="AZ11" s="32">
        <f t="shared" si="1"/>
        <v>48.62080961477858</v>
      </c>
      <c r="BA11" s="38">
        <f t="shared" si="1"/>
        <v>50.405433488399815</v>
      </c>
      <c r="BB11" s="38">
        <f t="shared" si="1"/>
        <v>41.195169951710362</v>
      </c>
      <c r="BC11" s="38">
        <f t="shared" si="1"/>
        <v>48.62491057948516</v>
      </c>
      <c r="BD11" s="39">
        <f t="shared" si="1"/>
        <v>47.699467848704586</v>
      </c>
      <c r="BF11" s="14" t="s">
        <v>3</v>
      </c>
      <c r="BG11" s="43">
        <f>BO30</f>
        <v>3</v>
      </c>
      <c r="BH11" s="44">
        <f>BO32</f>
        <v>5</v>
      </c>
      <c r="BI11" s="44">
        <f>BO33</f>
        <v>6</v>
      </c>
      <c r="BJ11" s="44">
        <f>BO34</f>
        <v>7</v>
      </c>
      <c r="BK11" s="45">
        <f>BO35</f>
        <v>8</v>
      </c>
      <c r="BL11" s="18">
        <f t="shared" si="7"/>
        <v>29</v>
      </c>
      <c r="BM11" s="10"/>
      <c r="BN11" s="46" t="s">
        <v>3</v>
      </c>
      <c r="BO11" s="50">
        <f>BG11/BG12</f>
        <v>3.7974683544303799E-2</v>
      </c>
      <c r="BP11" s="48">
        <f>BH11/BH12</f>
        <v>6.9444444444444448E-2</v>
      </c>
      <c r="BQ11" s="51">
        <f>BI11/BI12</f>
        <v>7.8947368421052627E-2</v>
      </c>
      <c r="BR11" s="48">
        <f>BJ11/BJ12</f>
        <v>0.13207547169811321</v>
      </c>
      <c r="BS11" s="49">
        <f>BK11/BK12</f>
        <v>0.17777777777777778</v>
      </c>
      <c r="BT11" s="23"/>
      <c r="CA11" s="98">
        <v>5</v>
      </c>
      <c r="CB11" s="32">
        <f t="shared" si="2"/>
        <v>38.774187975886385</v>
      </c>
      <c r="CC11" s="38">
        <f t="shared" si="2"/>
        <v>39.863865451290934</v>
      </c>
      <c r="CD11" s="38">
        <f t="shared" si="2"/>
        <v>43.407591418323726</v>
      </c>
      <c r="CE11" s="38">
        <f t="shared" si="2"/>
        <v>38.675723994589518</v>
      </c>
      <c r="CF11" s="39">
        <f t="shared" si="2"/>
        <v>37.576926880587841</v>
      </c>
      <c r="CH11" s="14" t="s">
        <v>3</v>
      </c>
      <c r="CI11" s="43">
        <f>CQ30</f>
        <v>15</v>
      </c>
      <c r="CJ11" s="44">
        <f>CQ32</f>
        <v>17</v>
      </c>
      <c r="CK11" s="44">
        <f>CQ33</f>
        <v>18</v>
      </c>
      <c r="CL11" s="44">
        <f>CQ34</f>
        <v>19</v>
      </c>
      <c r="CM11" s="45">
        <f>CQ35</f>
        <v>20</v>
      </c>
      <c r="CN11" s="18">
        <f t="shared" si="8"/>
        <v>89</v>
      </c>
      <c r="CO11" s="10"/>
      <c r="CP11" s="46" t="s">
        <v>3</v>
      </c>
      <c r="CQ11" s="50">
        <f>CI11/CI12</f>
        <v>0.234375</v>
      </c>
      <c r="CR11" s="48">
        <f>CJ11/CJ12</f>
        <v>0.53125</v>
      </c>
      <c r="CS11" s="48">
        <f>CK11/CK12</f>
        <v>0.29508196721311475</v>
      </c>
      <c r="CT11" s="51">
        <f>CL11/CL12</f>
        <v>0.21590909090909091</v>
      </c>
      <c r="CU11" s="49">
        <f>CM11/CM12</f>
        <v>0.25</v>
      </c>
      <c r="CV11" s="23"/>
      <c r="DC11" s="98">
        <v>5</v>
      </c>
      <c r="DD11" s="32">
        <f t="shared" si="3"/>
        <v>47.954183295107462</v>
      </c>
      <c r="DE11" s="38">
        <f t="shared" si="3"/>
        <v>37.64111551823818</v>
      </c>
      <c r="DF11" s="38">
        <f t="shared" si="3"/>
        <v>41.860419556859974</v>
      </c>
      <c r="DG11" s="38">
        <f t="shared" si="3"/>
        <v>48.001203566575846</v>
      </c>
      <c r="DH11" s="39">
        <f t="shared" si="3"/>
        <v>45.492912320195096</v>
      </c>
      <c r="DJ11" s="14" t="s">
        <v>3</v>
      </c>
      <c r="DK11" s="43">
        <f>DS30</f>
        <v>13</v>
      </c>
      <c r="DL11" s="44">
        <f>DS32</f>
        <v>15</v>
      </c>
      <c r="DM11" s="44">
        <f>DS33</f>
        <v>16</v>
      </c>
      <c r="DN11" s="44">
        <f>DS34</f>
        <v>17</v>
      </c>
      <c r="DO11" s="45">
        <f>DS35</f>
        <v>18</v>
      </c>
      <c r="DP11" s="18">
        <f t="shared" si="9"/>
        <v>79</v>
      </c>
      <c r="DQ11" s="10"/>
      <c r="DR11" s="46" t="s">
        <v>3</v>
      </c>
      <c r="DS11" s="50">
        <f>DK11/DK12</f>
        <v>0.24074074074074073</v>
      </c>
      <c r="DT11" s="48">
        <f>DL11/DL12</f>
        <v>0.31914893617021278</v>
      </c>
      <c r="DU11" s="48">
        <f>DM11/DM12</f>
        <v>0.31372549019607843</v>
      </c>
      <c r="DV11" s="48">
        <f>DN11/DN12</f>
        <v>0.21794871794871795</v>
      </c>
      <c r="DW11" s="52">
        <f>DO11/DO12</f>
        <v>0.18947368421052632</v>
      </c>
      <c r="DX11" s="23"/>
      <c r="EE11" s="98">
        <v>5</v>
      </c>
      <c r="EF11" s="32">
        <f t="shared" si="4"/>
        <v>41.029402855439194</v>
      </c>
      <c r="EG11" s="38">
        <f t="shared" si="4"/>
        <v>43.096003339986481</v>
      </c>
      <c r="EH11" s="38">
        <f t="shared" si="4"/>
        <v>37.25817025074538</v>
      </c>
      <c r="EI11" s="38">
        <f t="shared" si="4"/>
        <v>41.060371603073762</v>
      </c>
      <c r="EJ11" s="39">
        <f t="shared" si="4"/>
        <v>45.483118050156271</v>
      </c>
    </row>
    <row r="12" spans="2:140" ht="15" thickBot="1" x14ac:dyDescent="0.25">
      <c r="B12" s="53"/>
      <c r="C12" s="54">
        <f>SUM(C7:C11)</f>
        <v>69</v>
      </c>
      <c r="D12" s="55">
        <f t="shared" ref="D12:G12" si="10">SUM(D7:D11)</f>
        <v>37</v>
      </c>
      <c r="E12" s="55">
        <f t="shared" si="10"/>
        <v>66</v>
      </c>
      <c r="F12" s="55">
        <f t="shared" si="10"/>
        <v>68</v>
      </c>
      <c r="G12" s="55">
        <f t="shared" si="10"/>
        <v>85</v>
      </c>
      <c r="H12" s="56"/>
      <c r="I12" s="10"/>
      <c r="J12" s="160"/>
      <c r="K12" s="164"/>
      <c r="L12" s="164"/>
      <c r="M12" s="164"/>
      <c r="N12" s="164"/>
      <c r="O12" s="164"/>
      <c r="P12" s="57"/>
      <c r="W12" s="98">
        <v>6</v>
      </c>
      <c r="X12" s="202">
        <f t="shared" si="0"/>
        <v>64.076598241662637</v>
      </c>
      <c r="Y12" s="38">
        <f t="shared" si="0"/>
        <v>40.426813178515104</v>
      </c>
      <c r="Z12" s="38">
        <f t="shared" si="0"/>
        <v>45.721428687781341</v>
      </c>
      <c r="AA12" s="38">
        <f t="shared" si="0"/>
        <v>37.626213357756896</v>
      </c>
      <c r="AB12" s="39">
        <f t="shared" si="0"/>
        <v>39.817677624895026</v>
      </c>
      <c r="AD12" s="53"/>
      <c r="AE12" s="54">
        <f>SUM(AE7:AE11)</f>
        <v>39</v>
      </c>
      <c r="AF12" s="55">
        <f t="shared" ref="AF12:AI12" si="11">SUM(AF7:AF11)</f>
        <v>82</v>
      </c>
      <c r="AG12" s="55">
        <f t="shared" si="11"/>
        <v>61</v>
      </c>
      <c r="AH12" s="55">
        <f t="shared" si="11"/>
        <v>63</v>
      </c>
      <c r="AI12" s="55">
        <f t="shared" si="11"/>
        <v>80</v>
      </c>
      <c r="AJ12" s="56"/>
      <c r="AK12" s="10"/>
      <c r="AM12" s="57"/>
      <c r="AN12" s="57"/>
      <c r="AO12" s="57"/>
      <c r="AP12" s="57"/>
      <c r="AQ12" s="57"/>
      <c r="AR12" s="57"/>
      <c r="AY12" s="98">
        <v>6</v>
      </c>
      <c r="AZ12" s="32">
        <f t="shared" si="1"/>
        <v>38.600005916343299</v>
      </c>
      <c r="BA12" s="38">
        <f t="shared" si="1"/>
        <v>39.813622173710009</v>
      </c>
      <c r="BB12" s="38">
        <f t="shared" si="1"/>
        <v>32.652785513008098</v>
      </c>
      <c r="BC12" s="38">
        <f t="shared" si="1"/>
        <v>38.549577787905562</v>
      </c>
      <c r="BD12" s="39">
        <f t="shared" si="1"/>
        <v>37.627217681031894</v>
      </c>
      <c r="BF12" s="53"/>
      <c r="BG12" s="54">
        <f>SUM(BG7:BG11)</f>
        <v>79</v>
      </c>
      <c r="BH12" s="55">
        <f t="shared" ref="BH12:BK12" si="12">SUM(BH7:BH11)</f>
        <v>72</v>
      </c>
      <c r="BI12" s="55">
        <f t="shared" si="12"/>
        <v>76</v>
      </c>
      <c r="BJ12" s="55">
        <f t="shared" si="12"/>
        <v>53</v>
      </c>
      <c r="BK12" s="55">
        <f t="shared" si="12"/>
        <v>45</v>
      </c>
      <c r="BL12" s="56"/>
      <c r="BM12" s="10"/>
      <c r="BO12" s="57"/>
      <c r="BP12" s="57"/>
      <c r="BQ12" s="57"/>
      <c r="BR12" s="57"/>
      <c r="BS12" s="57"/>
      <c r="BT12" s="57"/>
      <c r="CA12" s="98">
        <v>6</v>
      </c>
      <c r="CB12" s="32">
        <f t="shared" si="2"/>
        <v>39.906230229407512</v>
      </c>
      <c r="CC12" s="38">
        <f t="shared" si="2"/>
        <v>41.411588705048672</v>
      </c>
      <c r="CD12" s="38">
        <f t="shared" si="2"/>
        <v>45.300537633895189</v>
      </c>
      <c r="CE12" s="38">
        <f t="shared" si="2"/>
        <v>39.905485899351426</v>
      </c>
      <c r="CF12" s="39">
        <f t="shared" si="2"/>
        <v>39.122398054131885</v>
      </c>
      <c r="CH12" s="53"/>
      <c r="CI12" s="54">
        <f>SUM(CI7:CI11)</f>
        <v>64</v>
      </c>
      <c r="CJ12" s="55">
        <f t="shared" ref="CJ12:CM12" si="13">SUM(CJ7:CJ11)</f>
        <v>32</v>
      </c>
      <c r="CK12" s="55">
        <f t="shared" si="13"/>
        <v>61</v>
      </c>
      <c r="CL12" s="55">
        <f t="shared" si="13"/>
        <v>88</v>
      </c>
      <c r="CM12" s="55">
        <f t="shared" si="13"/>
        <v>80</v>
      </c>
      <c r="CN12" s="56"/>
      <c r="CO12" s="10"/>
      <c r="CQ12" s="57"/>
      <c r="CR12" s="57"/>
      <c r="CS12" s="57"/>
      <c r="CT12" s="57"/>
      <c r="CU12" s="57"/>
      <c r="CV12" s="57"/>
      <c r="DC12" s="98">
        <v>6</v>
      </c>
      <c r="DD12" s="32">
        <f t="shared" si="3"/>
        <v>42.636422352346521</v>
      </c>
      <c r="DE12" s="38">
        <f t="shared" si="3"/>
        <v>33.40846062832523</v>
      </c>
      <c r="DF12" s="38">
        <f t="shared" si="3"/>
        <v>37.159412230852645</v>
      </c>
      <c r="DG12" s="38">
        <f t="shared" si="3"/>
        <v>42.693297926372693</v>
      </c>
      <c r="DH12" s="39">
        <f t="shared" si="3"/>
        <v>40.257306259589036</v>
      </c>
      <c r="DJ12" s="53"/>
      <c r="DK12" s="54">
        <f>SUM(DK7:DK11)</f>
        <v>54</v>
      </c>
      <c r="DL12" s="55">
        <f t="shared" ref="DL12:DO12" si="14">SUM(DL7:DL11)</f>
        <v>47</v>
      </c>
      <c r="DM12" s="55">
        <f t="shared" si="14"/>
        <v>51</v>
      </c>
      <c r="DN12" s="55">
        <f t="shared" si="14"/>
        <v>78</v>
      </c>
      <c r="DO12" s="55">
        <f t="shared" si="14"/>
        <v>95</v>
      </c>
      <c r="DP12" s="56"/>
      <c r="DQ12" s="10"/>
      <c r="DS12" s="57"/>
      <c r="DT12" s="57"/>
      <c r="DU12" s="57"/>
      <c r="DV12" s="57"/>
      <c r="DW12" s="57"/>
      <c r="DX12" s="57"/>
      <c r="EE12" s="98">
        <v>6</v>
      </c>
      <c r="EF12" s="32">
        <f t="shared" si="4"/>
        <v>47.08348879682022</v>
      </c>
      <c r="EG12" s="38">
        <f t="shared" si="4"/>
        <v>46.235858412450256</v>
      </c>
      <c r="EH12" s="38">
        <f t="shared" si="4"/>
        <v>41.945398136483931</v>
      </c>
      <c r="EI12" s="38">
        <f t="shared" si="4"/>
        <v>47.29696580597232</v>
      </c>
      <c r="EJ12" s="39">
        <f t="shared" si="4"/>
        <v>51.558908280041329</v>
      </c>
    </row>
    <row r="13" spans="2:140" ht="15" thickBot="1" x14ac:dyDescent="0.25">
      <c r="B13" s="159"/>
      <c r="C13" s="160"/>
      <c r="D13" s="160"/>
      <c r="E13" s="160"/>
      <c r="F13" s="160"/>
      <c r="G13" s="160"/>
      <c r="H13" s="159"/>
      <c r="I13" s="10"/>
      <c r="J13" s="160"/>
      <c r="K13" s="164"/>
      <c r="L13" s="164"/>
      <c r="M13" s="164"/>
      <c r="N13" s="164"/>
      <c r="O13" s="164"/>
      <c r="P13" s="57"/>
      <c r="W13" s="98">
        <v>7</v>
      </c>
      <c r="X13" s="202">
        <f t="shared" si="0"/>
        <v>51.554859111227856</v>
      </c>
      <c r="Y13" s="38">
        <f t="shared" si="0"/>
        <v>33.56967032137225</v>
      </c>
      <c r="Z13" s="38">
        <f t="shared" si="0"/>
        <v>37.492857259209913</v>
      </c>
      <c r="AA13" s="38">
        <f t="shared" si="0"/>
        <v>31.49855378328882</v>
      </c>
      <c r="AB13" s="39">
        <f t="shared" si="0"/>
        <v>33.41767762489502</v>
      </c>
      <c r="AD13" s="10"/>
      <c r="AJ13" s="10"/>
      <c r="AK13" s="10"/>
      <c r="AM13" s="57"/>
      <c r="AN13" s="57"/>
      <c r="AO13" s="57"/>
      <c r="AP13" s="57"/>
      <c r="AQ13" s="57"/>
      <c r="AR13" s="57"/>
      <c r="AY13" s="98">
        <v>7</v>
      </c>
      <c r="AZ13" s="32">
        <f t="shared" si="1"/>
        <v>42.370276186613573</v>
      </c>
      <c r="BA13" s="38">
        <f t="shared" si="1"/>
        <v>43.916563350180596</v>
      </c>
      <c r="BB13" s="38">
        <f t="shared" si="1"/>
        <v>35.896971559519727</v>
      </c>
      <c r="BC13" s="38">
        <f t="shared" si="1"/>
        <v>42.371495596124738</v>
      </c>
      <c r="BD13" s="39">
        <f t="shared" si="1"/>
        <v>41.556795145820622</v>
      </c>
      <c r="BF13" s="10"/>
      <c r="BL13" s="10"/>
      <c r="BM13" s="10"/>
      <c r="BO13" s="57"/>
      <c r="BP13" s="57"/>
      <c r="BQ13" s="57"/>
      <c r="BR13" s="57"/>
      <c r="BS13" s="57"/>
      <c r="BT13" s="57"/>
      <c r="CA13" s="98">
        <v>7</v>
      </c>
      <c r="CB13" s="32">
        <f t="shared" si="2"/>
        <v>37.568202060393425</v>
      </c>
      <c r="CC13" s="38">
        <f t="shared" si="2"/>
        <v>38.857742551202513</v>
      </c>
      <c r="CD13" s="38">
        <f t="shared" si="2"/>
        <v>42.438468668377944</v>
      </c>
      <c r="CE13" s="38">
        <f t="shared" si="2"/>
        <v>37.534057327922852</v>
      </c>
      <c r="CF13" s="39">
        <f t="shared" si="2"/>
        <v>36.681221583543646</v>
      </c>
      <c r="CH13" s="10"/>
      <c r="CN13" s="10"/>
      <c r="CO13" s="10"/>
      <c r="CQ13" s="57"/>
      <c r="CR13" s="57"/>
      <c r="CS13" s="57"/>
      <c r="CT13" s="57"/>
      <c r="CU13" s="57"/>
      <c r="CV13" s="57"/>
      <c r="DC13" s="98">
        <v>7</v>
      </c>
      <c r="DD13" s="32">
        <f t="shared" si="3"/>
        <v>51.909149625073795</v>
      </c>
      <c r="DE13" s="38">
        <f t="shared" si="3"/>
        <v>39.884651104515697</v>
      </c>
      <c r="DF13" s="38">
        <f t="shared" si="3"/>
        <v>44.44512651656693</v>
      </c>
      <c r="DG13" s="38">
        <f t="shared" si="3"/>
        <v>52.181670019395952</v>
      </c>
      <c r="DH13" s="39">
        <f t="shared" si="3"/>
        <v>46.439124441407216</v>
      </c>
      <c r="DJ13" s="10"/>
      <c r="DP13" s="10"/>
      <c r="DQ13" s="10"/>
      <c r="DS13" s="57"/>
      <c r="DT13" s="57"/>
      <c r="DU13" s="57"/>
      <c r="DV13" s="57"/>
      <c r="DW13" s="57"/>
      <c r="DX13" s="57"/>
      <c r="EE13" s="98">
        <v>7</v>
      </c>
      <c r="EF13" s="32">
        <f t="shared" si="4"/>
        <v>43.001521583705468</v>
      </c>
      <c r="EG13" s="38">
        <f t="shared" si="4"/>
        <v>43.123358412450251</v>
      </c>
      <c r="EH13" s="38">
        <f t="shared" si="4"/>
        <v>38.534439232374353</v>
      </c>
      <c r="EI13" s="38">
        <f t="shared" si="4"/>
        <v>43.146965805972314</v>
      </c>
      <c r="EJ13" s="39">
        <f t="shared" si="4"/>
        <v>47.265804831765465</v>
      </c>
    </row>
    <row r="14" spans="2:140" ht="15" thickBot="1" x14ac:dyDescent="0.25">
      <c r="B14" s="58"/>
      <c r="C14" s="60" t="s">
        <v>6</v>
      </c>
      <c r="D14" s="60" t="s">
        <v>7</v>
      </c>
      <c r="E14" s="60" t="s">
        <v>8</v>
      </c>
      <c r="F14" s="60" t="s">
        <v>9</v>
      </c>
      <c r="G14" s="60" t="s">
        <v>10</v>
      </c>
      <c r="H14" s="61"/>
      <c r="I14" s="10"/>
      <c r="J14" s="11" t="s">
        <v>15</v>
      </c>
      <c r="K14" s="62" t="s">
        <v>6</v>
      </c>
      <c r="L14" s="62" t="s">
        <v>7</v>
      </c>
      <c r="M14" s="62" t="s">
        <v>8</v>
      </c>
      <c r="N14" s="62" t="s">
        <v>9</v>
      </c>
      <c r="O14" s="63" t="s">
        <v>10</v>
      </c>
      <c r="P14" s="23"/>
      <c r="W14" s="98">
        <v>8</v>
      </c>
      <c r="X14" s="202">
        <f t="shared" si="0"/>
        <v>60.425577161293724</v>
      </c>
      <c r="Y14" s="38">
        <f t="shared" si="0"/>
        <v>39.189908416610344</v>
      </c>
      <c r="Z14" s="38">
        <f t="shared" si="0"/>
        <v>43.838464812576092</v>
      </c>
      <c r="AA14" s="38">
        <f t="shared" si="0"/>
        <v>36.735197778173138</v>
      </c>
      <c r="AB14" s="39">
        <f t="shared" si="0"/>
        <v>38.961231084014521</v>
      </c>
      <c r="AD14" s="58"/>
      <c r="AE14" s="59" t="s">
        <v>6</v>
      </c>
      <c r="AF14" s="60" t="s">
        <v>7</v>
      </c>
      <c r="AG14" s="60" t="s">
        <v>8</v>
      </c>
      <c r="AH14" s="60" t="s">
        <v>9</v>
      </c>
      <c r="AI14" s="60" t="s">
        <v>10</v>
      </c>
      <c r="AJ14" s="61"/>
      <c r="AK14" s="10"/>
      <c r="AL14" s="11" t="s">
        <v>15</v>
      </c>
      <c r="AM14" s="62" t="s">
        <v>6</v>
      </c>
      <c r="AN14" s="62" t="s">
        <v>7</v>
      </c>
      <c r="AO14" s="62" t="s">
        <v>8</v>
      </c>
      <c r="AP14" s="62" t="s">
        <v>9</v>
      </c>
      <c r="AQ14" s="63" t="s">
        <v>10</v>
      </c>
      <c r="AR14" s="23"/>
      <c r="AY14" s="98">
        <v>8</v>
      </c>
      <c r="AZ14" s="32">
        <f t="shared" si="1"/>
        <v>42.337025830994797</v>
      </c>
      <c r="BA14" s="38">
        <f t="shared" si="1"/>
        <v>43.56719819428217</v>
      </c>
      <c r="BB14" s="38">
        <f t="shared" si="1"/>
        <v>35.788193207524316</v>
      </c>
      <c r="BC14" s="38">
        <f t="shared" si="1"/>
        <v>42.255047565786526</v>
      </c>
      <c r="BD14" s="39">
        <f t="shared" si="1"/>
        <v>41.150172074056705</v>
      </c>
      <c r="BF14" s="58"/>
      <c r="BG14" s="59" t="s">
        <v>6</v>
      </c>
      <c r="BH14" s="60" t="s">
        <v>7</v>
      </c>
      <c r="BI14" s="60" t="s">
        <v>8</v>
      </c>
      <c r="BJ14" s="60" t="s">
        <v>9</v>
      </c>
      <c r="BK14" s="60" t="s">
        <v>10</v>
      </c>
      <c r="BL14" s="61"/>
      <c r="BM14" s="10"/>
      <c r="BN14" s="11" t="s">
        <v>15</v>
      </c>
      <c r="BO14" s="62" t="s">
        <v>6</v>
      </c>
      <c r="BP14" s="62" t="s">
        <v>7</v>
      </c>
      <c r="BQ14" s="62" t="s">
        <v>8</v>
      </c>
      <c r="BR14" s="62" t="s">
        <v>9</v>
      </c>
      <c r="BS14" s="63" t="s">
        <v>10</v>
      </c>
      <c r="BT14" s="23"/>
      <c r="CA14" s="98">
        <v>8</v>
      </c>
      <c r="CB14" s="32">
        <f t="shared" si="2"/>
        <v>46.957286567435681</v>
      </c>
      <c r="CC14" s="38">
        <f t="shared" si="2"/>
        <v>48.802326989752473</v>
      </c>
      <c r="CD14" s="38">
        <f t="shared" si="2"/>
        <v>53.424832797634068</v>
      </c>
      <c r="CE14" s="38">
        <f t="shared" si="2"/>
        <v>46.975723994589515</v>
      </c>
      <c r="CF14" s="39">
        <f t="shared" si="2"/>
        <v>46.12104452764666</v>
      </c>
      <c r="CH14" s="58"/>
      <c r="CI14" s="59" t="s">
        <v>6</v>
      </c>
      <c r="CJ14" s="60" t="s">
        <v>7</v>
      </c>
      <c r="CK14" s="60" t="s">
        <v>8</v>
      </c>
      <c r="CL14" s="60" t="s">
        <v>9</v>
      </c>
      <c r="CM14" s="60" t="s">
        <v>10</v>
      </c>
      <c r="CN14" s="61"/>
      <c r="CO14" s="10"/>
      <c r="CP14" s="11" t="s">
        <v>15</v>
      </c>
      <c r="CQ14" s="62" t="s">
        <v>6</v>
      </c>
      <c r="CR14" s="62" t="s">
        <v>7</v>
      </c>
      <c r="CS14" s="62" t="s">
        <v>8</v>
      </c>
      <c r="CT14" s="62" t="s">
        <v>9</v>
      </c>
      <c r="CU14" s="63" t="s">
        <v>10</v>
      </c>
      <c r="CV14" s="23"/>
      <c r="DC14" s="98">
        <v>8</v>
      </c>
      <c r="DD14" s="32">
        <f t="shared" si="3"/>
        <v>49.499637840562009</v>
      </c>
      <c r="DE14" s="38">
        <f t="shared" si="3"/>
        <v>38.720480597603256</v>
      </c>
      <c r="DF14" s="38">
        <f t="shared" si="3"/>
        <v>43.074705271145689</v>
      </c>
      <c r="DG14" s="38">
        <f t="shared" si="3"/>
        <v>49.582598915413058</v>
      </c>
      <c r="DH14" s="39">
        <f t="shared" si="3"/>
        <v>46.523215350498127</v>
      </c>
      <c r="DJ14" s="58"/>
      <c r="DK14" s="59" t="s">
        <v>6</v>
      </c>
      <c r="DL14" s="60" t="s">
        <v>7</v>
      </c>
      <c r="DM14" s="60" t="s">
        <v>8</v>
      </c>
      <c r="DN14" s="60" t="s">
        <v>9</v>
      </c>
      <c r="DO14" s="60" t="s">
        <v>10</v>
      </c>
      <c r="DP14" s="61"/>
      <c r="DQ14" s="10"/>
      <c r="DR14" s="11" t="s">
        <v>15</v>
      </c>
      <c r="DS14" s="62" t="s">
        <v>6</v>
      </c>
      <c r="DT14" s="62" t="s">
        <v>7</v>
      </c>
      <c r="DU14" s="62" t="s">
        <v>8</v>
      </c>
      <c r="DV14" s="62" t="s">
        <v>9</v>
      </c>
      <c r="DW14" s="63" t="s">
        <v>10</v>
      </c>
      <c r="DX14" s="23"/>
      <c r="EE14" s="98">
        <v>8</v>
      </c>
      <c r="EF14" s="32">
        <f t="shared" si="4"/>
        <v>47.832681543963773</v>
      </c>
      <c r="EG14" s="38">
        <f t="shared" si="4"/>
        <v>48.283503339986481</v>
      </c>
      <c r="EH14" s="38">
        <f t="shared" si="4"/>
        <v>42.94310175759469</v>
      </c>
      <c r="EI14" s="38">
        <f t="shared" si="4"/>
        <v>47.977038269740433</v>
      </c>
      <c r="EJ14" s="39">
        <f t="shared" si="4"/>
        <v>52.638290463949374</v>
      </c>
    </row>
    <row r="15" spans="2:140" x14ac:dyDescent="0.2">
      <c r="B15" s="64" t="s">
        <v>13</v>
      </c>
      <c r="C15" s="120" t="s">
        <v>1</v>
      </c>
      <c r="D15" s="25" t="s">
        <v>2</v>
      </c>
      <c r="E15" s="25" t="s">
        <v>3</v>
      </c>
      <c r="F15" s="25" t="s">
        <v>4</v>
      </c>
      <c r="G15" s="26" t="s">
        <v>5</v>
      </c>
      <c r="H15" s="65"/>
      <c r="I15" s="10"/>
      <c r="J15" s="66" t="s">
        <v>13</v>
      </c>
      <c r="K15" s="67">
        <f>C7/H7</f>
        <v>0.52083333333333337</v>
      </c>
      <c r="L15" s="68">
        <f>D7/H7</f>
        <v>0.125</v>
      </c>
      <c r="M15" s="68">
        <f>E7/H7</f>
        <v>0.27083333333333331</v>
      </c>
      <c r="N15" s="68">
        <f>F7/H7</f>
        <v>2.0833333333333332E-2</v>
      </c>
      <c r="O15" s="69">
        <f>G7/H7</f>
        <v>6.25E-2</v>
      </c>
      <c r="P15" s="23"/>
      <c r="W15" s="98">
        <v>9</v>
      </c>
      <c r="X15" s="202">
        <f t="shared" si="0"/>
        <v>58.86151260266395</v>
      </c>
      <c r="Y15" s="38">
        <f t="shared" si="0"/>
        <v>39.095860797562722</v>
      </c>
      <c r="Z15" s="38">
        <f t="shared" si="0"/>
        <v>43.32692950879941</v>
      </c>
      <c r="AA15" s="38">
        <f t="shared" si="0"/>
        <v>36.865458794334046</v>
      </c>
      <c r="AB15" s="39">
        <f t="shared" si="0"/>
        <v>39.171451209800686</v>
      </c>
      <c r="AD15" s="64" t="s">
        <v>13</v>
      </c>
      <c r="AE15" s="24" t="s">
        <v>1</v>
      </c>
      <c r="AF15" s="27" t="s">
        <v>2</v>
      </c>
      <c r="AG15" s="25" t="s">
        <v>3</v>
      </c>
      <c r="AH15" s="25" t="s">
        <v>4</v>
      </c>
      <c r="AI15" s="26" t="s">
        <v>5</v>
      </c>
      <c r="AJ15" s="65"/>
      <c r="AK15" s="10"/>
      <c r="AL15" s="66" t="s">
        <v>13</v>
      </c>
      <c r="AM15" s="67">
        <f>AE7/AJ7</f>
        <v>0.20430107526881722</v>
      </c>
      <c r="AN15" s="68">
        <f>AF7/AJ7</f>
        <v>0.26881720430107525</v>
      </c>
      <c r="AO15" s="68">
        <f>AG7/AJ7</f>
        <v>7.5268817204301078E-2</v>
      </c>
      <c r="AP15" s="68">
        <f>AH7/AJ7</f>
        <v>0.21505376344086022</v>
      </c>
      <c r="AQ15" s="69">
        <f>AI7/AJ7</f>
        <v>0.23655913978494625</v>
      </c>
      <c r="AR15" s="23"/>
      <c r="AY15" s="98">
        <v>9</v>
      </c>
      <c r="AZ15" s="32">
        <f t="shared" si="1"/>
        <v>52.357829529430077</v>
      </c>
      <c r="BA15" s="38">
        <f t="shared" si="1"/>
        <v>54.159009508971984</v>
      </c>
      <c r="BB15" s="38">
        <f t="shared" si="1"/>
        <v>44.330577646226587</v>
      </c>
      <c r="BC15" s="38">
        <f t="shared" si="1"/>
        <v>52.330380357366131</v>
      </c>
      <c r="BD15" s="39">
        <f t="shared" si="1"/>
        <v>51.222422241729404</v>
      </c>
      <c r="BF15" s="64" t="s">
        <v>13</v>
      </c>
      <c r="BG15" s="24" t="s">
        <v>1</v>
      </c>
      <c r="BH15" s="25" t="s">
        <v>2</v>
      </c>
      <c r="BI15" s="27" t="s">
        <v>3</v>
      </c>
      <c r="BJ15" s="25" t="s">
        <v>4</v>
      </c>
      <c r="BK15" s="26" t="s">
        <v>5</v>
      </c>
      <c r="BL15" s="65"/>
      <c r="BM15" s="10"/>
      <c r="BN15" s="66" t="s">
        <v>13</v>
      </c>
      <c r="BO15" s="67">
        <f>BG7/BL7</f>
        <v>0.14457831325301204</v>
      </c>
      <c r="BP15" s="68">
        <f>BH7/BL7</f>
        <v>0.21686746987951808</v>
      </c>
      <c r="BQ15" s="68">
        <f>BI7/BL7</f>
        <v>0.30120481927710846</v>
      </c>
      <c r="BR15" s="68">
        <f>BJ7/BL7</f>
        <v>0.15662650602409639</v>
      </c>
      <c r="BS15" s="69">
        <f>BK7/BL7</f>
        <v>0.18072289156626506</v>
      </c>
      <c r="BT15" s="23"/>
      <c r="CA15" s="98">
        <v>9</v>
      </c>
      <c r="CB15" s="32">
        <f t="shared" si="2"/>
        <v>45.825244313914553</v>
      </c>
      <c r="CC15" s="38">
        <f t="shared" si="2"/>
        <v>47.254603735994735</v>
      </c>
      <c r="CD15" s="38">
        <f t="shared" si="2"/>
        <v>51.531886582062604</v>
      </c>
      <c r="CE15" s="38">
        <f t="shared" si="2"/>
        <v>45.745962089827621</v>
      </c>
      <c r="CF15" s="39">
        <f t="shared" si="2"/>
        <v>44.575573354102623</v>
      </c>
      <c r="CH15" s="64" t="s">
        <v>13</v>
      </c>
      <c r="CI15" s="24" t="s">
        <v>1</v>
      </c>
      <c r="CJ15" s="25" t="s">
        <v>2</v>
      </c>
      <c r="CK15" s="25" t="s">
        <v>3</v>
      </c>
      <c r="CL15" s="27" t="s">
        <v>4</v>
      </c>
      <c r="CM15" s="26" t="s">
        <v>5</v>
      </c>
      <c r="CN15" s="65"/>
      <c r="CO15" s="10"/>
      <c r="CP15" s="66" t="s">
        <v>13</v>
      </c>
      <c r="CQ15" s="67">
        <f>CI7/CN7</f>
        <v>0.35294117647058826</v>
      </c>
      <c r="CR15" s="68">
        <f>CJ7/CN7</f>
        <v>7.3529411764705885E-2</v>
      </c>
      <c r="CS15" s="68">
        <f>CK7/CN7</f>
        <v>0.17647058823529413</v>
      </c>
      <c r="CT15" s="68">
        <f>CL7/CN7</f>
        <v>0.36764705882352944</v>
      </c>
      <c r="CU15" s="69">
        <f>CM7/CN7</f>
        <v>2.9411764705882353E-2</v>
      </c>
      <c r="CV15" s="23"/>
      <c r="DC15" s="98">
        <v>9</v>
      </c>
      <c r="DD15" s="32">
        <f t="shared" si="3"/>
        <v>54.81739878332295</v>
      </c>
      <c r="DE15" s="38">
        <f t="shared" si="3"/>
        <v>42.953135487516214</v>
      </c>
      <c r="DF15" s="38">
        <f t="shared" si="3"/>
        <v>47.775712597153017</v>
      </c>
      <c r="DG15" s="38">
        <f t="shared" si="3"/>
        <v>54.890504555616211</v>
      </c>
      <c r="DH15" s="39">
        <f t="shared" si="3"/>
        <v>51.758821411104186</v>
      </c>
      <c r="DJ15" s="64" t="s">
        <v>13</v>
      </c>
      <c r="DK15" s="24" t="s">
        <v>1</v>
      </c>
      <c r="DL15" s="25" t="s">
        <v>2</v>
      </c>
      <c r="DM15" s="25" t="s">
        <v>3</v>
      </c>
      <c r="DN15" s="25" t="s">
        <v>4</v>
      </c>
      <c r="DO15" s="30" t="s">
        <v>5</v>
      </c>
      <c r="DP15" s="65"/>
      <c r="DQ15" s="10"/>
      <c r="DR15" s="66" t="s">
        <v>13</v>
      </c>
      <c r="DS15" s="67">
        <f>DK7/DP7</f>
        <v>0.26506024096385544</v>
      </c>
      <c r="DT15" s="68">
        <f>DL7/DP7</f>
        <v>3.614457831325301E-2</v>
      </c>
      <c r="DU15" s="68">
        <f>DM7/DP7</f>
        <v>0.12048192771084337</v>
      </c>
      <c r="DV15" s="68">
        <f>DN7/DP7</f>
        <v>0.27710843373493976</v>
      </c>
      <c r="DW15" s="69">
        <f>DO7/DP7</f>
        <v>0.30120481927710846</v>
      </c>
      <c r="DX15" s="23"/>
      <c r="EE15" s="98">
        <v>9</v>
      </c>
      <c r="EF15" s="32">
        <f t="shared" si="4"/>
        <v>41.778595602582762</v>
      </c>
      <c r="EG15" s="38">
        <f t="shared" si="4"/>
        <v>45.143648267522707</v>
      </c>
      <c r="EH15" s="38">
        <f t="shared" si="4"/>
        <v>38.255873871856139</v>
      </c>
      <c r="EI15" s="38">
        <f t="shared" si="4"/>
        <v>41.740444066841874</v>
      </c>
      <c r="EJ15" s="39">
        <f t="shared" si="4"/>
        <v>46.562500234064316</v>
      </c>
    </row>
    <row r="16" spans="2:140" x14ac:dyDescent="0.2">
      <c r="B16" s="64" t="s">
        <v>3</v>
      </c>
      <c r="C16" s="32" t="s">
        <v>14</v>
      </c>
      <c r="D16" s="38" t="s">
        <v>10</v>
      </c>
      <c r="E16" s="38" t="s">
        <v>16</v>
      </c>
      <c r="F16" s="38" t="s">
        <v>6</v>
      </c>
      <c r="G16" s="39" t="s">
        <v>17</v>
      </c>
      <c r="H16" s="65"/>
      <c r="I16" s="10"/>
      <c r="J16" s="66" t="s">
        <v>3</v>
      </c>
      <c r="K16" s="40">
        <f>C8/H8</f>
        <v>0.17307692307692307</v>
      </c>
      <c r="L16" s="36">
        <f>D8/H8</f>
        <v>3.8461538461538464E-2</v>
      </c>
      <c r="M16" s="36">
        <f>E8/H8</f>
        <v>0.23076923076923078</v>
      </c>
      <c r="N16" s="36">
        <f>F8/H8</f>
        <v>0.26923076923076922</v>
      </c>
      <c r="O16" s="37">
        <f>G8/H8</f>
        <v>0.28846153846153844</v>
      </c>
      <c r="P16" s="23"/>
      <c r="W16" s="98">
        <v>10</v>
      </c>
      <c r="X16" s="202">
        <f t="shared" si="0"/>
        <v>71.383251733098732</v>
      </c>
      <c r="Y16" s="38">
        <f t="shared" si="0"/>
        <v>45.953003654705583</v>
      </c>
      <c r="Z16" s="38">
        <f t="shared" si="0"/>
        <v>51.555500937370837</v>
      </c>
      <c r="AA16" s="38">
        <f t="shared" si="0"/>
        <v>42.993118368802129</v>
      </c>
      <c r="AB16" s="39">
        <f t="shared" si="0"/>
        <v>45.571451209800685</v>
      </c>
      <c r="AD16" s="64" t="s">
        <v>3</v>
      </c>
      <c r="AE16" s="32" t="s">
        <v>14</v>
      </c>
      <c r="AF16" s="38" t="s">
        <v>10</v>
      </c>
      <c r="AG16" s="38" t="s">
        <v>16</v>
      </c>
      <c r="AH16" s="38" t="s">
        <v>6</v>
      </c>
      <c r="AI16" s="39" t="s">
        <v>17</v>
      </c>
      <c r="AJ16" s="65"/>
      <c r="AK16" s="10"/>
      <c r="AL16" s="66" t="s">
        <v>3</v>
      </c>
      <c r="AM16" s="40">
        <f>AE8/AJ8</f>
        <v>6.3829787234042548E-2</v>
      </c>
      <c r="AN16" s="36">
        <f>AF8/AJ8</f>
        <v>0.44680851063829785</v>
      </c>
      <c r="AO16" s="36">
        <f>AG8/AJ8</f>
        <v>0.1276595744680851</v>
      </c>
      <c r="AP16" s="36">
        <f>AH8/AJ8</f>
        <v>0.1702127659574468</v>
      </c>
      <c r="AQ16" s="37">
        <f>AI8/AJ8</f>
        <v>0.19148936170212766</v>
      </c>
      <c r="AR16" s="23"/>
      <c r="AY16" s="98">
        <v>10</v>
      </c>
      <c r="AZ16" s="32">
        <f t="shared" si="1"/>
        <v>48.587559259159804</v>
      </c>
      <c r="BA16" s="38">
        <f t="shared" si="1"/>
        <v>50.056068332501397</v>
      </c>
      <c r="BB16" s="38">
        <f t="shared" si="1"/>
        <v>41.086391599714958</v>
      </c>
      <c r="BC16" s="38">
        <f t="shared" si="1"/>
        <v>48.508462549146955</v>
      </c>
      <c r="BD16" s="39">
        <f t="shared" si="1"/>
        <v>47.292844776940669</v>
      </c>
      <c r="BF16" s="64" t="s">
        <v>3</v>
      </c>
      <c r="BG16" s="32" t="s">
        <v>14</v>
      </c>
      <c r="BH16" s="38" t="s">
        <v>10</v>
      </c>
      <c r="BI16" s="38" t="s">
        <v>16</v>
      </c>
      <c r="BJ16" s="38" t="s">
        <v>6</v>
      </c>
      <c r="BK16" s="39" t="s">
        <v>17</v>
      </c>
      <c r="BL16" s="65"/>
      <c r="BM16" s="10"/>
      <c r="BN16" s="66" t="s">
        <v>3</v>
      </c>
      <c r="BO16" s="40">
        <f>BG8/BL8</f>
        <v>0.33870967741935482</v>
      </c>
      <c r="BP16" s="36">
        <f>BH8/BL8</f>
        <v>0.22580645161290322</v>
      </c>
      <c r="BQ16" s="36">
        <f>BI8/BL8</f>
        <v>0.38709677419354838</v>
      </c>
      <c r="BR16" s="36">
        <f>BJ8/BL8</f>
        <v>1.6129032258064516E-2</v>
      </c>
      <c r="BS16" s="37">
        <f>BK8/BL8</f>
        <v>3.2258064516129031E-2</v>
      </c>
      <c r="BT16" s="23"/>
      <c r="CA16" s="98">
        <v>10</v>
      </c>
      <c r="CB16" s="32">
        <f t="shared" si="2"/>
        <v>48.163272482928633</v>
      </c>
      <c r="CC16" s="38">
        <f t="shared" si="2"/>
        <v>49.808449889840887</v>
      </c>
      <c r="CD16" s="38">
        <f t="shared" si="2"/>
        <v>54.39395554757985</v>
      </c>
      <c r="CE16" s="38">
        <f t="shared" si="2"/>
        <v>48.117390661256181</v>
      </c>
      <c r="CF16" s="39">
        <f t="shared" si="2"/>
        <v>47.016749824690855</v>
      </c>
      <c r="CH16" s="64" t="s">
        <v>3</v>
      </c>
      <c r="CI16" s="32" t="s">
        <v>14</v>
      </c>
      <c r="CJ16" s="38" t="s">
        <v>10</v>
      </c>
      <c r="CK16" s="38" t="s">
        <v>16</v>
      </c>
      <c r="CL16" s="38" t="s">
        <v>6</v>
      </c>
      <c r="CM16" s="39" t="s">
        <v>17</v>
      </c>
      <c r="CN16" s="65"/>
      <c r="CO16" s="10"/>
      <c r="CP16" s="66" t="s">
        <v>3</v>
      </c>
      <c r="CQ16" s="40">
        <f>CI8/CN8</f>
        <v>0.1702127659574468</v>
      </c>
      <c r="CR16" s="36">
        <f>CJ8/CN8</f>
        <v>2.1276595744680851E-2</v>
      </c>
      <c r="CS16" s="36">
        <f>CK8/CN8</f>
        <v>0.23404255319148937</v>
      </c>
      <c r="CT16" s="36">
        <f>CL8/CN8</f>
        <v>0.27659574468085107</v>
      </c>
      <c r="CU16" s="37">
        <f>CM8/CN8</f>
        <v>0.2978723404255319</v>
      </c>
      <c r="CV16" s="23"/>
      <c r="DC16" s="98">
        <v>10</v>
      </c>
      <c r="DD16" s="32">
        <f t="shared" si="3"/>
        <v>45.544671510595677</v>
      </c>
      <c r="DE16" s="38">
        <f t="shared" si="3"/>
        <v>36.476945011325739</v>
      </c>
      <c r="DF16" s="38">
        <f t="shared" si="3"/>
        <v>40.489998311438725</v>
      </c>
      <c r="DG16" s="38">
        <f t="shared" si="3"/>
        <v>45.402132462592959</v>
      </c>
      <c r="DH16" s="39">
        <f t="shared" si="3"/>
        <v>45.577003229286007</v>
      </c>
      <c r="DJ16" s="64" t="s">
        <v>3</v>
      </c>
      <c r="DK16" s="32" t="s">
        <v>14</v>
      </c>
      <c r="DL16" s="38" t="s">
        <v>10</v>
      </c>
      <c r="DM16" s="38" t="s">
        <v>16</v>
      </c>
      <c r="DN16" s="38" t="s">
        <v>6</v>
      </c>
      <c r="DO16" s="39" t="s">
        <v>17</v>
      </c>
      <c r="DP16" s="65"/>
      <c r="DQ16" s="10"/>
      <c r="DR16" s="66" t="s">
        <v>3</v>
      </c>
      <c r="DS16" s="40">
        <f>DK8/DP8</f>
        <v>9.6774193548387094E-2</v>
      </c>
      <c r="DT16" s="36">
        <f>DL8/DP8</f>
        <v>0.38709677419354838</v>
      </c>
      <c r="DU16" s="36">
        <f>DM8/DP8</f>
        <v>0.14516129032258066</v>
      </c>
      <c r="DV16" s="36">
        <f>DN8/DP8</f>
        <v>0.17741935483870969</v>
      </c>
      <c r="DW16" s="37">
        <f>DO8/DP8</f>
        <v>0.19354838709677419</v>
      </c>
      <c r="DX16" s="23"/>
      <c r="EE16" s="98">
        <v>10</v>
      </c>
      <c r="EF16" s="32">
        <f t="shared" si="4"/>
        <v>45.86056281569752</v>
      </c>
      <c r="EG16" s="38">
        <f t="shared" si="4"/>
        <v>48.256148267522711</v>
      </c>
      <c r="EH16" s="38">
        <f t="shared" si="4"/>
        <v>41.66683277596573</v>
      </c>
      <c r="EI16" s="38">
        <f t="shared" si="4"/>
        <v>45.89044406684188</v>
      </c>
      <c r="EJ16" s="39">
        <f t="shared" si="4"/>
        <v>50.855603682340181</v>
      </c>
    </row>
    <row r="17" spans="2:140" x14ac:dyDescent="0.2">
      <c r="B17" s="64" t="s">
        <v>14</v>
      </c>
      <c r="C17" s="32" t="s">
        <v>8</v>
      </c>
      <c r="D17" s="38" t="s">
        <v>18</v>
      </c>
      <c r="E17" s="38" t="s">
        <v>19</v>
      </c>
      <c r="F17" s="38" t="s">
        <v>20</v>
      </c>
      <c r="G17" s="39" t="s">
        <v>21</v>
      </c>
      <c r="H17" s="65"/>
      <c r="I17" s="10"/>
      <c r="J17" s="66" t="s">
        <v>14</v>
      </c>
      <c r="K17" s="40">
        <f>C9/H9</f>
        <v>0.2</v>
      </c>
      <c r="L17" s="36">
        <f>D9/H9</f>
        <v>0.12727272727272726</v>
      </c>
      <c r="M17" s="36">
        <f>E9/H9</f>
        <v>9.0909090909090912E-2</v>
      </c>
      <c r="N17" s="36">
        <f>F9/H9</f>
        <v>0.18181818181818182</v>
      </c>
      <c r="O17" s="37">
        <f>G9/H9</f>
        <v>0.4</v>
      </c>
      <c r="P17" s="23"/>
      <c r="W17" s="98">
        <v>11</v>
      </c>
      <c r="X17" s="202">
        <f t="shared" si="0"/>
        <v>62.512533683032856</v>
      </c>
      <c r="Y17" s="38">
        <f t="shared" si="0"/>
        <v>40.332765559467489</v>
      </c>
      <c r="Z17" s="38">
        <f t="shared" si="0"/>
        <v>45.209893384004658</v>
      </c>
      <c r="AA17" s="38">
        <f t="shared" si="0"/>
        <v>37.756474373917811</v>
      </c>
      <c r="AB17" s="39">
        <f t="shared" si="0"/>
        <v>40.027897750681191</v>
      </c>
      <c r="AD17" s="64" t="s">
        <v>14</v>
      </c>
      <c r="AE17" s="32" t="s">
        <v>8</v>
      </c>
      <c r="AF17" s="38" t="s">
        <v>18</v>
      </c>
      <c r="AG17" s="38" t="s">
        <v>19</v>
      </c>
      <c r="AH17" s="38" t="s">
        <v>20</v>
      </c>
      <c r="AI17" s="39" t="s">
        <v>21</v>
      </c>
      <c r="AJ17" s="65"/>
      <c r="AK17" s="10"/>
      <c r="AL17" s="66" t="s">
        <v>14</v>
      </c>
      <c r="AM17" s="40">
        <f>AE9/AJ9</f>
        <v>0.1</v>
      </c>
      <c r="AN17" s="36">
        <f>AF9/AJ9</f>
        <v>0.02</v>
      </c>
      <c r="AO17" s="36">
        <f>AG9/AJ9</f>
        <v>0.48</v>
      </c>
      <c r="AP17" s="36">
        <f>AH9/AJ9</f>
        <v>0.08</v>
      </c>
      <c r="AQ17" s="37">
        <f>AI9/AJ9</f>
        <v>0.32</v>
      </c>
      <c r="AR17" s="23"/>
      <c r="AY17" s="98">
        <v>11</v>
      </c>
      <c r="AZ17" s="32">
        <f t="shared" si="1"/>
        <v>48.62080961477858</v>
      </c>
      <c r="BA17" s="38">
        <f t="shared" si="1"/>
        <v>50.405433488399815</v>
      </c>
      <c r="BB17" s="38">
        <f t="shared" si="1"/>
        <v>41.195169951710362</v>
      </c>
      <c r="BC17" s="38">
        <f t="shared" si="1"/>
        <v>48.62491057948516</v>
      </c>
      <c r="BD17" s="39">
        <f t="shared" si="1"/>
        <v>47.699467848704586</v>
      </c>
      <c r="BF17" s="64" t="s">
        <v>14</v>
      </c>
      <c r="BG17" s="32" t="s">
        <v>8</v>
      </c>
      <c r="BH17" s="38" t="s">
        <v>18</v>
      </c>
      <c r="BI17" s="38" t="s">
        <v>19</v>
      </c>
      <c r="BJ17" s="38" t="s">
        <v>20</v>
      </c>
      <c r="BK17" s="39" t="s">
        <v>21</v>
      </c>
      <c r="BL17" s="65"/>
      <c r="BM17" s="10"/>
      <c r="BN17" s="66" t="s">
        <v>14</v>
      </c>
      <c r="BO17" s="40">
        <f>BG9/BL9</f>
        <v>0.25555555555555554</v>
      </c>
      <c r="BP17" s="36">
        <f>BH9/BL9</f>
        <v>0.21111111111111111</v>
      </c>
      <c r="BQ17" s="36">
        <f>BI9/BL9</f>
        <v>0.18888888888888888</v>
      </c>
      <c r="BR17" s="36">
        <f>BJ9/BL9</f>
        <v>0.24444444444444444</v>
      </c>
      <c r="BS17" s="37">
        <f>BK9/BL9</f>
        <v>0.1</v>
      </c>
      <c r="BT17" s="23"/>
      <c r="CA17" s="98">
        <v>11</v>
      </c>
      <c r="CB17" s="32">
        <f t="shared" si="2"/>
        <v>38.774187975886385</v>
      </c>
      <c r="CC17" s="38">
        <f t="shared" si="2"/>
        <v>39.863865451290934</v>
      </c>
      <c r="CD17" s="38">
        <f t="shared" si="2"/>
        <v>43.407591418323726</v>
      </c>
      <c r="CE17" s="38">
        <f t="shared" si="2"/>
        <v>38.675723994589518</v>
      </c>
      <c r="CF17" s="39">
        <f t="shared" si="2"/>
        <v>37.576926880587841</v>
      </c>
      <c r="CH17" s="64" t="s">
        <v>14</v>
      </c>
      <c r="CI17" s="32" t="s">
        <v>8</v>
      </c>
      <c r="CJ17" s="38" t="s">
        <v>18</v>
      </c>
      <c r="CK17" s="38" t="s">
        <v>19</v>
      </c>
      <c r="CL17" s="38" t="s">
        <v>20</v>
      </c>
      <c r="CM17" s="39" t="s">
        <v>21</v>
      </c>
      <c r="CN17" s="65"/>
      <c r="CO17" s="10"/>
      <c r="CP17" s="66" t="s">
        <v>14</v>
      </c>
      <c r="CQ17" s="40">
        <f>CI9/CN9</f>
        <v>0.2</v>
      </c>
      <c r="CR17" s="36">
        <f>CJ9/CN9</f>
        <v>0.12</v>
      </c>
      <c r="CS17" s="36">
        <f>CK9/CN9</f>
        <v>0.08</v>
      </c>
      <c r="CT17" s="36">
        <f>CL9/CN9</f>
        <v>0.18</v>
      </c>
      <c r="CU17" s="37">
        <f>CM9/CN9</f>
        <v>0.42</v>
      </c>
      <c r="CV17" s="23"/>
      <c r="DC17" s="98">
        <v>11</v>
      </c>
      <c r="DD17" s="32">
        <f t="shared" si="3"/>
        <v>47.954183295107462</v>
      </c>
      <c r="DE17" s="38">
        <f t="shared" si="3"/>
        <v>37.64111551823818</v>
      </c>
      <c r="DF17" s="38">
        <f t="shared" si="3"/>
        <v>41.860419556859974</v>
      </c>
      <c r="DG17" s="38">
        <f t="shared" si="3"/>
        <v>48.001203566575846</v>
      </c>
      <c r="DH17" s="39">
        <f t="shared" si="3"/>
        <v>45.492912320195096</v>
      </c>
      <c r="DJ17" s="64" t="s">
        <v>14</v>
      </c>
      <c r="DK17" s="32" t="s">
        <v>8</v>
      </c>
      <c r="DL17" s="38" t="s">
        <v>18</v>
      </c>
      <c r="DM17" s="38" t="s">
        <v>19</v>
      </c>
      <c r="DN17" s="38" t="s">
        <v>20</v>
      </c>
      <c r="DO17" s="39" t="s">
        <v>21</v>
      </c>
      <c r="DP17" s="65"/>
      <c r="DQ17" s="10"/>
      <c r="DR17" s="66" t="s">
        <v>14</v>
      </c>
      <c r="DS17" s="40">
        <f>DK9/DP9</f>
        <v>0.2</v>
      </c>
      <c r="DT17" s="36">
        <f>DL9/DP9</f>
        <v>0.1</v>
      </c>
      <c r="DU17" s="36">
        <f>DM9/DP9</f>
        <v>0.05</v>
      </c>
      <c r="DV17" s="36">
        <f>DN9/DP9</f>
        <v>0.17499999999999999</v>
      </c>
      <c r="DW17" s="37">
        <f>DO9/DP9</f>
        <v>0.47499999999999998</v>
      </c>
      <c r="DX17" s="23"/>
      <c r="EE17" s="98">
        <v>11</v>
      </c>
      <c r="EF17" s="32">
        <f t="shared" si="4"/>
        <v>41.029402855439194</v>
      </c>
      <c r="EG17" s="38">
        <f t="shared" si="4"/>
        <v>43.096003339986481</v>
      </c>
      <c r="EH17" s="38">
        <f t="shared" si="4"/>
        <v>37.25817025074538</v>
      </c>
      <c r="EI17" s="38">
        <f t="shared" si="4"/>
        <v>41.060371603073762</v>
      </c>
      <c r="EJ17" s="39">
        <f t="shared" si="4"/>
        <v>45.483118050156271</v>
      </c>
    </row>
    <row r="18" spans="2:140" ht="15" thickBot="1" x14ac:dyDescent="0.25">
      <c r="B18" s="64" t="s">
        <v>8</v>
      </c>
      <c r="C18" s="32" t="s">
        <v>22</v>
      </c>
      <c r="D18" s="38" t="s">
        <v>9</v>
      </c>
      <c r="E18" s="38" t="s">
        <v>23</v>
      </c>
      <c r="F18" s="38" t="s">
        <v>7</v>
      </c>
      <c r="G18" s="39" t="s">
        <v>13</v>
      </c>
      <c r="H18" s="65"/>
      <c r="I18" s="10"/>
      <c r="J18" s="66" t="s">
        <v>8</v>
      </c>
      <c r="K18" s="40">
        <f>C10/H10</f>
        <v>0.10526315789473684</v>
      </c>
      <c r="L18" s="36">
        <f>D10/H10</f>
        <v>5.2631578947368418E-2</v>
      </c>
      <c r="M18" s="36">
        <f>E10/H10</f>
        <v>0.22368421052631579</v>
      </c>
      <c r="N18" s="36">
        <f>F10/H10</f>
        <v>0.30263157894736842</v>
      </c>
      <c r="O18" s="37">
        <f>G10/H10</f>
        <v>0.31578947368421051</v>
      </c>
      <c r="P18" s="23"/>
      <c r="W18" s="108">
        <v>12</v>
      </c>
      <c r="X18" s="203">
        <f t="shared" si="0"/>
        <v>64.076598241662637</v>
      </c>
      <c r="Y18" s="70">
        <f t="shared" si="0"/>
        <v>40.426813178515104</v>
      </c>
      <c r="Z18" s="70">
        <f t="shared" si="0"/>
        <v>45.721428687781341</v>
      </c>
      <c r="AA18" s="70">
        <f t="shared" si="0"/>
        <v>37.626213357756896</v>
      </c>
      <c r="AB18" s="71">
        <f t="shared" si="0"/>
        <v>39.817677624895026</v>
      </c>
      <c r="AD18" s="64" t="s">
        <v>8</v>
      </c>
      <c r="AE18" s="32" t="s">
        <v>22</v>
      </c>
      <c r="AF18" s="38" t="s">
        <v>9</v>
      </c>
      <c r="AG18" s="38" t="s">
        <v>23</v>
      </c>
      <c r="AH18" s="38" t="s">
        <v>7</v>
      </c>
      <c r="AI18" s="39" t="s">
        <v>13</v>
      </c>
      <c r="AJ18" s="65"/>
      <c r="AK18" s="10"/>
      <c r="AL18" s="66" t="s">
        <v>8</v>
      </c>
      <c r="AM18" s="40">
        <f>AE10/AJ10</f>
        <v>2.8169014084507043E-2</v>
      </c>
      <c r="AN18" s="36">
        <f>AF10/AJ10</f>
        <v>0.323943661971831</v>
      </c>
      <c r="AO18" s="36">
        <f>AG10/AJ10</f>
        <v>0.15492957746478872</v>
      </c>
      <c r="AP18" s="36">
        <f>AH10/AJ10</f>
        <v>0.23943661971830985</v>
      </c>
      <c r="AQ18" s="37">
        <f>AI10/AJ10</f>
        <v>0.25352112676056338</v>
      </c>
      <c r="AR18" s="23"/>
      <c r="AY18" s="108">
        <v>12</v>
      </c>
      <c r="AZ18" s="43">
        <f t="shared" si="1"/>
        <v>38.600005916343299</v>
      </c>
      <c r="BA18" s="70">
        <f t="shared" si="1"/>
        <v>39.813622173710009</v>
      </c>
      <c r="BB18" s="70">
        <f t="shared" si="1"/>
        <v>32.652785513008098</v>
      </c>
      <c r="BC18" s="70">
        <f t="shared" si="1"/>
        <v>38.549577787905562</v>
      </c>
      <c r="BD18" s="71">
        <f t="shared" si="1"/>
        <v>37.627217681031894</v>
      </c>
      <c r="BF18" s="64" t="s">
        <v>8</v>
      </c>
      <c r="BG18" s="32" t="s">
        <v>22</v>
      </c>
      <c r="BH18" s="38" t="s">
        <v>9</v>
      </c>
      <c r="BI18" s="38" t="s">
        <v>23</v>
      </c>
      <c r="BJ18" s="38" t="s">
        <v>7</v>
      </c>
      <c r="BK18" s="39" t="s">
        <v>13</v>
      </c>
      <c r="BL18" s="65"/>
      <c r="BM18" s="10"/>
      <c r="BN18" s="66" t="s">
        <v>8</v>
      </c>
      <c r="BO18" s="40">
        <f>BG10/BL10</f>
        <v>0.32786885245901637</v>
      </c>
      <c r="BP18" s="36">
        <f>BH10/BL10</f>
        <v>0.26229508196721313</v>
      </c>
      <c r="BQ18" s="36">
        <f>BI10/BL10</f>
        <v>6.5573770491803282E-2</v>
      </c>
      <c r="BR18" s="36">
        <f>BJ10/BL10</f>
        <v>0.16393442622950818</v>
      </c>
      <c r="BS18" s="37">
        <f>BK10/BL10</f>
        <v>0.18032786885245902</v>
      </c>
      <c r="BT18" s="23"/>
      <c r="CA18" s="108">
        <v>12</v>
      </c>
      <c r="CB18" s="43">
        <f t="shared" si="2"/>
        <v>39.906230229407512</v>
      </c>
      <c r="CC18" s="70">
        <f t="shared" si="2"/>
        <v>41.411588705048672</v>
      </c>
      <c r="CD18" s="70">
        <f t="shared" si="2"/>
        <v>45.300537633895189</v>
      </c>
      <c r="CE18" s="70">
        <f t="shared" si="2"/>
        <v>39.905485899351426</v>
      </c>
      <c r="CF18" s="71">
        <f t="shared" si="2"/>
        <v>39.122398054131885</v>
      </c>
      <c r="CH18" s="64" t="s">
        <v>8</v>
      </c>
      <c r="CI18" s="32" t="s">
        <v>22</v>
      </c>
      <c r="CJ18" s="38" t="s">
        <v>9</v>
      </c>
      <c r="CK18" s="38" t="s">
        <v>23</v>
      </c>
      <c r="CL18" s="38" t="s">
        <v>7</v>
      </c>
      <c r="CM18" s="39" t="s">
        <v>13</v>
      </c>
      <c r="CN18" s="65"/>
      <c r="CO18" s="10"/>
      <c r="CP18" s="66" t="s">
        <v>8</v>
      </c>
      <c r="CQ18" s="40">
        <f>CI10/CN10</f>
        <v>9.8591549295774641E-2</v>
      </c>
      <c r="CR18" s="36">
        <f>CJ10/CN10</f>
        <v>4.2253521126760563E-2</v>
      </c>
      <c r="CS18" s="36">
        <f>CK10/CN10</f>
        <v>0.22535211267605634</v>
      </c>
      <c r="CT18" s="36">
        <f>CL10/CN10</f>
        <v>0.30985915492957744</v>
      </c>
      <c r="CU18" s="37">
        <f>CM10/CN10</f>
        <v>0.323943661971831</v>
      </c>
      <c r="CV18" s="23"/>
      <c r="DC18" s="108">
        <v>12</v>
      </c>
      <c r="DD18" s="43">
        <f t="shared" si="3"/>
        <v>42.636422352346521</v>
      </c>
      <c r="DE18" s="70">
        <f t="shared" si="3"/>
        <v>33.40846062832523</v>
      </c>
      <c r="DF18" s="70">
        <f t="shared" si="3"/>
        <v>37.159412230852645</v>
      </c>
      <c r="DG18" s="70">
        <f t="shared" si="3"/>
        <v>42.693297926372693</v>
      </c>
      <c r="DH18" s="71">
        <f t="shared" si="3"/>
        <v>40.257306259589036</v>
      </c>
      <c r="DJ18" s="64" t="s">
        <v>8</v>
      </c>
      <c r="DK18" s="32" t="s">
        <v>22</v>
      </c>
      <c r="DL18" s="38" t="s">
        <v>9</v>
      </c>
      <c r="DM18" s="38" t="s">
        <v>23</v>
      </c>
      <c r="DN18" s="38" t="s">
        <v>7</v>
      </c>
      <c r="DO18" s="39" t="s">
        <v>13</v>
      </c>
      <c r="DP18" s="65"/>
      <c r="DQ18" s="10"/>
      <c r="DR18" s="66" t="s">
        <v>8</v>
      </c>
      <c r="DS18" s="40">
        <f>DK10/DP10</f>
        <v>8.1967213114754092E-2</v>
      </c>
      <c r="DT18" s="36">
        <f>DL10/DP10</f>
        <v>1.6393442622950821E-2</v>
      </c>
      <c r="DU18" s="36">
        <f>DM10/DP10</f>
        <v>0.22950819672131148</v>
      </c>
      <c r="DV18" s="36">
        <f>DN10/DP10</f>
        <v>0.32786885245901637</v>
      </c>
      <c r="DW18" s="37">
        <f>DO10/DP10</f>
        <v>0.34426229508196721</v>
      </c>
      <c r="DX18" s="23"/>
      <c r="EE18" s="108">
        <v>12</v>
      </c>
      <c r="EF18" s="43">
        <f t="shared" si="4"/>
        <v>47.08348879682022</v>
      </c>
      <c r="EG18" s="70">
        <f t="shared" si="4"/>
        <v>46.235858412450256</v>
      </c>
      <c r="EH18" s="70">
        <f t="shared" si="4"/>
        <v>41.945398136483931</v>
      </c>
      <c r="EI18" s="70">
        <f t="shared" si="4"/>
        <v>47.29696580597232</v>
      </c>
      <c r="EJ18" s="71">
        <f t="shared" si="4"/>
        <v>51.558908280041329</v>
      </c>
    </row>
    <row r="19" spans="2:140" ht="15" thickBot="1" x14ac:dyDescent="0.25">
      <c r="B19" s="64" t="s">
        <v>3</v>
      </c>
      <c r="C19" s="43" t="s">
        <v>24</v>
      </c>
      <c r="D19" s="70" t="s">
        <v>25</v>
      </c>
      <c r="E19" s="70" t="s">
        <v>26</v>
      </c>
      <c r="F19" s="70" t="s">
        <v>27</v>
      </c>
      <c r="G19" s="71" t="s">
        <v>28</v>
      </c>
      <c r="H19" s="65"/>
      <c r="I19" s="10"/>
      <c r="J19" s="72" t="s">
        <v>3</v>
      </c>
      <c r="K19" s="50">
        <f>C11/H11</f>
        <v>0.1702127659574468</v>
      </c>
      <c r="L19" s="48">
        <f>D11/H11</f>
        <v>0.19148936170212766</v>
      </c>
      <c r="M19" s="48">
        <f>E11/H11</f>
        <v>0.20212765957446807</v>
      </c>
      <c r="N19" s="48">
        <f>F11/H11</f>
        <v>0.21276595744680851</v>
      </c>
      <c r="O19" s="49">
        <f>G11/H11</f>
        <v>0.22340425531914893</v>
      </c>
      <c r="P19" s="23"/>
      <c r="AD19" s="64" t="s">
        <v>3</v>
      </c>
      <c r="AE19" s="43" t="s">
        <v>24</v>
      </c>
      <c r="AF19" s="70" t="s">
        <v>25</v>
      </c>
      <c r="AG19" s="70" t="s">
        <v>26</v>
      </c>
      <c r="AH19" s="70" t="s">
        <v>27</v>
      </c>
      <c r="AI19" s="71" t="s">
        <v>28</v>
      </c>
      <c r="AJ19" s="65"/>
      <c r="AK19" s="10"/>
      <c r="AL19" s="72" t="s">
        <v>3</v>
      </c>
      <c r="AM19" s="50">
        <f>AE11/AJ11</f>
        <v>0.15625</v>
      </c>
      <c r="AN19" s="48">
        <f>AF11/AJ11</f>
        <v>0.1875</v>
      </c>
      <c r="AO19" s="48">
        <f>AG11/AJ11</f>
        <v>0.203125</v>
      </c>
      <c r="AP19" s="48">
        <f>AH11/AJ11</f>
        <v>0.21875</v>
      </c>
      <c r="AQ19" s="49">
        <f>AI11/AJ11</f>
        <v>0.234375</v>
      </c>
      <c r="AR19" s="23"/>
      <c r="BF19" s="64" t="s">
        <v>3</v>
      </c>
      <c r="BG19" s="43" t="s">
        <v>24</v>
      </c>
      <c r="BH19" s="70" t="s">
        <v>25</v>
      </c>
      <c r="BI19" s="70" t="s">
        <v>26</v>
      </c>
      <c r="BJ19" s="70" t="s">
        <v>27</v>
      </c>
      <c r="BK19" s="71" t="s">
        <v>28</v>
      </c>
      <c r="BL19" s="65"/>
      <c r="BM19" s="10"/>
      <c r="BN19" s="72" t="s">
        <v>3</v>
      </c>
      <c r="BO19" s="50">
        <f>BG11/BL11</f>
        <v>0.10344827586206896</v>
      </c>
      <c r="BP19" s="48">
        <f>BH11/BL11</f>
        <v>0.17241379310344829</v>
      </c>
      <c r="BQ19" s="48">
        <f>BI11/BL11</f>
        <v>0.20689655172413793</v>
      </c>
      <c r="BR19" s="48">
        <f>BJ11/BL11</f>
        <v>0.2413793103448276</v>
      </c>
      <c r="BS19" s="49">
        <f>BK11/BL11</f>
        <v>0.27586206896551724</v>
      </c>
      <c r="BT19" s="23"/>
      <c r="CH19" s="64" t="s">
        <v>3</v>
      </c>
      <c r="CI19" s="43" t="s">
        <v>24</v>
      </c>
      <c r="CJ19" s="70" t="s">
        <v>25</v>
      </c>
      <c r="CK19" s="70" t="s">
        <v>26</v>
      </c>
      <c r="CL19" s="70" t="s">
        <v>27</v>
      </c>
      <c r="CM19" s="71" t="s">
        <v>28</v>
      </c>
      <c r="CN19" s="65"/>
      <c r="CO19" s="10"/>
      <c r="CP19" s="72" t="s">
        <v>3</v>
      </c>
      <c r="CQ19" s="50">
        <f>CI11/CN11</f>
        <v>0.16853932584269662</v>
      </c>
      <c r="CR19" s="48">
        <f>CJ11/CN11</f>
        <v>0.19101123595505617</v>
      </c>
      <c r="CS19" s="48">
        <f>CK11/CN11</f>
        <v>0.20224719101123595</v>
      </c>
      <c r="CT19" s="48">
        <f>CL11/CN11</f>
        <v>0.21348314606741572</v>
      </c>
      <c r="CU19" s="49">
        <f>CM11/CN11</f>
        <v>0.2247191011235955</v>
      </c>
      <c r="CV19" s="23"/>
      <c r="DJ19" s="64" t="s">
        <v>3</v>
      </c>
      <c r="DK19" s="43" t="s">
        <v>24</v>
      </c>
      <c r="DL19" s="70" t="s">
        <v>25</v>
      </c>
      <c r="DM19" s="70" t="s">
        <v>26</v>
      </c>
      <c r="DN19" s="70" t="s">
        <v>27</v>
      </c>
      <c r="DO19" s="71" t="s">
        <v>28</v>
      </c>
      <c r="DP19" s="65"/>
      <c r="DQ19" s="10"/>
      <c r="DR19" s="72" t="s">
        <v>3</v>
      </c>
      <c r="DS19" s="50">
        <f>DK11/DP11</f>
        <v>0.16455696202531644</v>
      </c>
      <c r="DT19" s="48">
        <f>DL11/DP11</f>
        <v>0.189873417721519</v>
      </c>
      <c r="DU19" s="48">
        <f>DM11/DP11</f>
        <v>0.20253164556962025</v>
      </c>
      <c r="DV19" s="48">
        <f>DN11/DP11</f>
        <v>0.21518987341772153</v>
      </c>
      <c r="DW19" s="49">
        <f>DO11/DP11</f>
        <v>0.22784810126582278</v>
      </c>
      <c r="DX19" s="23"/>
    </row>
    <row r="20" spans="2:140" ht="15" thickBot="1" x14ac:dyDescent="0.25">
      <c r="B20" s="73"/>
      <c r="C20" s="74"/>
      <c r="D20" s="74"/>
      <c r="E20" s="74"/>
      <c r="F20" s="74"/>
      <c r="G20" s="74"/>
      <c r="H20" s="75"/>
      <c r="I20" s="10"/>
      <c r="AD20" s="73"/>
      <c r="AE20" s="74"/>
      <c r="AF20" s="74"/>
      <c r="AG20" s="74"/>
      <c r="AH20" s="74"/>
      <c r="AI20" s="74"/>
      <c r="AJ20" s="75"/>
      <c r="AK20" s="10"/>
      <c r="BF20" s="73"/>
      <c r="BG20" s="74"/>
      <c r="BH20" s="74"/>
      <c r="BI20" s="74"/>
      <c r="BJ20" s="74"/>
      <c r="BK20" s="74"/>
      <c r="BL20" s="75"/>
      <c r="BM20" s="10"/>
      <c r="CH20" s="73"/>
      <c r="CI20" s="74"/>
      <c r="CJ20" s="74"/>
      <c r="CK20" s="74"/>
      <c r="CL20" s="74"/>
      <c r="CM20" s="74"/>
      <c r="CN20" s="75"/>
      <c r="CO20" s="10"/>
      <c r="DJ20" s="73"/>
      <c r="DK20" s="74"/>
      <c r="DL20" s="74"/>
      <c r="DM20" s="74"/>
      <c r="DN20" s="74"/>
      <c r="DO20" s="74"/>
      <c r="DP20" s="75"/>
      <c r="DQ20" s="10"/>
    </row>
    <row r="21" spans="2:140" ht="15" thickBot="1" x14ac:dyDescent="0.25">
      <c r="B21" s="10"/>
      <c r="C21" s="10"/>
      <c r="D21" s="10"/>
      <c r="E21" s="10"/>
      <c r="F21" s="10"/>
      <c r="G21" s="10"/>
      <c r="H21" s="10"/>
      <c r="I21" s="10"/>
      <c r="K21" s="10"/>
      <c r="L21" s="10"/>
      <c r="M21" s="10"/>
      <c r="N21" s="10"/>
      <c r="O21" s="10" t="s">
        <v>580</v>
      </c>
      <c r="P21" s="10"/>
      <c r="Q21" s="76" t="s">
        <v>30</v>
      </c>
      <c r="R21" s="76" t="s">
        <v>31</v>
      </c>
      <c r="S21" s="76" t="s">
        <v>32</v>
      </c>
      <c r="T21" s="76" t="s">
        <v>33</v>
      </c>
      <c r="U21" s="76" t="s">
        <v>34</v>
      </c>
      <c r="W21" s="170" t="s">
        <v>53</v>
      </c>
      <c r="X21" s="169"/>
      <c r="Y21" s="169"/>
      <c r="Z21" s="169"/>
      <c r="AA21" s="169"/>
      <c r="AB21" s="169"/>
      <c r="AD21" s="10"/>
      <c r="AE21" s="10"/>
      <c r="AF21" s="10"/>
      <c r="AG21" s="10"/>
      <c r="AH21" s="10"/>
      <c r="AI21" s="10"/>
      <c r="AJ21" s="10"/>
      <c r="AK21" s="10"/>
      <c r="AM21" s="10"/>
      <c r="AN21" s="10"/>
      <c r="AO21" s="10"/>
      <c r="AP21" s="10"/>
      <c r="AQ21" s="10" t="s">
        <v>580</v>
      </c>
      <c r="AR21" s="10"/>
      <c r="AS21" s="76" t="s">
        <v>30</v>
      </c>
      <c r="AT21" s="76" t="s">
        <v>31</v>
      </c>
      <c r="AU21" s="76" t="s">
        <v>32</v>
      </c>
      <c r="AV21" s="76" t="s">
        <v>33</v>
      </c>
      <c r="AW21" s="76" t="s">
        <v>34</v>
      </c>
      <c r="AY21" s="170" t="s">
        <v>79</v>
      </c>
      <c r="AZ21" s="171"/>
      <c r="BA21" s="171"/>
      <c r="BB21" s="171"/>
      <c r="BC21" s="171"/>
      <c r="BD21" s="171"/>
      <c r="BF21" s="10"/>
      <c r="BG21" s="10"/>
      <c r="BH21" s="10"/>
      <c r="BI21" s="10"/>
      <c r="BJ21" s="10"/>
      <c r="BK21" s="10"/>
      <c r="BL21" s="10"/>
      <c r="BM21" s="10"/>
      <c r="BO21" s="10"/>
      <c r="BP21" s="10"/>
      <c r="BQ21" s="10"/>
      <c r="BR21" s="10"/>
      <c r="BS21" s="10" t="s">
        <v>580</v>
      </c>
      <c r="BT21" s="10"/>
      <c r="BU21" s="76" t="s">
        <v>30</v>
      </c>
      <c r="BV21" s="76" t="s">
        <v>31</v>
      </c>
      <c r="BW21" s="76" t="s">
        <v>32</v>
      </c>
      <c r="BX21" s="76" t="s">
        <v>33</v>
      </c>
      <c r="BY21" s="76" t="s">
        <v>34</v>
      </c>
      <c r="CA21" s="170" t="s">
        <v>83</v>
      </c>
      <c r="CB21" s="171"/>
      <c r="CC21" s="171"/>
      <c r="CD21" s="171"/>
      <c r="CE21" s="171"/>
      <c r="CF21" s="171"/>
      <c r="CH21" s="10"/>
      <c r="CI21" s="10"/>
      <c r="CJ21" s="10"/>
      <c r="CK21" s="10"/>
      <c r="CL21" s="10"/>
      <c r="CM21" s="10"/>
      <c r="CN21" s="10"/>
      <c r="CO21" s="10"/>
      <c r="CQ21" s="10"/>
      <c r="CR21" s="10"/>
      <c r="CS21" s="10"/>
      <c r="CT21" s="10"/>
      <c r="CU21" s="10" t="s">
        <v>580</v>
      </c>
      <c r="CV21" s="10"/>
      <c r="CW21" s="76" t="s">
        <v>30</v>
      </c>
      <c r="CX21" s="76" t="s">
        <v>31</v>
      </c>
      <c r="CY21" s="76" t="s">
        <v>32</v>
      </c>
      <c r="CZ21" s="76" t="s">
        <v>33</v>
      </c>
      <c r="DA21" s="76" t="s">
        <v>34</v>
      </c>
      <c r="DC21" s="170" t="s">
        <v>98</v>
      </c>
      <c r="DD21" s="171"/>
      <c r="DE21" s="171"/>
      <c r="DF21" s="171"/>
      <c r="DG21" s="171"/>
      <c r="DH21" s="171"/>
      <c r="DJ21" s="10"/>
      <c r="DK21" s="10"/>
      <c r="DL21" s="10"/>
      <c r="DM21" s="10"/>
      <c r="DN21" s="10"/>
      <c r="DO21" s="10"/>
      <c r="DP21" s="10"/>
      <c r="DQ21" s="10"/>
      <c r="DS21" s="10"/>
      <c r="DT21" s="10"/>
      <c r="DU21" s="10"/>
      <c r="DV21" s="10"/>
      <c r="DW21" s="10" t="s">
        <v>580</v>
      </c>
      <c r="DX21" s="10"/>
      <c r="DY21" s="76" t="s">
        <v>30</v>
      </c>
      <c r="DZ21" s="76" t="s">
        <v>31</v>
      </c>
      <c r="EA21" s="76" t="s">
        <v>32</v>
      </c>
      <c r="EB21" s="76" t="s">
        <v>33</v>
      </c>
      <c r="EC21" s="76" t="s">
        <v>34</v>
      </c>
      <c r="EE21" s="170" t="s">
        <v>113</v>
      </c>
      <c r="EF21" s="171"/>
      <c r="EG21" s="171"/>
      <c r="EH21" s="171"/>
      <c r="EI21" s="171"/>
      <c r="EJ21" s="171"/>
    </row>
    <row r="22" spans="2:140" ht="15" thickBot="1" x14ac:dyDescent="0.25">
      <c r="B22" s="10"/>
      <c r="C22" s="10"/>
      <c r="D22" s="10"/>
      <c r="E22" s="10"/>
      <c r="F22" s="10"/>
      <c r="G22" s="10"/>
      <c r="H22" s="10"/>
      <c r="I22" s="10"/>
      <c r="J22" s="838" t="s">
        <v>35</v>
      </c>
      <c r="K22" s="839"/>
      <c r="L22" s="77" t="s">
        <v>36</v>
      </c>
      <c r="M22" s="78" t="s">
        <v>11</v>
      </c>
      <c r="N22" s="79" t="s">
        <v>37</v>
      </c>
      <c r="O22" s="80" t="s">
        <v>38</v>
      </c>
      <c r="P22" s="10"/>
      <c r="Q22" s="81">
        <f>K7</f>
        <v>0.36231884057971014</v>
      </c>
      <c r="R22" s="82">
        <f>K8</f>
        <v>0.13043478260869565</v>
      </c>
      <c r="S22" s="82">
        <f>K9</f>
        <v>0.15942028985507245</v>
      </c>
      <c r="T22" s="82">
        <f>K10</f>
        <v>0.11594202898550725</v>
      </c>
      <c r="U22" s="83">
        <f>K11</f>
        <v>0.2318840579710145</v>
      </c>
      <c r="V22" s="84">
        <f>SUM(Q22:U22)</f>
        <v>1</v>
      </c>
      <c r="W22" s="165" t="s">
        <v>37</v>
      </c>
      <c r="X22" s="379" t="s">
        <v>30</v>
      </c>
      <c r="Y22" s="380" t="s">
        <v>31</v>
      </c>
      <c r="Z22" s="380" t="s">
        <v>32</v>
      </c>
      <c r="AA22" s="380" t="s">
        <v>33</v>
      </c>
      <c r="AB22" s="381" t="s">
        <v>34</v>
      </c>
      <c r="AD22" s="10"/>
      <c r="AE22" s="10"/>
      <c r="AF22" s="10"/>
      <c r="AG22" s="10"/>
      <c r="AH22" s="10"/>
      <c r="AI22" s="10"/>
      <c r="AJ22" s="10"/>
      <c r="AK22" s="10"/>
      <c r="AL22" s="838" t="s">
        <v>35</v>
      </c>
      <c r="AM22" s="839"/>
      <c r="AN22" s="77" t="s">
        <v>36</v>
      </c>
      <c r="AO22" s="78" t="s">
        <v>11</v>
      </c>
      <c r="AP22" s="79" t="s">
        <v>37</v>
      </c>
      <c r="AQ22" s="80" t="s">
        <v>38</v>
      </c>
      <c r="AR22" s="10"/>
      <c r="AS22" s="81">
        <f>AN7</f>
        <v>0.3048780487804878</v>
      </c>
      <c r="AT22" s="82">
        <f>AN8</f>
        <v>0.25609756097560976</v>
      </c>
      <c r="AU22" s="82">
        <f>AN9</f>
        <v>1.2195121951219513E-2</v>
      </c>
      <c r="AV22" s="82">
        <f>AN10</f>
        <v>0.28048780487804881</v>
      </c>
      <c r="AW22" s="83">
        <f>AN11</f>
        <v>0.14634146341463414</v>
      </c>
      <c r="AX22" s="84">
        <f>SUM(AS22:AW22)</f>
        <v>1</v>
      </c>
      <c r="AY22" s="198" t="s">
        <v>37</v>
      </c>
      <c r="AZ22" s="194" t="s">
        <v>30</v>
      </c>
      <c r="BA22" s="195" t="s">
        <v>31</v>
      </c>
      <c r="BB22" s="195" t="s">
        <v>32</v>
      </c>
      <c r="BC22" s="195" t="s">
        <v>33</v>
      </c>
      <c r="BD22" s="196" t="s">
        <v>34</v>
      </c>
      <c r="BF22" s="10"/>
      <c r="BG22" s="10"/>
      <c r="BH22" s="10"/>
      <c r="BI22" s="10"/>
      <c r="BJ22" s="10"/>
      <c r="BK22" s="10"/>
      <c r="BL22" s="10"/>
      <c r="BM22" s="10"/>
      <c r="BN22" s="838" t="s">
        <v>35</v>
      </c>
      <c r="BO22" s="839"/>
      <c r="BP22" s="77" t="s">
        <v>36</v>
      </c>
      <c r="BQ22" s="78" t="s">
        <v>11</v>
      </c>
      <c r="BR22" s="79" t="s">
        <v>37</v>
      </c>
      <c r="BS22" s="80" t="s">
        <v>38</v>
      </c>
      <c r="BT22" s="10"/>
      <c r="BU22" s="81">
        <f>BP7</f>
        <v>0.25</v>
      </c>
      <c r="BV22" s="82">
        <f>BP8</f>
        <v>0.19444444444444445</v>
      </c>
      <c r="BW22" s="82">
        <f>BP9</f>
        <v>0.2638888888888889</v>
      </c>
      <c r="BX22" s="82">
        <f>BP10</f>
        <v>0.22222222222222221</v>
      </c>
      <c r="BY22" s="83">
        <f>BP11</f>
        <v>6.9444444444444448E-2</v>
      </c>
      <c r="BZ22" s="84">
        <f>SUM(BU22:BY22)</f>
        <v>0.99999999999999989</v>
      </c>
      <c r="CA22" s="198" t="s">
        <v>37</v>
      </c>
      <c r="CB22" s="194" t="s">
        <v>30</v>
      </c>
      <c r="CC22" s="195" t="s">
        <v>31</v>
      </c>
      <c r="CD22" s="195" t="s">
        <v>32</v>
      </c>
      <c r="CE22" s="195" t="s">
        <v>33</v>
      </c>
      <c r="CF22" s="196" t="s">
        <v>34</v>
      </c>
      <c r="CH22" s="10"/>
      <c r="CI22" s="10"/>
      <c r="CJ22" s="10"/>
      <c r="CK22" s="10"/>
      <c r="CL22" s="10"/>
      <c r="CM22" s="10"/>
      <c r="CN22" s="10"/>
      <c r="CO22" s="10"/>
      <c r="CP22" s="838" t="s">
        <v>35</v>
      </c>
      <c r="CQ22" s="839"/>
      <c r="CR22" s="77" t="s">
        <v>36</v>
      </c>
      <c r="CS22" s="78" t="s">
        <v>11</v>
      </c>
      <c r="CT22" s="79" t="s">
        <v>37</v>
      </c>
      <c r="CU22" s="80" t="s">
        <v>38</v>
      </c>
      <c r="CV22" s="10"/>
      <c r="CW22" s="81">
        <f>CR7</f>
        <v>0.15625</v>
      </c>
      <c r="CX22" s="82">
        <f>CR8</f>
        <v>3.125E-2</v>
      </c>
      <c r="CY22" s="82">
        <f>CR9</f>
        <v>0.1875</v>
      </c>
      <c r="CZ22" s="82">
        <f>CR10</f>
        <v>9.375E-2</v>
      </c>
      <c r="DA22" s="83">
        <f>CR11</f>
        <v>0.53125</v>
      </c>
      <c r="DB22" s="84">
        <f>SUM(CW22:DA22)</f>
        <v>1</v>
      </c>
      <c r="DC22" s="198" t="s">
        <v>37</v>
      </c>
      <c r="DD22" s="194" t="s">
        <v>30</v>
      </c>
      <c r="DE22" s="195" t="s">
        <v>31</v>
      </c>
      <c r="DF22" s="195" t="s">
        <v>32</v>
      </c>
      <c r="DG22" s="195" t="s">
        <v>33</v>
      </c>
      <c r="DH22" s="196" t="s">
        <v>34</v>
      </c>
      <c r="DJ22" s="10"/>
      <c r="DK22" s="10"/>
      <c r="DL22" s="10"/>
      <c r="DM22" s="10"/>
      <c r="DN22" s="10"/>
      <c r="DO22" s="10"/>
      <c r="DP22" s="10"/>
      <c r="DQ22" s="10"/>
      <c r="DR22" s="838" t="s">
        <v>35</v>
      </c>
      <c r="DS22" s="840"/>
      <c r="DT22" s="77" t="s">
        <v>36</v>
      </c>
      <c r="DU22" s="153" t="s">
        <v>11</v>
      </c>
      <c r="DV22" s="79" t="s">
        <v>37</v>
      </c>
      <c r="DW22" s="80" t="s">
        <v>38</v>
      </c>
      <c r="DX22" s="10"/>
      <c r="DY22" s="81">
        <f>DT7</f>
        <v>6.3829787234042548E-2</v>
      </c>
      <c r="DZ22" s="82">
        <f>DT8</f>
        <v>0.51063829787234039</v>
      </c>
      <c r="EA22" s="82">
        <f>DT9</f>
        <v>8.5106382978723402E-2</v>
      </c>
      <c r="EB22" s="82">
        <f>DT10</f>
        <v>2.1276595744680851E-2</v>
      </c>
      <c r="EC22" s="83">
        <f>DT11</f>
        <v>0.31914893617021278</v>
      </c>
      <c r="ED22" s="84">
        <f>SUM(DY22:EC22)</f>
        <v>1</v>
      </c>
      <c r="EE22" s="198" t="s">
        <v>37</v>
      </c>
      <c r="EF22" s="194" t="s">
        <v>30</v>
      </c>
      <c r="EG22" s="195" t="s">
        <v>31</v>
      </c>
      <c r="EH22" s="195" t="s">
        <v>32</v>
      </c>
      <c r="EI22" s="195" t="s">
        <v>33</v>
      </c>
      <c r="EJ22" s="196" t="s">
        <v>34</v>
      </c>
    </row>
    <row r="23" spans="2:140" x14ac:dyDescent="0.2">
      <c r="B23" s="10"/>
      <c r="C23" s="10"/>
      <c r="D23" s="10"/>
      <c r="E23" s="86" t="s">
        <v>39</v>
      </c>
      <c r="F23" s="10"/>
      <c r="G23" s="10"/>
      <c r="H23" s="10"/>
      <c r="I23" s="10"/>
      <c r="J23" s="87" t="s">
        <v>14</v>
      </c>
      <c r="K23" s="26">
        <v>9</v>
      </c>
      <c r="L23" s="464">
        <f>'Success Rate'!$E$22</f>
        <v>1</v>
      </c>
      <c r="N23" s="88">
        <v>1</v>
      </c>
      <c r="O23" s="89">
        <v>7</v>
      </c>
      <c r="P23" s="90"/>
      <c r="Q23" s="91">
        <f>O23/(L23-Q22)</f>
        <v>10.977272727272728</v>
      </c>
      <c r="R23" s="92">
        <f>O23/(L23-R22)</f>
        <v>8.0500000000000007</v>
      </c>
      <c r="S23" s="92">
        <f>O23/(L23-S22)</f>
        <v>8.3275862068965516</v>
      </c>
      <c r="T23" s="92">
        <f>O23/(L23-T22)</f>
        <v>7.9180327868852451</v>
      </c>
      <c r="U23" s="93">
        <f>O23/(L23-U22)</f>
        <v>9.1132075471698109</v>
      </c>
      <c r="W23" s="88">
        <v>1</v>
      </c>
      <c r="X23" s="24">
        <f>(Q23/Q35*100+Q38)*L23</f>
        <v>9.3786231884057969</v>
      </c>
      <c r="Y23" s="205">
        <f>(R23/R35*100+R38)*L23</f>
        <v>8.434523809523812</v>
      </c>
      <c r="Z23" s="205">
        <f>(S23/S35*100+S38)*L23</f>
        <v>8.6630952380952362</v>
      </c>
      <c r="AA23" s="205">
        <f>(T23/T35*100+T38)*L23</f>
        <v>8.3129432624113466</v>
      </c>
      <c r="AB23" s="382">
        <f>(U23/U35*100+U38)*L23</f>
        <v>8.3583333333333325</v>
      </c>
      <c r="AD23" s="10"/>
      <c r="AE23" s="10"/>
      <c r="AF23" s="10"/>
      <c r="AG23" s="86" t="s">
        <v>39</v>
      </c>
      <c r="AH23" s="10"/>
      <c r="AI23" s="10"/>
      <c r="AJ23" s="10"/>
      <c r="AK23" s="10"/>
      <c r="AL23" s="87" t="s">
        <v>14</v>
      </c>
      <c r="AM23" s="94">
        <v>3</v>
      </c>
      <c r="AN23" s="464">
        <f>'Success Rate'!$E$22</f>
        <v>1</v>
      </c>
      <c r="AP23" s="88">
        <v>1</v>
      </c>
      <c r="AQ23" s="89">
        <v>7</v>
      </c>
      <c r="AR23" s="90"/>
      <c r="AS23" s="91">
        <f>AQ23/(AN23-AS22)</f>
        <v>10.070175438596491</v>
      </c>
      <c r="AT23" s="92">
        <f>AQ23/(AN23-AT22)</f>
        <v>9.4098360655737707</v>
      </c>
      <c r="AU23" s="92">
        <f>AQ23/(AN23-AU22)</f>
        <v>7.0864197530864201</v>
      </c>
      <c r="AV23" s="92">
        <f>AQ23/(AN23-AV22)</f>
        <v>9.7288135593220346</v>
      </c>
      <c r="AW23" s="93">
        <f>AQ23/(AN23-AW22)</f>
        <v>8.2000000000000011</v>
      </c>
      <c r="AY23" s="199">
        <v>1</v>
      </c>
      <c r="AZ23" s="24">
        <f>(AS23/AS35*100+AS38)*AN23</f>
        <v>12.318693693693694</v>
      </c>
      <c r="BA23" s="205">
        <f>(AT23/AT35*100+AT38)*AN23</f>
        <v>12.762254901960784</v>
      </c>
      <c r="BB23" s="205">
        <f>(AU23/AU35*100+AU38)*AN23</f>
        <v>11.617248062015506</v>
      </c>
      <c r="BC23" s="205">
        <f>(AV23/AV35*100+AV38)*AN23</f>
        <v>12.387557077625573</v>
      </c>
      <c r="BD23" s="382">
        <f>(AW23/AW35*100+AW38)*AN23</f>
        <v>12.531103286384976</v>
      </c>
      <c r="BF23" s="10"/>
      <c r="BG23" s="10"/>
      <c r="BH23" s="10"/>
      <c r="BI23" s="86" t="s">
        <v>39</v>
      </c>
      <c r="BJ23" s="10"/>
      <c r="BK23" s="10"/>
      <c r="BL23" s="10"/>
      <c r="BM23" s="10"/>
      <c r="BN23" s="87" t="s">
        <v>14</v>
      </c>
      <c r="BO23" s="94">
        <v>21</v>
      </c>
      <c r="BP23" s="464">
        <f>'Success Rate'!$E$22</f>
        <v>1</v>
      </c>
      <c r="BR23" s="88">
        <v>1</v>
      </c>
      <c r="BS23" s="89">
        <v>7</v>
      </c>
      <c r="BT23" s="90"/>
      <c r="BU23" s="91">
        <f>BS23/(BP23-BU22)</f>
        <v>9.3333333333333339</v>
      </c>
      <c r="BV23" s="92">
        <f>BS23/(BP23-BV22)</f>
        <v>8.6896551724137936</v>
      </c>
      <c r="BW23" s="92">
        <f>BS23/(BP23-BW22)</f>
        <v>9.5094339622641506</v>
      </c>
      <c r="BX23" s="92">
        <f>BS23/(BP23-BX22)</f>
        <v>9</v>
      </c>
      <c r="BY23" s="93">
        <f>BS23/(BP23-BY22)</f>
        <v>7.522388059701492</v>
      </c>
      <c r="CA23" s="207">
        <v>1</v>
      </c>
      <c r="CB23" s="24">
        <f>(BU23/BU35*100+BU38)*BP23</f>
        <v>9.6296948356807519</v>
      </c>
      <c r="CC23" s="205">
        <f>(BV23/BV35*100+BV38)*BP23</f>
        <v>9.8455128205128215</v>
      </c>
      <c r="CD23" s="205">
        <f>(BW23/BW35*100+BW38)*BP23</f>
        <v>10.15373563218391</v>
      </c>
      <c r="CE23" s="205">
        <f>(BX23/BX35*100+BX38)*BP23</f>
        <v>9.663095238095238</v>
      </c>
      <c r="CF23" s="382">
        <f>(BY23/BY35*100+BY38)*BP23</f>
        <v>9.7328431372549016</v>
      </c>
      <c r="CH23" s="10"/>
      <c r="CI23" s="10"/>
      <c r="CJ23" s="10"/>
      <c r="CK23" s="86" t="s">
        <v>39</v>
      </c>
      <c r="CL23" s="10"/>
      <c r="CM23" s="10"/>
      <c r="CN23" s="10"/>
      <c r="CO23" s="10"/>
      <c r="CP23" s="87" t="s">
        <v>14</v>
      </c>
      <c r="CQ23" s="94">
        <v>8</v>
      </c>
      <c r="CR23" s="464">
        <f>'Success Rate'!$E$22</f>
        <v>1</v>
      </c>
      <c r="CT23" s="88">
        <v>1</v>
      </c>
      <c r="CU23" s="89">
        <v>7</v>
      </c>
      <c r="CV23" s="90"/>
      <c r="CW23" s="91">
        <f>CU23/(CR23-CW22)</f>
        <v>8.2962962962962958</v>
      </c>
      <c r="CX23" s="92">
        <f>CU23/(CR23-CX22)</f>
        <v>7.225806451612903</v>
      </c>
      <c r="CY23" s="92">
        <f>CU23/(CR23-CY22)</f>
        <v>8.615384615384615</v>
      </c>
      <c r="CZ23" s="92">
        <f>CU23/(CR23-CZ22)</f>
        <v>7.7241379310344831</v>
      </c>
      <c r="DA23" s="93">
        <f>CU23/(CR23-DA22)</f>
        <v>14.933333333333334</v>
      </c>
      <c r="DC23" s="207">
        <v>1</v>
      </c>
      <c r="DD23" s="24">
        <f>(CW23/CW35*100+CW38)*CR23</f>
        <v>19.655303030303031</v>
      </c>
      <c r="DE23" s="205">
        <f>(CX23/CX35*100+CX38)*CR23</f>
        <v>15.926587301587301</v>
      </c>
      <c r="DF23" s="205">
        <f>(CY23/CY35*100+CY38)*CR23</f>
        <v>17.00595238095238</v>
      </c>
      <c r="DG23" s="205">
        <f>(CZ23/CZ35*100+CZ38)*CR23</f>
        <v>19.942829457364343</v>
      </c>
      <c r="DH23" s="382">
        <f>(DA23/DA35*100+DA38)*CR23</f>
        <v>15.53409090909091</v>
      </c>
      <c r="DJ23" s="10"/>
      <c r="DK23" s="10"/>
      <c r="DL23" s="10"/>
      <c r="DM23" s="86" t="s">
        <v>39</v>
      </c>
      <c r="DN23" s="10"/>
      <c r="DO23" s="10"/>
      <c r="DP23" s="10"/>
      <c r="DQ23" s="10"/>
      <c r="DR23" s="87" t="s">
        <v>14</v>
      </c>
      <c r="DS23" s="94">
        <v>6</v>
      </c>
      <c r="DT23" s="464">
        <f>'Success Rate'!$E$22</f>
        <v>1</v>
      </c>
      <c r="DV23" s="88">
        <v>1</v>
      </c>
      <c r="DW23" s="89">
        <v>7</v>
      </c>
      <c r="DX23" s="90"/>
      <c r="DY23" s="91">
        <f>DW23/(DT23-DY22)</f>
        <v>7.4772727272727275</v>
      </c>
      <c r="DZ23" s="92">
        <f>DW23/(DT23-DZ22)</f>
        <v>14.304347826086955</v>
      </c>
      <c r="EA23" s="92">
        <f>DW23/(DT23-EA22)</f>
        <v>7.6511627906976747</v>
      </c>
      <c r="EB23" s="92">
        <f>DW23/(DT23-EB22)</f>
        <v>7.1521739130434785</v>
      </c>
      <c r="EC23" s="93">
        <f>DW23/(DT23-EC22)</f>
        <v>10.28125</v>
      </c>
      <c r="EE23" s="207">
        <v>1</v>
      </c>
      <c r="EF23" s="24">
        <f>(DY23/DY35*100+DY38)*DT23</f>
        <v>14.094945355191257</v>
      </c>
      <c r="EG23" s="205">
        <f>(DZ23/DZ35*100+DZ38)*DT23</f>
        <v>12.479166666666666</v>
      </c>
      <c r="EH23" s="205">
        <f>(EA23/EA35*100+EA38)*DT23</f>
        <v>12.976598173515981</v>
      </c>
      <c r="EI23" s="205">
        <f>(EB23/EB35*100+EB38)*DT23</f>
        <v>14.208333333333332</v>
      </c>
      <c r="EJ23" s="382">
        <f>(EC23/EC35*100+EC38)*DT23</f>
        <v>14.446839080459771</v>
      </c>
    </row>
    <row r="24" spans="2:140" x14ac:dyDescent="0.2">
      <c r="B24" s="10"/>
      <c r="C24" s="10"/>
      <c r="D24" s="10"/>
      <c r="E24" s="86" t="s">
        <v>39</v>
      </c>
      <c r="F24" s="10"/>
      <c r="G24" s="10"/>
      <c r="H24" s="10"/>
      <c r="I24" s="10"/>
      <c r="J24" s="96" t="s">
        <v>20</v>
      </c>
      <c r="K24" s="97">
        <v>10</v>
      </c>
      <c r="L24" s="465">
        <f>L23</f>
        <v>1</v>
      </c>
      <c r="N24" s="88">
        <v>2</v>
      </c>
      <c r="O24" s="95">
        <v>8</v>
      </c>
      <c r="P24" s="90"/>
      <c r="Q24" s="99">
        <f>O24/(L24-Q22)</f>
        <v>12.545454545454547</v>
      </c>
      <c r="R24" s="100">
        <f>O24/(L24-R22)</f>
        <v>9.2000000000000011</v>
      </c>
      <c r="S24" s="100">
        <f>O24/(L24-S22)</f>
        <v>9.5172413793103452</v>
      </c>
      <c r="T24" s="100">
        <f>O24/(L24-T22)</f>
        <v>9.0491803278688518</v>
      </c>
      <c r="U24" s="100">
        <f>O24/(L24-U22)</f>
        <v>10.415094339622643</v>
      </c>
      <c r="W24" s="88">
        <v>2</v>
      </c>
      <c r="X24" s="32">
        <f>(Q24/Q35*100+Q39)*L24</f>
        <v>16.681159420289852</v>
      </c>
      <c r="Y24" s="202">
        <f>(R24/R35*100+R39)*L24</f>
        <v>12.904761904761905</v>
      </c>
      <c r="Z24" s="202">
        <f>(S24/S35*100+S39)*L24</f>
        <v>13.819047619047616</v>
      </c>
      <c r="AA24" s="202">
        <f>(T24/T35*100+T39)*L24</f>
        <v>12.418439716312056</v>
      </c>
      <c r="AB24" s="383">
        <f>(U24/U35*100+U39)*L24</f>
        <v>12.600000000000001</v>
      </c>
      <c r="AD24" s="10"/>
      <c r="AE24" s="10"/>
      <c r="AF24" s="10"/>
      <c r="AG24" s="86" t="s">
        <v>39</v>
      </c>
      <c r="AH24" s="10"/>
      <c r="AI24" s="10"/>
      <c r="AJ24" s="10"/>
      <c r="AK24" s="10"/>
      <c r="AL24" s="96" t="s">
        <v>20</v>
      </c>
      <c r="AM24" s="101">
        <v>4</v>
      </c>
      <c r="AN24" s="465">
        <f>AN23</f>
        <v>1</v>
      </c>
      <c r="AP24" s="88">
        <v>2</v>
      </c>
      <c r="AQ24" s="95">
        <v>8</v>
      </c>
      <c r="AR24" s="90"/>
      <c r="AS24" s="99">
        <f>AQ24/(AN24-AS22)</f>
        <v>11.508771929824562</v>
      </c>
      <c r="AT24" s="100">
        <f>AQ24/(AN24-AT22)</f>
        <v>10.754098360655737</v>
      </c>
      <c r="AU24" s="100">
        <f>AQ24/(AN24-AU22)</f>
        <v>8.0987654320987659</v>
      </c>
      <c r="AV24" s="100">
        <f>AQ24/(AN24-AV22)</f>
        <v>11.118644067796611</v>
      </c>
      <c r="AW24" s="100">
        <f>AQ24/(AN24-AW22)</f>
        <v>9.3714285714285719</v>
      </c>
      <c r="AY24" s="200">
        <v>2</v>
      </c>
      <c r="AZ24" s="32">
        <f>(AS24/AS35*100+AS39)*AN24</f>
        <v>10.846846846846846</v>
      </c>
      <c r="BA24" s="202">
        <f>(AT24/AT35*100+AT39)*AN24</f>
        <v>11.068627450980394</v>
      </c>
      <c r="BB24" s="202">
        <f>(AU24/AU35*100+AU39)*AN24</f>
        <v>10.496124031007753</v>
      </c>
      <c r="BC24" s="202">
        <f>(AV24/AV35*100+AV39)*AN24</f>
        <v>10.881278538812786</v>
      </c>
      <c r="BD24" s="383">
        <f>(AW24/AW35*100+AW39)*AN24</f>
        <v>10.953051643192488</v>
      </c>
      <c r="BF24" s="10"/>
      <c r="BG24" s="10"/>
      <c r="BH24" s="10"/>
      <c r="BI24" s="86" t="s">
        <v>39</v>
      </c>
      <c r="BJ24" s="10"/>
      <c r="BK24" s="10"/>
      <c r="BL24" s="10"/>
      <c r="BM24" s="10"/>
      <c r="BN24" s="96" t="s">
        <v>20</v>
      </c>
      <c r="BO24" s="101">
        <v>22</v>
      </c>
      <c r="BP24" s="465">
        <f>BP23</f>
        <v>1</v>
      </c>
      <c r="BR24" s="88">
        <v>2</v>
      </c>
      <c r="BS24" s="95">
        <v>8</v>
      </c>
      <c r="BT24" s="90"/>
      <c r="BU24" s="99">
        <f>BS24/(BP24-BU22)</f>
        <v>10.666666666666666</v>
      </c>
      <c r="BV24" s="100">
        <f>BS24/(BP24-BV22)</f>
        <v>9.931034482758621</v>
      </c>
      <c r="BW24" s="100">
        <f>BS24/(BP24-BW22)</f>
        <v>10.867924528301886</v>
      </c>
      <c r="BX24" s="100">
        <f>BS24/(BP24-BX22)</f>
        <v>10.285714285714285</v>
      </c>
      <c r="BY24" s="100">
        <f>BS24/(BP24-BY22)</f>
        <v>8.5970149253731343</v>
      </c>
      <c r="CA24" s="208">
        <v>2</v>
      </c>
      <c r="CB24" s="32">
        <f>(BU24/BU35*100+BU39)*BP24</f>
        <v>17.685446009389672</v>
      </c>
      <c r="CC24" s="202">
        <f>(BV24/BV35*100+BV39)*BP24</f>
        <v>18.54871794871795</v>
      </c>
      <c r="CD24" s="202">
        <f>(BW24/BW35*100+BW39)*BP24</f>
        <v>19.781609195402297</v>
      </c>
      <c r="CE24" s="202">
        <f>(BX24/BX35*100+BX39)*BP24</f>
        <v>17.819047619047616</v>
      </c>
      <c r="CF24" s="383">
        <f>(BY24/BY35*100+BY39)*BP24</f>
        <v>18.098039215686274</v>
      </c>
      <c r="CH24" s="10"/>
      <c r="CI24" s="10"/>
      <c r="CJ24" s="10"/>
      <c r="CK24" s="86" t="s">
        <v>39</v>
      </c>
      <c r="CL24" s="10"/>
      <c r="CM24" s="10"/>
      <c r="CN24" s="10"/>
      <c r="CO24" s="10"/>
      <c r="CP24" s="96" t="s">
        <v>20</v>
      </c>
      <c r="CQ24" s="101">
        <v>9</v>
      </c>
      <c r="CR24" s="465">
        <f>CR23</f>
        <v>1</v>
      </c>
      <c r="CT24" s="88">
        <v>2</v>
      </c>
      <c r="CU24" s="95">
        <v>8</v>
      </c>
      <c r="CV24" s="90"/>
      <c r="CW24" s="99">
        <f>CU24/(CR24-CW22)</f>
        <v>9.481481481481481</v>
      </c>
      <c r="CX24" s="100">
        <f>CU24/(CR24-CX22)</f>
        <v>8.258064516129032</v>
      </c>
      <c r="CY24" s="100">
        <f>CU24/(CR24-CY22)</f>
        <v>9.8461538461538467</v>
      </c>
      <c r="CZ24" s="100">
        <f>CU24/(CR24-CZ22)</f>
        <v>8.8275862068965516</v>
      </c>
      <c r="DA24" s="100">
        <f>CU24/(CR24-DA22)</f>
        <v>17.066666666666666</v>
      </c>
      <c r="DC24" s="208">
        <v>2</v>
      </c>
      <c r="DD24" s="32">
        <f>(CW24/CW35*100+CW39)*CR24</f>
        <v>16.060606060606062</v>
      </c>
      <c r="DE24" s="202">
        <f>(CX24/CX35*100+CX39)*CR24</f>
        <v>13.730158730158728</v>
      </c>
      <c r="DF24" s="202">
        <f>(CY24/CY35*100+CY39)*CR24</f>
        <v>14.404761904761905</v>
      </c>
      <c r="DG24" s="202">
        <f>(CZ24/CZ35*100+CZ39)*CR24</f>
        <v>16.240310077519378</v>
      </c>
      <c r="DH24" s="383">
        <f>(DA24/DA35*100+DA39)*CR24</f>
        <v>13.484848484848484</v>
      </c>
      <c r="DJ24" s="10"/>
      <c r="DK24" s="10"/>
      <c r="DL24" s="10"/>
      <c r="DM24" s="86" t="s">
        <v>39</v>
      </c>
      <c r="DN24" s="10"/>
      <c r="DO24" s="10"/>
      <c r="DP24" s="10"/>
      <c r="DQ24" s="10"/>
      <c r="DR24" s="96" t="s">
        <v>20</v>
      </c>
      <c r="DS24" s="103">
        <v>7</v>
      </c>
      <c r="DT24" s="465">
        <f>DT23</f>
        <v>1</v>
      </c>
      <c r="DV24" s="88">
        <v>2</v>
      </c>
      <c r="DW24" s="95">
        <v>8</v>
      </c>
      <c r="DX24" s="90"/>
      <c r="DY24" s="99">
        <f>DW24/(DT24-DY22)</f>
        <v>8.545454545454545</v>
      </c>
      <c r="DZ24" s="100">
        <f>DW24/(DT24-DZ22)</f>
        <v>16.34782608695652</v>
      </c>
      <c r="EA24" s="100">
        <f>DW24/(DT24-EA22)</f>
        <v>8.7441860465116275</v>
      </c>
      <c r="EB24" s="100">
        <f>DW24/(DT24-EB22)</f>
        <v>8.1739130434782616</v>
      </c>
      <c r="EC24" s="100">
        <f>DW24/(DT24-EC22)</f>
        <v>11.75</v>
      </c>
      <c r="EE24" s="208">
        <v>2</v>
      </c>
      <c r="EF24" s="32">
        <f>(DY24/DY35*100+DY39)*DT24</f>
        <v>17.857923497267755</v>
      </c>
      <c r="EG24" s="202">
        <f>(DZ24/DZ35*100+DZ39)*DT24</f>
        <v>15.595833333333331</v>
      </c>
      <c r="EH24" s="202">
        <f>(EA24/EA35*100+EA39)*DT24</f>
        <v>16.292237442922374</v>
      </c>
      <c r="EI24" s="202">
        <f>(EB24/EB35*100+EB39)*DT24</f>
        <v>18.016666666666666</v>
      </c>
      <c r="EJ24" s="383">
        <f>(EC24/EC35*100+EC39)*DT24</f>
        <v>18.350574712643677</v>
      </c>
    </row>
    <row r="25" spans="2:140" x14ac:dyDescent="0.2">
      <c r="B25" s="10"/>
      <c r="C25" s="102"/>
      <c r="D25" s="10"/>
      <c r="E25" s="86" t="s">
        <v>39</v>
      </c>
      <c r="F25" s="10"/>
      <c r="G25" s="10"/>
      <c r="H25" s="10"/>
      <c r="I25" s="10"/>
      <c r="J25" s="96" t="s">
        <v>8</v>
      </c>
      <c r="K25" s="39">
        <v>11</v>
      </c>
      <c r="L25" s="465">
        <f t="shared" ref="L25:L34" si="15">L24</f>
        <v>1</v>
      </c>
      <c r="N25" s="88">
        <v>3</v>
      </c>
      <c r="O25" s="95">
        <v>9</v>
      </c>
      <c r="P25" s="90"/>
      <c r="Q25" s="99">
        <f>O25/(L25-Q22)</f>
        <v>14.113636363636365</v>
      </c>
      <c r="R25" s="100">
        <f>O25/(L25-R22)</f>
        <v>10.35</v>
      </c>
      <c r="S25" s="100">
        <f>O25/(L25-S22)</f>
        <v>10.706896551724139</v>
      </c>
      <c r="T25" s="100">
        <f>O25/(L25-T22)</f>
        <v>10.180327868852459</v>
      </c>
      <c r="U25" s="100">
        <f>O25/(L25-U22)</f>
        <v>11.716981132075473</v>
      </c>
      <c r="W25" s="88">
        <v>3</v>
      </c>
      <c r="X25" s="32">
        <f>(Q25/Q35*100+Q40)*L25</f>
        <v>13.548913043478262</v>
      </c>
      <c r="Y25" s="202">
        <f>(R25/R35*100+R40)*L25</f>
        <v>11.660714285714285</v>
      </c>
      <c r="Z25" s="202">
        <f>(S25/S35*100+S40)*L25</f>
        <v>12.11785714285714</v>
      </c>
      <c r="AA25" s="202">
        <f>(T25/T35*100+T40)*L25</f>
        <v>11.417553191489361</v>
      </c>
      <c r="AB25" s="383">
        <f>(U25/U35*100+U40)*L25</f>
        <v>11.508333333333333</v>
      </c>
      <c r="AD25" s="10"/>
      <c r="AE25" s="102"/>
      <c r="AF25" s="10"/>
      <c r="AG25" s="86" t="s">
        <v>39</v>
      </c>
      <c r="AH25" s="10"/>
      <c r="AI25" s="10"/>
      <c r="AJ25" s="10"/>
      <c r="AK25" s="10"/>
      <c r="AL25" s="96" t="s">
        <v>8</v>
      </c>
      <c r="AM25" s="103">
        <v>5</v>
      </c>
      <c r="AN25" s="465">
        <f t="shared" ref="AN25:AN34" si="16">AN24</f>
        <v>1</v>
      </c>
      <c r="AP25" s="88">
        <v>3</v>
      </c>
      <c r="AQ25" s="95">
        <v>9</v>
      </c>
      <c r="AR25" s="90"/>
      <c r="AS25" s="99">
        <f>AQ25/(AN25-AS22)</f>
        <v>12.947368421052632</v>
      </c>
      <c r="AT25" s="100">
        <f>AQ25/(AN25-AT22)</f>
        <v>12.098360655737705</v>
      </c>
      <c r="AU25" s="100">
        <f>AQ25/(AN25-AU22)</f>
        <v>9.1111111111111107</v>
      </c>
      <c r="AV25" s="100">
        <f>AQ25/(AN25-AV22)</f>
        <v>12.508474576271187</v>
      </c>
      <c r="AW25" s="100">
        <f>AQ25/(AN25-AW22)</f>
        <v>10.542857142857143</v>
      </c>
      <c r="AY25" s="200">
        <v>3</v>
      </c>
      <c r="AZ25" s="32">
        <f>(AS25/AS35*100+AS40)*AN25</f>
        <v>19.429054054054056</v>
      </c>
      <c r="BA25" s="202">
        <f>(AT25/AT35*100+AT40)*AN25</f>
        <v>20.316176470588239</v>
      </c>
      <c r="BB25" s="202">
        <f>(AU25/AU35*100+AU40)*AN25</f>
        <v>18.026162790697676</v>
      </c>
      <c r="BC25" s="202">
        <f>(AV25/AV35*100+AV40)*AN25</f>
        <v>19.56678082191781</v>
      </c>
      <c r="BD25" s="383">
        <f>(AW25/AW35*100+AW40)*AN25</f>
        <v>19.85387323943662</v>
      </c>
      <c r="BF25" s="10"/>
      <c r="BG25" s="102"/>
      <c r="BH25" s="10"/>
      <c r="BI25" s="86" t="s">
        <v>39</v>
      </c>
      <c r="BJ25" s="10"/>
      <c r="BK25" s="10"/>
      <c r="BL25" s="10"/>
      <c r="BM25" s="10"/>
      <c r="BN25" s="96" t="s">
        <v>8</v>
      </c>
      <c r="BO25" s="103">
        <v>23</v>
      </c>
      <c r="BP25" s="465">
        <f t="shared" ref="BP25:BP34" si="17">BP24</f>
        <v>1</v>
      </c>
      <c r="BR25" s="88">
        <v>3</v>
      </c>
      <c r="BS25" s="95">
        <v>9</v>
      </c>
      <c r="BT25" s="90"/>
      <c r="BU25" s="99">
        <f>BS25/(BP25-BU22)</f>
        <v>12</v>
      </c>
      <c r="BV25" s="100">
        <f>BS25/(BP25-BV22)</f>
        <v>11.172413793103448</v>
      </c>
      <c r="BW25" s="100">
        <f>BS25/(BP25-BW22)</f>
        <v>12.226415094339622</v>
      </c>
      <c r="BX25" s="100">
        <f>BS25/(BP25-BX22)</f>
        <v>11.571428571428571</v>
      </c>
      <c r="BY25" s="100">
        <f>BS25/(BP25-BY22)</f>
        <v>9.6716417910447756</v>
      </c>
      <c r="CA25" s="208">
        <v>3</v>
      </c>
      <c r="CB25" s="32">
        <f>(BU25/BU35*100+BU40)*BP25</f>
        <v>15.220070422535212</v>
      </c>
      <c r="CC25" s="202">
        <f>(BV25/BV35*100+BV40)*BP25</f>
        <v>15.759615384615385</v>
      </c>
      <c r="CD25" s="202">
        <f>(BW25/BW35*100+BW40)*BP25</f>
        <v>16.530172413793103</v>
      </c>
      <c r="CE25" s="202">
        <f>(BX25/BX35*100+BX40)*BP25</f>
        <v>15.303571428571431</v>
      </c>
      <c r="CF25" s="383">
        <f>(BY25/BY35*100+BY40)*BP25</f>
        <v>15.477941176470589</v>
      </c>
      <c r="CH25" s="10"/>
      <c r="CI25" s="102"/>
      <c r="CJ25" s="10"/>
      <c r="CK25" s="86" t="s">
        <v>39</v>
      </c>
      <c r="CL25" s="10"/>
      <c r="CM25" s="10"/>
      <c r="CN25" s="10"/>
      <c r="CO25" s="10"/>
      <c r="CP25" s="96" t="s">
        <v>8</v>
      </c>
      <c r="CQ25" s="103">
        <v>10</v>
      </c>
      <c r="CR25" s="465">
        <f t="shared" ref="CR25:CR34" si="18">CR24</f>
        <v>1</v>
      </c>
      <c r="CT25" s="88">
        <v>3</v>
      </c>
      <c r="CU25" s="95">
        <v>9</v>
      </c>
      <c r="CV25" s="90"/>
      <c r="CW25" s="99">
        <f>CU25/(CR25-CW22)</f>
        <v>10.666666666666666</v>
      </c>
      <c r="CX25" s="100">
        <f>CU25/(CR25-CX22)</f>
        <v>9.2903225806451619</v>
      </c>
      <c r="CY25" s="100">
        <f>CU25/(CR25-CY22)</f>
        <v>11.076923076923077</v>
      </c>
      <c r="CZ25" s="100">
        <f>CU25/(CR25-CZ22)</f>
        <v>9.931034482758621</v>
      </c>
      <c r="DA25" s="100">
        <f>CU25/(CR25-DA22)</f>
        <v>19.2</v>
      </c>
      <c r="DC25" s="208">
        <v>3</v>
      </c>
      <c r="DD25" s="32">
        <f>(CW25/CW35*100+CW40)*CR25</f>
        <v>20.19318181818182</v>
      </c>
      <c r="DE25" s="202">
        <f>(CX25/CX35*100+CX40)*CR25</f>
        <v>16.930555555555557</v>
      </c>
      <c r="DF25" s="202">
        <f>(CY25/CY35*100+CY40)*CR25</f>
        <v>17.875</v>
      </c>
      <c r="DG25" s="202">
        <f>(CZ25/CZ35*100+CZ40)*CR25</f>
        <v>20.444767441860463</v>
      </c>
      <c r="DH25" s="383">
        <f>(DA25/DA35*100+DA40)*CR25</f>
        <v>16.587121212121211</v>
      </c>
      <c r="DJ25" s="10"/>
      <c r="DK25" s="102"/>
      <c r="DL25" s="10"/>
      <c r="DM25" s="86" t="s">
        <v>39</v>
      </c>
      <c r="DN25" s="10"/>
      <c r="DO25" s="10"/>
      <c r="DP25" s="10"/>
      <c r="DQ25" s="10"/>
      <c r="DR25" s="96" t="s">
        <v>8</v>
      </c>
      <c r="DS25" s="101">
        <v>8</v>
      </c>
      <c r="DT25" s="465">
        <f t="shared" ref="DT25:DT34" si="19">DT24</f>
        <v>1</v>
      </c>
      <c r="DV25" s="88">
        <v>3</v>
      </c>
      <c r="DW25" s="95">
        <v>9</v>
      </c>
      <c r="DX25" s="90"/>
      <c r="DY25" s="99">
        <f>DW25/(DT25-DY22)</f>
        <v>9.6136363636363633</v>
      </c>
      <c r="DZ25" s="100">
        <f>DW25/(DT25-DZ22)</f>
        <v>18.391304347826086</v>
      </c>
      <c r="EA25" s="100">
        <f>DW25/(DT25-EA22)</f>
        <v>9.8372093023255811</v>
      </c>
      <c r="EB25" s="100">
        <f>DW25/(DT25-EB22)</f>
        <v>9.195652173913043</v>
      </c>
      <c r="EC25" s="100">
        <f>DW25/(DT25-EC22)</f>
        <v>13.21875</v>
      </c>
      <c r="EE25" s="208">
        <v>3</v>
      </c>
      <c r="EF25" s="32">
        <f>(DY25/DY35*100+DY40)*DT25</f>
        <v>10.735655737704917</v>
      </c>
      <c r="EG25" s="202">
        <f>(DZ25/DZ35*100+DZ40)*DT25</f>
        <v>10.412499999999998</v>
      </c>
      <c r="EH25" s="202">
        <f>(EA25/EA35*100+EA40)*DT25</f>
        <v>10.511986301369864</v>
      </c>
      <c r="EI25" s="202">
        <f>(EB25/EB35*100+EB40)*DT25</f>
        <v>10.758333333333329</v>
      </c>
      <c r="EJ25" s="383">
        <f>(EC25/EC35*100+EC40)*DT25</f>
        <v>10.806034482758621</v>
      </c>
    </row>
    <row r="26" spans="2:140" x14ac:dyDescent="0.2">
      <c r="B26" s="10"/>
      <c r="C26" s="102"/>
      <c r="D26" s="10"/>
      <c r="E26" s="86" t="s">
        <v>39</v>
      </c>
      <c r="F26" s="10"/>
      <c r="G26" s="10"/>
      <c r="H26" s="10"/>
      <c r="I26" s="10"/>
      <c r="J26" s="96" t="s">
        <v>16</v>
      </c>
      <c r="K26" s="97">
        <v>12</v>
      </c>
      <c r="L26" s="465">
        <f t="shared" si="15"/>
        <v>1</v>
      </c>
      <c r="N26" s="88">
        <v>4</v>
      </c>
      <c r="O26" s="95">
        <v>9</v>
      </c>
      <c r="P26" s="90"/>
      <c r="Q26" s="99">
        <f>O26/(L26-Q22)</f>
        <v>14.113636363636365</v>
      </c>
      <c r="R26" s="100">
        <f>O26/(L26-R22)</f>
        <v>10.35</v>
      </c>
      <c r="S26" s="100">
        <f>O26/(L26-S22)</f>
        <v>10.706896551724139</v>
      </c>
      <c r="T26" s="104">
        <f>O26/(L26-T22)</f>
        <v>10.180327868852459</v>
      </c>
      <c r="U26" s="100">
        <f>O26/(L26-U22)</f>
        <v>11.716981132075473</v>
      </c>
      <c r="W26" s="88">
        <v>4</v>
      </c>
      <c r="X26" s="32">
        <f>(Q26/Q35*100+Q41)*L26</f>
        <v>26.070652173913043</v>
      </c>
      <c r="Y26" s="202">
        <f>(R26/R35*100+R41)*L26</f>
        <v>18.517857142857142</v>
      </c>
      <c r="Z26" s="202">
        <f>(S26/S35*100+S41)*L26</f>
        <v>20.346428571428568</v>
      </c>
      <c r="AA26" s="202">
        <f>(T26/T35*100+T41)*L26</f>
        <v>17.545212765957448</v>
      </c>
      <c r="AB26" s="383">
        <f>(U26/U35*100+U41)*L26</f>
        <v>17.908333333333331</v>
      </c>
      <c r="AD26" s="10"/>
      <c r="AE26" s="102"/>
      <c r="AF26" s="10"/>
      <c r="AG26" s="86" t="s">
        <v>39</v>
      </c>
      <c r="AH26" s="10"/>
      <c r="AI26" s="10"/>
      <c r="AJ26" s="10"/>
      <c r="AK26" s="10"/>
      <c r="AL26" s="96" t="s">
        <v>16</v>
      </c>
      <c r="AM26" s="101">
        <v>6</v>
      </c>
      <c r="AN26" s="465">
        <f t="shared" si="16"/>
        <v>1</v>
      </c>
      <c r="AP26" s="88">
        <v>4</v>
      </c>
      <c r="AQ26" s="95">
        <v>9</v>
      </c>
      <c r="AR26" s="90"/>
      <c r="AS26" s="99">
        <f>AQ26/(AN26-AS22)</f>
        <v>12.947368421052632</v>
      </c>
      <c r="AT26" s="100">
        <f>AQ26/(AN26-AT22)</f>
        <v>12.098360655737705</v>
      </c>
      <c r="AU26" s="100">
        <f>AQ26/(AN26-AU22)</f>
        <v>9.1111111111111107</v>
      </c>
      <c r="AV26" s="104">
        <f>AQ26/(AN26-AV22)</f>
        <v>12.508474576271187</v>
      </c>
      <c r="AW26" s="100">
        <f>AQ26/(AN26-AW22)</f>
        <v>10.542857142857143</v>
      </c>
      <c r="AY26" s="200">
        <v>4</v>
      </c>
      <c r="AZ26" s="32">
        <f>(AS26/AS35*100+AS41)*AN26</f>
        <v>15.658783783783784</v>
      </c>
      <c r="BA26" s="202">
        <f>(AT26/AT35*100+AT41)*AN26</f>
        <v>16.213235294117649</v>
      </c>
      <c r="BB26" s="202">
        <f>(AU26/AU35*100+AU41)*AN26</f>
        <v>14.781976744186046</v>
      </c>
      <c r="BC26" s="202">
        <f>(AV26/AV35*100+AV41)*AN26</f>
        <v>15.744863013698632</v>
      </c>
      <c r="BD26" s="383">
        <f>(AW26/AW35*100+AW41)*AN26</f>
        <v>15.924295774647888</v>
      </c>
      <c r="BF26" s="10"/>
      <c r="BG26" s="102"/>
      <c r="BH26" s="10"/>
      <c r="BI26" s="86" t="s">
        <v>39</v>
      </c>
      <c r="BJ26" s="10"/>
      <c r="BK26" s="10"/>
      <c r="BL26" s="10"/>
      <c r="BM26" s="10"/>
      <c r="BN26" s="96" t="s">
        <v>16</v>
      </c>
      <c r="BO26" s="101">
        <v>24</v>
      </c>
      <c r="BP26" s="465">
        <f t="shared" si="17"/>
        <v>1</v>
      </c>
      <c r="BR26" s="88">
        <v>4</v>
      </c>
      <c r="BS26" s="95">
        <v>9</v>
      </c>
      <c r="BT26" s="90"/>
      <c r="BU26" s="99">
        <f>BS26/(BP26-BU22)</f>
        <v>12</v>
      </c>
      <c r="BV26" s="100">
        <f>BS26/(BP26-BV22)</f>
        <v>11.172413793103448</v>
      </c>
      <c r="BW26" s="100">
        <f>BS26/(BP26-BW22)</f>
        <v>12.226415094339622</v>
      </c>
      <c r="BX26" s="104">
        <f>BS26/(BP26-BX22)</f>
        <v>11.571428571428571</v>
      </c>
      <c r="BY26" s="100">
        <f>BS26/(BP26-BY22)</f>
        <v>9.6716417910447756</v>
      </c>
      <c r="CA26" s="208">
        <v>4</v>
      </c>
      <c r="CB26" s="32">
        <f>(BU26/BU35*100+BU41)*BP26</f>
        <v>17.558098591549296</v>
      </c>
      <c r="CC26" s="202">
        <f>(BV26/BV35*100+BV41)*BP26</f>
        <v>18.313461538461539</v>
      </c>
      <c r="CD26" s="202">
        <f>(BW26/BW35*100+BW41)*BP26</f>
        <v>19.392241379310349</v>
      </c>
      <c r="CE26" s="202">
        <f>(BX26/BX35*100+BX41)*BP26</f>
        <v>17.675000000000001</v>
      </c>
      <c r="CF26" s="383">
        <f>(BY26/BY35*100+BY41)*BP26</f>
        <v>17.919117647058826</v>
      </c>
      <c r="CH26" s="10"/>
      <c r="CI26" s="102"/>
      <c r="CJ26" s="10"/>
      <c r="CK26" s="86" t="s">
        <v>39</v>
      </c>
      <c r="CL26" s="10"/>
      <c r="CM26" s="10"/>
      <c r="CN26" s="10"/>
      <c r="CO26" s="10"/>
      <c r="CP26" s="96" t="s">
        <v>16</v>
      </c>
      <c r="CQ26" s="101">
        <v>11</v>
      </c>
      <c r="CR26" s="465">
        <f t="shared" si="18"/>
        <v>1</v>
      </c>
      <c r="CT26" s="88">
        <v>4</v>
      </c>
      <c r="CU26" s="95">
        <v>9</v>
      </c>
      <c r="CV26" s="90"/>
      <c r="CW26" s="99">
        <f>CU26/(CR26-CW22)</f>
        <v>10.666666666666666</v>
      </c>
      <c r="CX26" s="100">
        <f>CU26/(CR26-CX22)</f>
        <v>9.2903225806451619</v>
      </c>
      <c r="CY26" s="100">
        <f>CU26/(CR26-CY22)</f>
        <v>11.076923076923077</v>
      </c>
      <c r="CZ26" s="104">
        <f>CU26/(CR26-CZ22)</f>
        <v>9.931034482758621</v>
      </c>
      <c r="DA26" s="100">
        <f>CU26/(CR26-DA22)</f>
        <v>19.2</v>
      </c>
      <c r="DC26" s="208">
        <v>4</v>
      </c>
      <c r="DD26" s="32">
        <f>(CW26/CW35*100+CW41)*CR26</f>
        <v>10.920454545454545</v>
      </c>
      <c r="DE26" s="202">
        <f>(CX26/CX35*100+CX41)*CR26</f>
        <v>10.454365079365081</v>
      </c>
      <c r="DF26" s="202">
        <f>(CY26/CY35*100+CY41)*CR26</f>
        <v>10.589285714285712</v>
      </c>
      <c r="DG26" s="202">
        <f>(CZ26/CZ35*100+CZ41)*CR26</f>
        <v>10.956395348837209</v>
      </c>
      <c r="DH26" s="383">
        <f>(DA26/DA35*100+DA41)*CR26</f>
        <v>10.405303030303031</v>
      </c>
      <c r="DJ26" s="10"/>
      <c r="DK26" s="102"/>
      <c r="DL26" s="10"/>
      <c r="DM26" s="86" t="s">
        <v>39</v>
      </c>
      <c r="DN26" s="10"/>
      <c r="DO26" s="10"/>
      <c r="DP26" s="10"/>
      <c r="DQ26" s="10"/>
      <c r="DR26" s="96" t="s">
        <v>16</v>
      </c>
      <c r="DS26" s="101">
        <v>9</v>
      </c>
      <c r="DT26" s="465">
        <f t="shared" si="19"/>
        <v>1</v>
      </c>
      <c r="DV26" s="88">
        <v>4</v>
      </c>
      <c r="DW26" s="95">
        <v>9</v>
      </c>
      <c r="DX26" s="90"/>
      <c r="DY26" s="99">
        <f>DW26/(DT26-DY22)</f>
        <v>9.6136363636363633</v>
      </c>
      <c r="DZ26" s="100">
        <f>DW26/(DT26-DZ22)</f>
        <v>18.391304347826086</v>
      </c>
      <c r="EA26" s="100">
        <f>DW26/(DT26-EA22)</f>
        <v>9.8372093023255811</v>
      </c>
      <c r="EB26" s="104">
        <f>DW26/(DT26-EB22)</f>
        <v>9.195652173913043</v>
      </c>
      <c r="EC26" s="100">
        <f>DW26/(DT26-EC22)</f>
        <v>13.21875</v>
      </c>
      <c r="EE26" s="208">
        <v>4</v>
      </c>
      <c r="EF26" s="32">
        <f>(DY26/DY35*100+DY41)*DT26</f>
        <v>14.817622950819672</v>
      </c>
      <c r="EG26" s="202">
        <f>(DZ26/DZ35*100+DZ41)*DT26</f>
        <v>13.524999999999999</v>
      </c>
      <c r="EH26" s="202">
        <f>(EA26/EA35*100+EA41)*DT26</f>
        <v>13.922945205479454</v>
      </c>
      <c r="EI26" s="202">
        <f>(EB26/EB35*100+EB41)*DT26</f>
        <v>14.90833333333333</v>
      </c>
      <c r="EJ26" s="383">
        <f>(EC26/EC35*100+EC41)*DT26</f>
        <v>15.099137931034482</v>
      </c>
    </row>
    <row r="27" spans="2:140" x14ac:dyDescent="0.2">
      <c r="B27" s="10"/>
      <c r="C27" s="102"/>
      <c r="D27" s="10"/>
      <c r="E27" s="86" t="s">
        <v>39</v>
      </c>
      <c r="F27" s="10"/>
      <c r="G27" s="10"/>
      <c r="H27" s="10"/>
      <c r="I27" s="10"/>
      <c r="J27" s="96" t="s">
        <v>3</v>
      </c>
      <c r="K27" s="39">
        <v>13</v>
      </c>
      <c r="L27" s="465">
        <f t="shared" si="15"/>
        <v>1</v>
      </c>
      <c r="N27" s="88">
        <v>5</v>
      </c>
      <c r="O27" s="95">
        <v>8</v>
      </c>
      <c r="P27" s="90"/>
      <c r="Q27" s="99">
        <f>O27/(L27-Q22)</f>
        <v>12.545454545454547</v>
      </c>
      <c r="R27" s="100">
        <f>O27/(L27-R22)</f>
        <v>9.2000000000000011</v>
      </c>
      <c r="S27" s="100">
        <f>O27/(L27-S22)</f>
        <v>9.5172413793103452</v>
      </c>
      <c r="T27" s="100">
        <f>O27/(L27-T22)</f>
        <v>9.0491803278688518</v>
      </c>
      <c r="U27" s="100">
        <f>O27/(L27-U22)</f>
        <v>10.415094339622643</v>
      </c>
      <c r="W27" s="88">
        <v>5</v>
      </c>
      <c r="X27" s="32">
        <f>(Q27/Q35*100+Q42)*L27</f>
        <v>18.768115942028984</v>
      </c>
      <c r="Y27" s="202">
        <f>(R27/R35*100+R42)*L27</f>
        <v>14.047619047619047</v>
      </c>
      <c r="Z27" s="202">
        <f>(S27/S35*100+S42)*L27</f>
        <v>15.19047619047619</v>
      </c>
      <c r="AA27" s="202">
        <f>(T27/T35*100+T42)*L27</f>
        <v>13.439716312056737</v>
      </c>
      <c r="AB27" s="383">
        <f>(U27/U35*100+U42)*L27</f>
        <v>13.666666666666668</v>
      </c>
      <c r="AD27" s="10"/>
      <c r="AE27" s="102"/>
      <c r="AF27" s="10"/>
      <c r="AG27" s="86" t="s">
        <v>39</v>
      </c>
      <c r="AH27" s="10"/>
      <c r="AI27" s="10"/>
      <c r="AJ27" s="10"/>
      <c r="AK27" s="10"/>
      <c r="AL27" s="96" t="s">
        <v>3</v>
      </c>
      <c r="AM27" s="101">
        <v>7</v>
      </c>
      <c r="AN27" s="465">
        <f t="shared" si="16"/>
        <v>1</v>
      </c>
      <c r="AP27" s="88">
        <v>5</v>
      </c>
      <c r="AQ27" s="95">
        <v>8</v>
      </c>
      <c r="AR27" s="90"/>
      <c r="AS27" s="99">
        <f>AQ27/(AN27-AS22)</f>
        <v>11.508771929824562</v>
      </c>
      <c r="AT27" s="100">
        <f>AQ27/(AN27-AT22)</f>
        <v>10.754098360655737</v>
      </c>
      <c r="AU27" s="100">
        <f>AQ27/(AN27-AU22)</f>
        <v>8.0987654320987659</v>
      </c>
      <c r="AV27" s="100">
        <f>AQ27/(AN27-AV22)</f>
        <v>11.118644067796611</v>
      </c>
      <c r="AW27" s="100">
        <f>AQ27/(AN27-AW22)</f>
        <v>9.3714285714285719</v>
      </c>
      <c r="AY27" s="200">
        <v>5</v>
      </c>
      <c r="AZ27" s="32">
        <f>(AS27/AS35*100+AS42)*AN27</f>
        <v>17.13063063063063</v>
      </c>
      <c r="BA27" s="202">
        <f>(AT27/AT35*100+AT42)*AN27</f>
        <v>17.906862745098039</v>
      </c>
      <c r="BB27" s="202">
        <f>(AU27/AU35*100+AU42)*AN27</f>
        <v>15.903100775193799</v>
      </c>
      <c r="BC27" s="202">
        <f>(AV27/AV35*100+AV42)*AN27</f>
        <v>17.251141552511417</v>
      </c>
      <c r="BD27" s="383">
        <f>(AW27/AW35*100+AW42)*AN27</f>
        <v>17.502347417840376</v>
      </c>
      <c r="BF27" s="10"/>
      <c r="BG27" s="102"/>
      <c r="BH27" s="10"/>
      <c r="BI27" s="86" t="s">
        <v>39</v>
      </c>
      <c r="BJ27" s="10"/>
      <c r="BK27" s="10"/>
      <c r="BL27" s="10"/>
      <c r="BM27" s="10"/>
      <c r="BN27" s="105" t="s">
        <v>3</v>
      </c>
      <c r="BO27" s="106">
        <v>25</v>
      </c>
      <c r="BP27" s="465">
        <f t="shared" si="17"/>
        <v>1</v>
      </c>
      <c r="BR27" s="88">
        <v>5</v>
      </c>
      <c r="BS27" s="95">
        <v>8</v>
      </c>
      <c r="BT27" s="90"/>
      <c r="BU27" s="99">
        <f>BS27/(BP27-BU22)</f>
        <v>10.666666666666666</v>
      </c>
      <c r="BV27" s="100">
        <f>BS27/(BP27-BV22)</f>
        <v>9.931034482758621</v>
      </c>
      <c r="BW27" s="100">
        <f>BS27/(BP27-BW22)</f>
        <v>10.867924528301886</v>
      </c>
      <c r="BX27" s="100">
        <f>BS27/(BP27-BX22)</f>
        <v>10.285714285714285</v>
      </c>
      <c r="BY27" s="100">
        <f>BS27/(BP27-BY22)</f>
        <v>8.5970149253731343</v>
      </c>
      <c r="CA27" s="208">
        <v>5</v>
      </c>
      <c r="CB27" s="32">
        <f>(BU27/BU35*100+BU42)*BP27</f>
        <v>9.5023474178403742</v>
      </c>
      <c r="CC27" s="202">
        <f>(BV27/BV35*100+BV42)*BP27</f>
        <v>9.6102564102564116</v>
      </c>
      <c r="CD27" s="202">
        <f>(BW27/BW35*100+BW42)*BP27</f>
        <v>9.7643678160919549</v>
      </c>
      <c r="CE27" s="202">
        <f>(BX27/BX35*100+BX42)*BP27</f>
        <v>9.5190476190476172</v>
      </c>
      <c r="CF27" s="383">
        <f>(BY27/BY35*100+BY42)*BP27</f>
        <v>9.5539215686274499</v>
      </c>
      <c r="CH27" s="10"/>
      <c r="CI27" s="102"/>
      <c r="CJ27" s="10"/>
      <c r="CK27" s="86" t="s">
        <v>39</v>
      </c>
      <c r="CL27" s="10"/>
      <c r="CM27" s="10"/>
      <c r="CN27" s="10"/>
      <c r="CO27" s="10"/>
      <c r="CP27" s="96" t="s">
        <v>3</v>
      </c>
      <c r="CQ27" s="101">
        <v>12</v>
      </c>
      <c r="CR27" s="465">
        <f t="shared" si="18"/>
        <v>1</v>
      </c>
      <c r="CT27" s="88">
        <v>5</v>
      </c>
      <c r="CU27" s="95">
        <v>8</v>
      </c>
      <c r="CV27" s="90"/>
      <c r="CW27" s="99">
        <f>CU27/(CR27-CW22)</f>
        <v>9.481481481481481</v>
      </c>
      <c r="CX27" s="100">
        <f>CU27/(CR27-CX22)</f>
        <v>8.258064516129032</v>
      </c>
      <c r="CY27" s="100">
        <f>CU27/(CR27-CY22)</f>
        <v>9.8461538461538467</v>
      </c>
      <c r="CZ27" s="100">
        <f>CU27/(CR27-CZ22)</f>
        <v>8.8275862068965516</v>
      </c>
      <c r="DA27" s="100">
        <f>CU27/(CR27-DA22)</f>
        <v>17.066666666666666</v>
      </c>
      <c r="DC27" s="208">
        <v>5</v>
      </c>
      <c r="DD27" s="32">
        <f>(CW27/CW35*100+CW42)*CR27</f>
        <v>14.515151515151516</v>
      </c>
      <c r="DE27" s="202">
        <f>(CX27/CX35*100+CX42)*CR27</f>
        <v>12.650793650793648</v>
      </c>
      <c r="DF27" s="202">
        <f>(CY27/CY35*100+CY42)*CR27</f>
        <v>13.19047619047619</v>
      </c>
      <c r="DG27" s="202">
        <f>(CZ27/CZ35*100+CZ42)*CR27</f>
        <v>14.65891472868217</v>
      </c>
      <c r="DH27" s="383">
        <f>(DA27/DA35*100+DA42)*CR27</f>
        <v>12.454545454545455</v>
      </c>
      <c r="DJ27" s="10"/>
      <c r="DK27" s="102"/>
      <c r="DL27" s="10"/>
      <c r="DM27" s="86" t="s">
        <v>39</v>
      </c>
      <c r="DN27" s="10"/>
      <c r="DO27" s="10"/>
      <c r="DP27" s="10"/>
      <c r="DQ27" s="10"/>
      <c r="DR27" s="96" t="s">
        <v>3</v>
      </c>
      <c r="DS27" s="103">
        <v>10</v>
      </c>
      <c r="DT27" s="465">
        <f t="shared" si="19"/>
        <v>1</v>
      </c>
      <c r="DV27" s="88">
        <v>5</v>
      </c>
      <c r="DW27" s="95">
        <v>8</v>
      </c>
      <c r="DX27" s="90"/>
      <c r="DY27" s="99">
        <f>DW27/(DT27-DY22)</f>
        <v>8.545454545454545</v>
      </c>
      <c r="DZ27" s="100">
        <f>DW27/(DT27-DZ22)</f>
        <v>16.34782608695652</v>
      </c>
      <c r="EA27" s="100">
        <f>DW27/(DT27-EA22)</f>
        <v>8.7441860465116275</v>
      </c>
      <c r="EB27" s="100">
        <f>DW27/(DT27-EB22)</f>
        <v>8.1739130434782616</v>
      </c>
      <c r="EC27" s="100">
        <f>DW27/(DT27-EC22)</f>
        <v>11.75</v>
      </c>
      <c r="EE27" s="208">
        <v>5</v>
      </c>
      <c r="EF27" s="32">
        <f>(DY27/DY35*100+DY42)*DT27</f>
        <v>11.054644808743168</v>
      </c>
      <c r="EG27" s="202">
        <f>(DZ27/DZ35*100+DZ42)*DT27</f>
        <v>10.408333333333331</v>
      </c>
      <c r="EH27" s="202">
        <f>(EA27/EA35*100+EA42)*DT27</f>
        <v>10.607305936073059</v>
      </c>
      <c r="EI27" s="202">
        <f>(EB27/EB35*100+EB42)*DT27</f>
        <v>11.099999999999998</v>
      </c>
      <c r="EJ27" s="383">
        <f>(EC27/EC35*100+EC42)*DT27</f>
        <v>11.195402298850574</v>
      </c>
    </row>
    <row r="28" spans="2:140" x14ac:dyDescent="0.2">
      <c r="B28" s="10"/>
      <c r="C28" s="102"/>
      <c r="D28" s="10"/>
      <c r="E28" s="86" t="s">
        <v>39</v>
      </c>
      <c r="F28" s="10"/>
      <c r="G28" s="10"/>
      <c r="H28" s="10"/>
      <c r="I28" s="10"/>
      <c r="J28" s="96" t="s">
        <v>6</v>
      </c>
      <c r="K28" s="97">
        <v>14</v>
      </c>
      <c r="L28" s="465">
        <f t="shared" si="15"/>
        <v>1</v>
      </c>
      <c r="N28" s="88">
        <v>6</v>
      </c>
      <c r="O28" s="95">
        <v>7</v>
      </c>
      <c r="P28" s="90"/>
      <c r="Q28" s="99">
        <f>O28/(L28-Q22)</f>
        <v>10.977272727272728</v>
      </c>
      <c r="R28" s="100">
        <f>O28/(L28-R22)</f>
        <v>8.0500000000000007</v>
      </c>
      <c r="S28" s="100">
        <f>O28/(L28-S22)</f>
        <v>8.3275862068965516</v>
      </c>
      <c r="T28" s="100">
        <f>O28/(L28-T22)</f>
        <v>7.9180327868852451</v>
      </c>
      <c r="U28" s="100">
        <f>O28/(L28-U22)</f>
        <v>9.1132075471698109</v>
      </c>
      <c r="W28" s="88">
        <v>6</v>
      </c>
      <c r="X28" s="32">
        <f>(Q28/Q35*100+Q43)*L28</f>
        <v>21.900362318840582</v>
      </c>
      <c r="Y28" s="202">
        <f>(R28/R35*100+R43)*L28</f>
        <v>15.291666666666668</v>
      </c>
      <c r="Z28" s="202">
        <f>(S28/S35*100+S43)*L28</f>
        <v>16.891666666666666</v>
      </c>
      <c r="AA28" s="202">
        <f>(T28/T35*100+T43)*L28</f>
        <v>14.440602836879432</v>
      </c>
      <c r="AB28" s="383">
        <f>(U28/U35*100+U43)*L28</f>
        <v>14.758333333333333</v>
      </c>
      <c r="AD28" s="10"/>
      <c r="AE28" s="102"/>
      <c r="AF28" s="10"/>
      <c r="AG28" s="86" t="s">
        <v>39</v>
      </c>
      <c r="AH28" s="10"/>
      <c r="AI28" s="10"/>
      <c r="AJ28" s="10"/>
      <c r="AK28" s="10"/>
      <c r="AL28" s="96" t="s">
        <v>6</v>
      </c>
      <c r="AM28" s="103">
        <v>8</v>
      </c>
      <c r="AN28" s="465">
        <f t="shared" si="16"/>
        <v>1</v>
      </c>
      <c r="AP28" s="88">
        <v>6</v>
      </c>
      <c r="AQ28" s="95">
        <v>7</v>
      </c>
      <c r="AR28" s="90"/>
      <c r="AS28" s="99">
        <f>AQ28/(AN28-AS22)</f>
        <v>10.070175438596491</v>
      </c>
      <c r="AT28" s="100">
        <f>AQ28/(AN28-AT22)</f>
        <v>9.4098360655737707</v>
      </c>
      <c r="AU28" s="100">
        <f>AQ28/(AN28-AU22)</f>
        <v>7.0864197530864201</v>
      </c>
      <c r="AV28" s="100">
        <f>AQ28/(AN28-AV22)</f>
        <v>9.7288135593220346</v>
      </c>
      <c r="AW28" s="100">
        <f>AQ28/(AN28-AW22)</f>
        <v>8.2000000000000011</v>
      </c>
      <c r="AY28" s="200">
        <v>6</v>
      </c>
      <c r="AZ28" s="32">
        <f>(AS28/AS35*100+AS43)*AN28</f>
        <v>8.548423423423424</v>
      </c>
      <c r="BA28" s="202">
        <f>(AT28/AT35*100+AT43)*AN28</f>
        <v>8.6593137254901968</v>
      </c>
      <c r="BB28" s="202">
        <f>(AU28/AU35*100+AU43)*AN28</f>
        <v>8.3730620155038764</v>
      </c>
      <c r="BC28" s="202">
        <f>(AV28/AV35*100+AV43)*AN28</f>
        <v>8.565639269406395</v>
      </c>
      <c r="BD28" s="383">
        <f>(AW28/AW35*100+AW43)*AN28</f>
        <v>8.601525821596244</v>
      </c>
      <c r="BF28" s="10"/>
      <c r="BG28" s="102"/>
      <c r="BH28" s="10"/>
      <c r="BI28" s="86" t="s">
        <v>39</v>
      </c>
      <c r="BJ28" s="10"/>
      <c r="BK28" s="10"/>
      <c r="BL28" s="10"/>
      <c r="BM28" s="10"/>
      <c r="BN28" s="96" t="s">
        <v>6</v>
      </c>
      <c r="BO28" s="103">
        <v>1</v>
      </c>
      <c r="BP28" s="465">
        <f t="shared" si="17"/>
        <v>1</v>
      </c>
      <c r="BR28" s="88">
        <v>6</v>
      </c>
      <c r="BS28" s="95">
        <v>7</v>
      </c>
      <c r="BT28" s="90"/>
      <c r="BU28" s="99">
        <f>BS28/(BP28-BU22)</f>
        <v>9.3333333333333339</v>
      </c>
      <c r="BV28" s="100">
        <f>BS28/(BP28-BV22)</f>
        <v>8.6896551724137936</v>
      </c>
      <c r="BW28" s="100">
        <f>BS28/(BP28-BW22)</f>
        <v>9.5094339622641506</v>
      </c>
      <c r="BX28" s="100">
        <f>BS28/(BP28-BX22)</f>
        <v>9</v>
      </c>
      <c r="BY28" s="100">
        <f>BS28/(BP28-BY22)</f>
        <v>7.522388059701492</v>
      </c>
      <c r="CA28" s="208">
        <v>6</v>
      </c>
      <c r="CB28" s="32">
        <f>(BU28/BU35*100+BU43)*BP28</f>
        <v>11.967723004694836</v>
      </c>
      <c r="CC28" s="202">
        <f>(BV28/BV35*100+BV43)*BP28</f>
        <v>12.399358974358975</v>
      </c>
      <c r="CD28" s="202">
        <f>(BW28/BW35*100+BW43)*BP28</f>
        <v>13.015804597701152</v>
      </c>
      <c r="CE28" s="202">
        <f>(BX28/BX35*100+BX43)*BP28</f>
        <v>12.03452380952381</v>
      </c>
      <c r="CF28" s="383">
        <f>(BY28/BY35*100+BY43)*BP28</f>
        <v>12.174019607843137</v>
      </c>
      <c r="CH28" s="10"/>
      <c r="CI28" s="102"/>
      <c r="CJ28" s="10"/>
      <c r="CK28" s="86" t="s">
        <v>39</v>
      </c>
      <c r="CL28" s="10"/>
      <c r="CM28" s="10"/>
      <c r="CN28" s="10"/>
      <c r="CO28" s="10"/>
      <c r="CP28" s="96" t="s">
        <v>6</v>
      </c>
      <c r="CQ28" s="103">
        <v>13</v>
      </c>
      <c r="CR28" s="465">
        <f t="shared" si="18"/>
        <v>1</v>
      </c>
      <c r="CT28" s="88">
        <v>6</v>
      </c>
      <c r="CU28" s="95">
        <v>7</v>
      </c>
      <c r="CV28" s="90"/>
      <c r="CW28" s="99">
        <f>CU28/(CR28-CW22)</f>
        <v>8.2962962962962958</v>
      </c>
      <c r="CX28" s="100">
        <f>CU28/(CR28-CX22)</f>
        <v>7.225806451612903</v>
      </c>
      <c r="CY28" s="100">
        <f>CU28/(CR28-CY22)</f>
        <v>8.615384615384615</v>
      </c>
      <c r="CZ28" s="100">
        <f>CU28/(CR28-CZ22)</f>
        <v>7.7241379310344831</v>
      </c>
      <c r="DA28" s="100">
        <f>CU28/(CR28-DA22)</f>
        <v>14.933333333333334</v>
      </c>
      <c r="DC28" s="208">
        <v>6</v>
      </c>
      <c r="DD28" s="32">
        <f>(CW28/CW35*100+CW43)*CR28</f>
        <v>10.382575757575758</v>
      </c>
      <c r="DE28" s="202">
        <f>(CX28/CX35*100+CX43)*CR28</f>
        <v>9.450396825396826</v>
      </c>
      <c r="DF28" s="202">
        <f>(CY28/CY35*100+CY43)*CR28</f>
        <v>9.7202380952380949</v>
      </c>
      <c r="DG28" s="202">
        <f>(CZ28/CZ35*100+CZ43)*CR28</f>
        <v>10.454457364341085</v>
      </c>
      <c r="DH28" s="383">
        <f>(DA28/DA35*100+DA43)*CR28</f>
        <v>9.3522727272727266</v>
      </c>
      <c r="DJ28" s="10"/>
      <c r="DK28" s="102"/>
      <c r="DL28" s="10"/>
      <c r="DM28" s="86" t="s">
        <v>39</v>
      </c>
      <c r="DN28" s="10"/>
      <c r="DO28" s="10"/>
      <c r="DP28" s="10"/>
      <c r="DQ28" s="10"/>
      <c r="DR28" s="96" t="s">
        <v>6</v>
      </c>
      <c r="DS28" s="101">
        <v>11</v>
      </c>
      <c r="DT28" s="465">
        <f t="shared" si="19"/>
        <v>1</v>
      </c>
      <c r="DV28" s="88">
        <v>6</v>
      </c>
      <c r="DW28" s="95">
        <v>7</v>
      </c>
      <c r="DX28" s="90"/>
      <c r="DY28" s="99">
        <f>DW28/(DT28-DY22)</f>
        <v>7.4772727272727275</v>
      </c>
      <c r="DZ28" s="100">
        <f>DW28/(DT28-DZ22)</f>
        <v>14.304347826086955</v>
      </c>
      <c r="EA28" s="100">
        <f>DW28/(DT28-EA22)</f>
        <v>7.6511627906976747</v>
      </c>
      <c r="EB28" s="100">
        <f>DW28/(DT28-EB22)</f>
        <v>7.1521739130434785</v>
      </c>
      <c r="EC28" s="100">
        <f>DW28/(DT28-EC22)</f>
        <v>10.28125</v>
      </c>
      <c r="EE28" s="208">
        <v>6</v>
      </c>
      <c r="EF28" s="32">
        <f>(DY28/DY35*100+DY43)*DT28</f>
        <v>18.176912568306012</v>
      </c>
      <c r="EG28" s="202">
        <f>(DZ28/DZ35*100+DZ43)*DT28</f>
        <v>15.591666666666667</v>
      </c>
      <c r="EH28" s="202">
        <f>(EA28/EA35*100+EA43)*DT28</f>
        <v>16.387557077625569</v>
      </c>
      <c r="EI28" s="202">
        <f>(EB28/EB35*100+EB43)*DT28</f>
        <v>18.358333333333334</v>
      </c>
      <c r="EJ28" s="383">
        <f>(EC28/EC35*100+EC43)*DT28</f>
        <v>18.739942528735632</v>
      </c>
    </row>
    <row r="29" spans="2:140" x14ac:dyDescent="0.2">
      <c r="B29" s="10"/>
      <c r="C29" s="102"/>
      <c r="D29" s="10"/>
      <c r="E29" s="86" t="s">
        <v>39</v>
      </c>
      <c r="F29" s="10"/>
      <c r="G29" s="10"/>
      <c r="H29" s="10"/>
      <c r="I29" s="10"/>
      <c r="J29" s="96" t="s">
        <v>17</v>
      </c>
      <c r="K29" s="39">
        <v>15</v>
      </c>
      <c r="L29" s="465">
        <f t="shared" si="15"/>
        <v>1</v>
      </c>
      <c r="N29" s="88">
        <v>7</v>
      </c>
      <c r="O29" s="95">
        <v>7</v>
      </c>
      <c r="P29" s="90"/>
      <c r="Q29" s="99">
        <f>O29/(L29-Q22)</f>
        <v>10.977272727272728</v>
      </c>
      <c r="R29" s="100">
        <f>O29/(L29-R22)</f>
        <v>8.0500000000000007</v>
      </c>
      <c r="S29" s="100">
        <f>O29/(L29-S22)</f>
        <v>8.3275862068965516</v>
      </c>
      <c r="T29" s="100">
        <f>O29/(L29-T22)</f>
        <v>7.9180327868852451</v>
      </c>
      <c r="U29" s="100">
        <f>O29/(L29-U22)</f>
        <v>9.1132075471698109</v>
      </c>
      <c r="W29" s="88">
        <v>7</v>
      </c>
      <c r="X29" s="32">
        <f>(Q29/Q35*100+Q44)*L29</f>
        <v>9.3786231884057969</v>
      </c>
      <c r="Y29" s="202">
        <f>(R29/R35*100+R44)*L29</f>
        <v>8.434523809523812</v>
      </c>
      <c r="Z29" s="202">
        <f>(S29/S35*100+S44)*L29</f>
        <v>8.6630952380952362</v>
      </c>
      <c r="AA29" s="202">
        <f>(T29/T35*100+T44)*L29</f>
        <v>8.3129432624113466</v>
      </c>
      <c r="AB29" s="383">
        <f>(U29/U35*100+U44)*L29</f>
        <v>8.3583333333333325</v>
      </c>
      <c r="AD29" s="10"/>
      <c r="AE29" s="102"/>
      <c r="AF29" s="10"/>
      <c r="AG29" s="86" t="s">
        <v>39</v>
      </c>
      <c r="AH29" s="10"/>
      <c r="AI29" s="10"/>
      <c r="AJ29" s="10"/>
      <c r="AK29" s="10"/>
      <c r="AL29" s="96" t="s">
        <v>17</v>
      </c>
      <c r="AM29" s="101">
        <v>9</v>
      </c>
      <c r="AN29" s="465">
        <f t="shared" si="16"/>
        <v>1</v>
      </c>
      <c r="AP29" s="88">
        <v>7</v>
      </c>
      <c r="AQ29" s="95">
        <v>7</v>
      </c>
      <c r="AR29" s="90"/>
      <c r="AS29" s="99">
        <f>AQ29/(AN29-AS22)</f>
        <v>10.070175438596491</v>
      </c>
      <c r="AT29" s="100">
        <f>AQ29/(AN29-AT22)</f>
        <v>9.4098360655737707</v>
      </c>
      <c r="AU29" s="100">
        <f>AQ29/(AN29-AU22)</f>
        <v>7.0864197530864201</v>
      </c>
      <c r="AV29" s="100">
        <f>AQ29/(AN29-AV22)</f>
        <v>9.7288135593220346</v>
      </c>
      <c r="AW29" s="100">
        <f>AQ29/(AN29-AW22)</f>
        <v>8.2000000000000011</v>
      </c>
      <c r="AY29" s="200">
        <v>7</v>
      </c>
      <c r="AZ29" s="32">
        <f>(AS29/AS35*100+AS44)*AN29</f>
        <v>12.318693693693694</v>
      </c>
      <c r="BA29" s="202">
        <f>(AT29/AT35*100+AT44)*AN29</f>
        <v>12.762254901960784</v>
      </c>
      <c r="BB29" s="202">
        <f>(AU29/AU35*100+AU44)*AN29</f>
        <v>11.617248062015506</v>
      </c>
      <c r="BC29" s="202">
        <f>(AV29/AV35*100+AV44)*AN29</f>
        <v>12.387557077625573</v>
      </c>
      <c r="BD29" s="383">
        <f>(AW29/AW35*100+AW44)*AN29</f>
        <v>12.531103286384976</v>
      </c>
      <c r="BF29" s="10"/>
      <c r="BG29" s="102"/>
      <c r="BH29" s="10"/>
      <c r="BI29" s="86" t="s">
        <v>39</v>
      </c>
      <c r="BJ29" s="10"/>
      <c r="BK29" s="10"/>
      <c r="BL29" s="10"/>
      <c r="BM29" s="10"/>
      <c r="BN29" s="96" t="s">
        <v>17</v>
      </c>
      <c r="BO29" s="101">
        <v>2</v>
      </c>
      <c r="BP29" s="465">
        <f t="shared" si="17"/>
        <v>1</v>
      </c>
      <c r="BR29" s="88">
        <v>7</v>
      </c>
      <c r="BS29" s="95">
        <v>7</v>
      </c>
      <c r="BT29" s="90"/>
      <c r="BU29" s="99">
        <f>BS29/(BP29-BU22)</f>
        <v>9.3333333333333339</v>
      </c>
      <c r="BV29" s="100">
        <f>BS29/(BP29-BV22)</f>
        <v>8.6896551724137936</v>
      </c>
      <c r="BW29" s="100">
        <f>BS29/(BP29-BW22)</f>
        <v>9.5094339622641506</v>
      </c>
      <c r="BX29" s="100">
        <f>BS29/(BP29-BX22)</f>
        <v>9</v>
      </c>
      <c r="BY29" s="100">
        <f>BS29/(BP29-BY22)</f>
        <v>7.522388059701492</v>
      </c>
      <c r="CA29" s="208">
        <v>7</v>
      </c>
      <c r="CB29" s="32">
        <f>(BU29/BU35*100+BU44)*BP29</f>
        <v>9.6296948356807519</v>
      </c>
      <c r="CC29" s="202">
        <f>(BV29/BV35*100+BV44)*BP29</f>
        <v>9.8455128205128215</v>
      </c>
      <c r="CD29" s="202">
        <f>(BW29/BW35*100+BW44)*BP29</f>
        <v>10.15373563218391</v>
      </c>
      <c r="CE29" s="202">
        <f>(BX29/BX35*100+BX44)*BP29</f>
        <v>9.663095238095238</v>
      </c>
      <c r="CF29" s="383">
        <f>(BY29/BY35*100+BY44)*BP29</f>
        <v>9.7328431372549016</v>
      </c>
      <c r="CH29" s="10"/>
      <c r="CI29" s="102"/>
      <c r="CJ29" s="10"/>
      <c r="CK29" s="86" t="s">
        <v>39</v>
      </c>
      <c r="CL29" s="10"/>
      <c r="CM29" s="10"/>
      <c r="CN29" s="10"/>
      <c r="CO29" s="10"/>
      <c r="CP29" s="96" t="s">
        <v>17</v>
      </c>
      <c r="CQ29" s="101">
        <v>14</v>
      </c>
      <c r="CR29" s="465">
        <f t="shared" si="18"/>
        <v>1</v>
      </c>
      <c r="CT29" s="88">
        <v>7</v>
      </c>
      <c r="CU29" s="95">
        <v>7</v>
      </c>
      <c r="CV29" s="90"/>
      <c r="CW29" s="99">
        <f>CU29/(CR29-CW22)</f>
        <v>8.2962962962962958</v>
      </c>
      <c r="CX29" s="100">
        <f>CU29/(CR29-CX22)</f>
        <v>7.225806451612903</v>
      </c>
      <c r="CY29" s="100">
        <f>CU29/(CR29-CY22)</f>
        <v>8.615384615384615</v>
      </c>
      <c r="CZ29" s="100">
        <f>CU29/(CR29-CZ22)</f>
        <v>7.7241379310344831</v>
      </c>
      <c r="DA29" s="100">
        <f>CU29/(CR29-DA22)</f>
        <v>14.933333333333334</v>
      </c>
      <c r="DC29" s="208">
        <v>7</v>
      </c>
      <c r="DD29" s="32">
        <f>(CW29/CW35*100+CW44)*CR29</f>
        <v>19.655303030303031</v>
      </c>
      <c r="DE29" s="202">
        <f>(CX29/CX35*100+CX44)*CR29</f>
        <v>15.926587301587301</v>
      </c>
      <c r="DF29" s="202">
        <f>(CY29/CY35*100+CY44)*CR29</f>
        <v>17.00595238095238</v>
      </c>
      <c r="DG29" s="202">
        <f>(CZ29/CZ35*100+CZ44)*CR29</f>
        <v>19.942829457364343</v>
      </c>
      <c r="DH29" s="383">
        <f>(DA29/DA35*100+DA44)*CR29</f>
        <v>15.53409090909091</v>
      </c>
      <c r="DJ29" s="10"/>
      <c r="DK29" s="102"/>
      <c r="DL29" s="10"/>
      <c r="DM29" s="86" t="s">
        <v>39</v>
      </c>
      <c r="DN29" s="10"/>
      <c r="DO29" s="10"/>
      <c r="DP29" s="10"/>
      <c r="DQ29" s="10"/>
      <c r="DR29" s="96" t="s">
        <v>17</v>
      </c>
      <c r="DS29" s="101">
        <v>12</v>
      </c>
      <c r="DT29" s="465">
        <f t="shared" si="19"/>
        <v>1</v>
      </c>
      <c r="DV29" s="88">
        <v>7</v>
      </c>
      <c r="DW29" s="95">
        <v>7</v>
      </c>
      <c r="DX29" s="90"/>
      <c r="DY29" s="99">
        <f>DW29/(DT29-DY22)</f>
        <v>7.4772727272727275</v>
      </c>
      <c r="DZ29" s="100">
        <f>DW29/(DT29-DZ22)</f>
        <v>14.304347826086955</v>
      </c>
      <c r="EA29" s="100">
        <f>DW29/(DT29-EA22)</f>
        <v>7.6511627906976747</v>
      </c>
      <c r="EB29" s="100">
        <f>DW29/(DT29-EB22)</f>
        <v>7.1521739130434785</v>
      </c>
      <c r="EC29" s="100">
        <f>DW29/(DT29-EC22)</f>
        <v>10.28125</v>
      </c>
      <c r="EE29" s="208">
        <v>7</v>
      </c>
      <c r="EF29" s="32">
        <f>(DY29/DY35*100+DY44)*DT29</f>
        <v>14.094945355191257</v>
      </c>
      <c r="EG29" s="202">
        <f>(DZ29/DZ35*100+DZ44)*DT29</f>
        <v>12.479166666666666</v>
      </c>
      <c r="EH29" s="202">
        <f>(EA29/EA35*100+EA44)*DT29</f>
        <v>12.976598173515981</v>
      </c>
      <c r="EI29" s="202">
        <f>(EB29/EB35*100+EB44)*DT29</f>
        <v>14.208333333333332</v>
      </c>
      <c r="EJ29" s="383">
        <f>(EC29/EC35*100+EC44)*DT29</f>
        <v>14.446839080459771</v>
      </c>
    </row>
    <row r="30" spans="2:140" x14ac:dyDescent="0.2">
      <c r="B30" s="10"/>
      <c r="C30" s="102"/>
      <c r="D30" s="10"/>
      <c r="E30" s="86" t="s">
        <v>39</v>
      </c>
      <c r="F30" s="10"/>
      <c r="G30" s="10"/>
      <c r="H30" s="10"/>
      <c r="I30" s="10"/>
      <c r="J30" s="96" t="s">
        <v>24</v>
      </c>
      <c r="K30" s="97">
        <v>16</v>
      </c>
      <c r="L30" s="465">
        <f t="shared" si="15"/>
        <v>1</v>
      </c>
      <c r="N30" s="88">
        <v>8</v>
      </c>
      <c r="O30" s="95">
        <v>8</v>
      </c>
      <c r="P30" s="90"/>
      <c r="Q30" s="99">
        <f>O30/(L30-Q22)</f>
        <v>12.545454545454547</v>
      </c>
      <c r="R30" s="100">
        <f>O30/(L30-R22)</f>
        <v>9.2000000000000011</v>
      </c>
      <c r="S30" s="100">
        <f>O30/(L30-S22)</f>
        <v>9.5172413793103452</v>
      </c>
      <c r="T30" s="100">
        <f>O30/(L30-T22)</f>
        <v>9.0491803278688518</v>
      </c>
      <c r="U30" s="100">
        <f>O30/(L30-U22)</f>
        <v>10.415094339622643</v>
      </c>
      <c r="W30" s="88">
        <v>8</v>
      </c>
      <c r="X30" s="32">
        <f>(Q30/Q35*100+Q45)*L30</f>
        <v>16.681159420289852</v>
      </c>
      <c r="Y30" s="202">
        <f>(R30/R35*100+R45)*L30</f>
        <v>12.904761904761905</v>
      </c>
      <c r="Z30" s="202">
        <f>(S30/S35*100+S45)*L30</f>
        <v>13.819047619047616</v>
      </c>
      <c r="AA30" s="202">
        <f>(T30/T35*100+T45)*L30</f>
        <v>12.418439716312056</v>
      </c>
      <c r="AB30" s="383">
        <f>(U30/U35*100+U45)*L30</f>
        <v>12.600000000000001</v>
      </c>
      <c r="AD30" s="10"/>
      <c r="AE30" s="102"/>
      <c r="AF30" s="10"/>
      <c r="AG30" s="86" t="s">
        <v>39</v>
      </c>
      <c r="AH30" s="10"/>
      <c r="AI30" s="10"/>
      <c r="AJ30" s="10"/>
      <c r="AK30" s="10"/>
      <c r="AL30" s="96" t="s">
        <v>24</v>
      </c>
      <c r="AM30" s="101">
        <v>10</v>
      </c>
      <c r="AN30" s="465">
        <f t="shared" si="16"/>
        <v>1</v>
      </c>
      <c r="AP30" s="88">
        <v>8</v>
      </c>
      <c r="AQ30" s="95">
        <v>8</v>
      </c>
      <c r="AR30" s="90"/>
      <c r="AS30" s="99">
        <f>AQ30/(AN30-AS22)</f>
        <v>11.508771929824562</v>
      </c>
      <c r="AT30" s="100">
        <f>AQ30/(AN30-AT22)</f>
        <v>10.754098360655737</v>
      </c>
      <c r="AU30" s="100">
        <f>AQ30/(AN30-AU22)</f>
        <v>8.0987654320987659</v>
      </c>
      <c r="AV30" s="100">
        <f>AQ30/(AN30-AV22)</f>
        <v>11.118644067796611</v>
      </c>
      <c r="AW30" s="100">
        <f>AQ30/(AN30-AW22)</f>
        <v>9.3714285714285719</v>
      </c>
      <c r="AY30" s="200">
        <v>8</v>
      </c>
      <c r="AZ30" s="32">
        <f>(AS30/AS35*100+AS45)*AN30</f>
        <v>10.846846846846846</v>
      </c>
      <c r="BA30" s="202">
        <f>(AT30/AT35*100+AT45)*AN30</f>
        <v>11.068627450980394</v>
      </c>
      <c r="BB30" s="202">
        <f>(AU30/AU35*100+AU45)*AN30</f>
        <v>10.496124031007753</v>
      </c>
      <c r="BC30" s="202">
        <f>(AV30/AV35*100+AV45)*AN30</f>
        <v>10.881278538812786</v>
      </c>
      <c r="BD30" s="383">
        <f>(AW30/AW35*100+AW45)*AN30</f>
        <v>10.953051643192488</v>
      </c>
      <c r="BF30" s="10"/>
      <c r="BG30" s="102"/>
      <c r="BH30" s="10"/>
      <c r="BI30" s="86" t="s">
        <v>39</v>
      </c>
      <c r="BJ30" s="10"/>
      <c r="BK30" s="10"/>
      <c r="BL30" s="10"/>
      <c r="BM30" s="10"/>
      <c r="BN30" s="96" t="s">
        <v>24</v>
      </c>
      <c r="BO30" s="101">
        <v>3</v>
      </c>
      <c r="BP30" s="465">
        <f t="shared" si="17"/>
        <v>1</v>
      </c>
      <c r="BR30" s="88">
        <v>8</v>
      </c>
      <c r="BS30" s="95">
        <v>8</v>
      </c>
      <c r="BT30" s="90"/>
      <c r="BU30" s="99">
        <f>BS30/(BP30-BU22)</f>
        <v>10.666666666666666</v>
      </c>
      <c r="BV30" s="100">
        <f>BS30/(BP30-BV22)</f>
        <v>9.931034482758621</v>
      </c>
      <c r="BW30" s="100">
        <f>BS30/(BP30-BW22)</f>
        <v>10.867924528301886</v>
      </c>
      <c r="BX30" s="100">
        <f>BS30/(BP30-BX22)</f>
        <v>10.285714285714285</v>
      </c>
      <c r="BY30" s="100">
        <f>BS30/(BP30-BY22)</f>
        <v>8.5970149253731343</v>
      </c>
      <c r="CA30" s="208">
        <v>8</v>
      </c>
      <c r="CB30" s="32">
        <f>(BU30/BU35*100+BU45)*BP30</f>
        <v>17.685446009389672</v>
      </c>
      <c r="CC30" s="202">
        <f>(BV30/BV35*100+BV45)*BP30</f>
        <v>18.54871794871795</v>
      </c>
      <c r="CD30" s="202">
        <f>(BW30/BW35*100+BW45)*BP30</f>
        <v>19.781609195402297</v>
      </c>
      <c r="CE30" s="202">
        <f>(BX30/BX35*100+BX45)*BP30</f>
        <v>17.819047619047616</v>
      </c>
      <c r="CF30" s="383">
        <f>(BY30/BY35*100+BY45)*BP30</f>
        <v>18.098039215686274</v>
      </c>
      <c r="CH30" s="10"/>
      <c r="CI30" s="102"/>
      <c r="CJ30" s="10"/>
      <c r="CK30" s="86" t="s">
        <v>39</v>
      </c>
      <c r="CL30" s="10"/>
      <c r="CM30" s="10"/>
      <c r="CN30" s="10"/>
      <c r="CO30" s="10"/>
      <c r="CP30" s="96" t="s">
        <v>24</v>
      </c>
      <c r="CQ30" s="101">
        <v>15</v>
      </c>
      <c r="CR30" s="465">
        <f t="shared" si="18"/>
        <v>1</v>
      </c>
      <c r="CT30" s="88">
        <v>8</v>
      </c>
      <c r="CU30" s="95">
        <v>8</v>
      </c>
      <c r="CV30" s="90"/>
      <c r="CW30" s="99">
        <f>CU30/(CR30-CW22)</f>
        <v>9.481481481481481</v>
      </c>
      <c r="CX30" s="100">
        <f>CU30/(CR30-CX22)</f>
        <v>8.258064516129032</v>
      </c>
      <c r="CY30" s="100">
        <f>CU30/(CR30-CY22)</f>
        <v>9.8461538461538467</v>
      </c>
      <c r="CZ30" s="100">
        <f>CU30/(CR30-CZ22)</f>
        <v>8.8275862068965516</v>
      </c>
      <c r="DA30" s="100">
        <f>CU30/(CR30-DA22)</f>
        <v>17.066666666666666</v>
      </c>
      <c r="DC30" s="208">
        <v>8</v>
      </c>
      <c r="DD30" s="32">
        <f>(CW30/CW35*100+CW45)*CR30</f>
        <v>16.060606060606062</v>
      </c>
      <c r="DE30" s="202">
        <f>(CX30/CX35*100+CX45)*CR30</f>
        <v>13.730158730158728</v>
      </c>
      <c r="DF30" s="202">
        <f>(CY30/CY35*100+CY45)*CR30</f>
        <v>14.404761904761905</v>
      </c>
      <c r="DG30" s="202">
        <f>(CZ30/CZ35*100+CZ45)*CR30</f>
        <v>16.240310077519378</v>
      </c>
      <c r="DH30" s="383">
        <f>(DA30/DA35*100+DA45)*CR30</f>
        <v>13.484848484848484</v>
      </c>
      <c r="DJ30" s="10"/>
      <c r="DK30" s="102"/>
      <c r="DL30" s="10"/>
      <c r="DM30" s="86" t="s">
        <v>39</v>
      </c>
      <c r="DN30" s="10"/>
      <c r="DO30" s="10"/>
      <c r="DP30" s="10"/>
      <c r="DQ30" s="10"/>
      <c r="DR30" s="96" t="s">
        <v>24</v>
      </c>
      <c r="DS30" s="103">
        <v>13</v>
      </c>
      <c r="DT30" s="465">
        <f t="shared" si="19"/>
        <v>1</v>
      </c>
      <c r="DV30" s="88">
        <v>8</v>
      </c>
      <c r="DW30" s="95">
        <v>8</v>
      </c>
      <c r="DX30" s="90"/>
      <c r="DY30" s="99">
        <f>DW30/(DT30-DY22)</f>
        <v>8.545454545454545</v>
      </c>
      <c r="DZ30" s="100">
        <f>DW30/(DT30-DZ22)</f>
        <v>16.34782608695652</v>
      </c>
      <c r="EA30" s="100">
        <f>DW30/(DT30-EA22)</f>
        <v>8.7441860465116275</v>
      </c>
      <c r="EB30" s="100">
        <f>DW30/(DT30-EB22)</f>
        <v>8.1739130434782616</v>
      </c>
      <c r="EC30" s="100">
        <f>DW30/(DT30-EC22)</f>
        <v>11.75</v>
      </c>
      <c r="EE30" s="208">
        <v>8</v>
      </c>
      <c r="EF30" s="32">
        <f>(DY30/DY35*100+DY45)*DT30</f>
        <v>17.857923497267755</v>
      </c>
      <c r="EG30" s="202">
        <f>(DZ30/DZ35*100+DZ45)*DT30</f>
        <v>15.595833333333331</v>
      </c>
      <c r="EH30" s="202">
        <f>(EA30/EA35*100+EA45)*DT30</f>
        <v>16.292237442922374</v>
      </c>
      <c r="EI30" s="202">
        <f>(EB30/EB35*100+EB45)*DT30</f>
        <v>18.016666666666666</v>
      </c>
      <c r="EJ30" s="383">
        <f>(EC30/EC35*100+EC45)*DT30</f>
        <v>18.350574712643677</v>
      </c>
    </row>
    <row r="31" spans="2:140" x14ac:dyDescent="0.2">
      <c r="E31" s="86" t="s">
        <v>39</v>
      </c>
      <c r="J31" s="96" t="s">
        <v>23</v>
      </c>
      <c r="K31" s="39">
        <v>17</v>
      </c>
      <c r="L31" s="465">
        <f t="shared" si="15"/>
        <v>1</v>
      </c>
      <c r="N31" s="88">
        <v>9</v>
      </c>
      <c r="O31" s="95">
        <v>9</v>
      </c>
      <c r="P31" s="90"/>
      <c r="Q31" s="99">
        <f>O31/(L31-Q22)</f>
        <v>14.113636363636365</v>
      </c>
      <c r="R31" s="100">
        <f>O31/(L31-R22)</f>
        <v>10.35</v>
      </c>
      <c r="S31" s="100">
        <f>O31/(L31-S22)</f>
        <v>10.706896551724139</v>
      </c>
      <c r="T31" s="100">
        <f>O31/(L31-T22)</f>
        <v>10.180327868852459</v>
      </c>
      <c r="U31" s="100">
        <f>O31/(L31-U22)</f>
        <v>11.716981132075473</v>
      </c>
      <c r="W31" s="88">
        <v>9</v>
      </c>
      <c r="X31" s="32">
        <f>(Q31/Q35*100+Q46)*L31</f>
        <v>13.548913043478262</v>
      </c>
      <c r="Y31" s="202">
        <f>(R31/R35*100+R46)*L31</f>
        <v>11.660714285714285</v>
      </c>
      <c r="Z31" s="202">
        <f>(S31/S35*100+S46)*L31</f>
        <v>12.11785714285714</v>
      </c>
      <c r="AA31" s="202">
        <f>(T31/T35*100+T46)*L31</f>
        <v>11.417553191489361</v>
      </c>
      <c r="AB31" s="383">
        <f>(U31/U35*100+U46)*L31</f>
        <v>11.508333333333333</v>
      </c>
      <c r="AG31" s="86" t="s">
        <v>39</v>
      </c>
      <c r="AL31" s="96" t="s">
        <v>23</v>
      </c>
      <c r="AM31" s="103">
        <v>11</v>
      </c>
      <c r="AN31" s="465">
        <f t="shared" si="16"/>
        <v>1</v>
      </c>
      <c r="AP31" s="88">
        <v>9</v>
      </c>
      <c r="AQ31" s="95">
        <v>9</v>
      </c>
      <c r="AR31" s="90"/>
      <c r="AS31" s="99">
        <f>AQ31/(AN31-AS22)</f>
        <v>12.947368421052632</v>
      </c>
      <c r="AT31" s="100">
        <f>AQ31/(AN31-AT22)</f>
        <v>12.098360655737705</v>
      </c>
      <c r="AU31" s="100">
        <f>AQ31/(AN31-AU22)</f>
        <v>9.1111111111111107</v>
      </c>
      <c r="AV31" s="100">
        <f>AQ31/(AN31-AV22)</f>
        <v>12.508474576271187</v>
      </c>
      <c r="AW31" s="100">
        <f>AQ31/(AN31-AW22)</f>
        <v>10.542857142857143</v>
      </c>
      <c r="AY31" s="200">
        <v>9</v>
      </c>
      <c r="AZ31" s="32">
        <f>(AS31/AS35*100+AS46)*AN31</f>
        <v>19.429054054054056</v>
      </c>
      <c r="BA31" s="202">
        <f>(AT31/AT35*100+AT46)*AN31</f>
        <v>20.316176470588239</v>
      </c>
      <c r="BB31" s="202">
        <f>(AU31/AU35*100+AU46)*AN31</f>
        <v>18.026162790697676</v>
      </c>
      <c r="BC31" s="202">
        <f>(AV31/AV35*100+AV46)*AN31</f>
        <v>19.56678082191781</v>
      </c>
      <c r="BD31" s="383">
        <f>(AW31/AW35*100+AW46)*AN31</f>
        <v>19.85387323943662</v>
      </c>
      <c r="BI31" s="86" t="s">
        <v>39</v>
      </c>
      <c r="BN31" s="96" t="s">
        <v>23</v>
      </c>
      <c r="BO31" s="103">
        <v>4</v>
      </c>
      <c r="BP31" s="465">
        <f t="shared" si="17"/>
        <v>1</v>
      </c>
      <c r="BR31" s="88">
        <v>9</v>
      </c>
      <c r="BS31" s="95">
        <v>9</v>
      </c>
      <c r="BT31" s="90"/>
      <c r="BU31" s="99">
        <f>BS31/(BP31-BU22)</f>
        <v>12</v>
      </c>
      <c r="BV31" s="100">
        <f>BS31/(BP31-BV22)</f>
        <v>11.172413793103448</v>
      </c>
      <c r="BW31" s="100">
        <f>BS31/(BP31-BW22)</f>
        <v>12.226415094339622</v>
      </c>
      <c r="BX31" s="100">
        <f>BS31/(BP31-BX22)</f>
        <v>11.571428571428571</v>
      </c>
      <c r="BY31" s="100">
        <f>BS31/(BP31-BY22)</f>
        <v>9.6716417910447756</v>
      </c>
      <c r="CA31" s="208">
        <v>9</v>
      </c>
      <c r="CB31" s="32">
        <f>(BU31/BU35*100+BU46)*BP31</f>
        <v>15.220070422535212</v>
      </c>
      <c r="CC31" s="202">
        <f>(BV31/BV35*100+BV46)*BP31</f>
        <v>15.759615384615385</v>
      </c>
      <c r="CD31" s="202">
        <f>(BW31/BW35*100+BW46)*BP31</f>
        <v>16.530172413793103</v>
      </c>
      <c r="CE31" s="202">
        <f>(BX31/BX35*100+BX46)*BP31</f>
        <v>15.303571428571431</v>
      </c>
      <c r="CF31" s="383">
        <f>(BY31/BY35*100+BY46)*BP31</f>
        <v>15.477941176470589</v>
      </c>
      <c r="CK31" s="86" t="s">
        <v>39</v>
      </c>
      <c r="CP31" s="96" t="s">
        <v>23</v>
      </c>
      <c r="CQ31" s="103">
        <v>16</v>
      </c>
      <c r="CR31" s="465">
        <f t="shared" si="18"/>
        <v>1</v>
      </c>
      <c r="CT31" s="88">
        <v>9</v>
      </c>
      <c r="CU31" s="95">
        <v>9</v>
      </c>
      <c r="CV31" s="90"/>
      <c r="CW31" s="99">
        <f>CU31/(CR31-CW22)</f>
        <v>10.666666666666666</v>
      </c>
      <c r="CX31" s="100">
        <f>CU31/(CR31-CX22)</f>
        <v>9.2903225806451619</v>
      </c>
      <c r="CY31" s="100">
        <f>CU31/(CR31-CY22)</f>
        <v>11.076923076923077</v>
      </c>
      <c r="CZ31" s="100">
        <f>CU31/(CR31-CZ22)</f>
        <v>9.931034482758621</v>
      </c>
      <c r="DA31" s="100">
        <f>CU31/(CR31-DA22)</f>
        <v>19.2</v>
      </c>
      <c r="DC31" s="208">
        <v>9</v>
      </c>
      <c r="DD31" s="32">
        <f>(CW31/CW35*100+CW46)*CR31</f>
        <v>20.19318181818182</v>
      </c>
      <c r="DE31" s="202">
        <f>(CX31/CX35*100+CX46)*CR31</f>
        <v>16.930555555555557</v>
      </c>
      <c r="DF31" s="202">
        <f>(CY31/CY35*100+CY46)*CR31</f>
        <v>17.875</v>
      </c>
      <c r="DG31" s="202">
        <f>(CZ31/CZ35*100+CZ46)*CR31</f>
        <v>20.444767441860463</v>
      </c>
      <c r="DH31" s="383">
        <f>(DA31/DA35*100+DA46)*CR31</f>
        <v>16.587121212121211</v>
      </c>
      <c r="DM31" s="86" t="s">
        <v>39</v>
      </c>
      <c r="DR31" s="96" t="s">
        <v>23</v>
      </c>
      <c r="DS31" s="101">
        <v>14</v>
      </c>
      <c r="DT31" s="465">
        <f t="shared" si="19"/>
        <v>1</v>
      </c>
      <c r="DV31" s="88">
        <v>9</v>
      </c>
      <c r="DW31" s="95">
        <v>9</v>
      </c>
      <c r="DX31" s="90"/>
      <c r="DY31" s="99">
        <f>DW31/(DT31-DY22)</f>
        <v>9.6136363636363633</v>
      </c>
      <c r="DZ31" s="100">
        <f>DW31/(DT31-DZ22)</f>
        <v>18.391304347826086</v>
      </c>
      <c r="EA31" s="100">
        <f>DW31/(DT31-EA22)</f>
        <v>9.8372093023255811</v>
      </c>
      <c r="EB31" s="100">
        <f>DW31/(DT31-EB22)</f>
        <v>9.195652173913043</v>
      </c>
      <c r="EC31" s="100">
        <f>DW31/(DT31-EC22)</f>
        <v>13.21875</v>
      </c>
      <c r="EE31" s="208">
        <v>9</v>
      </c>
      <c r="EF31" s="32">
        <f>(DY31/DY35*100+DY46)*DT31</f>
        <v>10.735655737704917</v>
      </c>
      <c r="EG31" s="202">
        <f>(DZ31/DZ35*100+DZ46)*DT31</f>
        <v>10.412499999999998</v>
      </c>
      <c r="EH31" s="202">
        <f>(EA31/EA35*100+EA46)*DT31</f>
        <v>10.511986301369864</v>
      </c>
      <c r="EI31" s="202">
        <f>(EB31/EB35*100+EB46)*DT31</f>
        <v>10.758333333333329</v>
      </c>
      <c r="EJ31" s="383">
        <f>(EC31/EC35*100+EC46)*DT31</f>
        <v>10.806034482758621</v>
      </c>
    </row>
    <row r="32" spans="2:140" x14ac:dyDescent="0.2">
      <c r="E32" s="86" t="s">
        <v>39</v>
      </c>
      <c r="J32" s="96" t="s">
        <v>25</v>
      </c>
      <c r="K32" s="97">
        <v>18</v>
      </c>
      <c r="L32" s="465">
        <f t="shared" si="15"/>
        <v>1</v>
      </c>
      <c r="N32" s="88">
        <v>10</v>
      </c>
      <c r="O32" s="95">
        <v>9</v>
      </c>
      <c r="P32" s="90"/>
      <c r="Q32" s="99">
        <f>O32/(L32-Q22)</f>
        <v>14.113636363636365</v>
      </c>
      <c r="R32" s="100">
        <f>O32/(L32-R22)</f>
        <v>10.35</v>
      </c>
      <c r="S32" s="100">
        <f>O32/(L32-S22)</f>
        <v>10.706896551724139</v>
      </c>
      <c r="T32" s="100">
        <f>O32/(L32-T22)</f>
        <v>10.180327868852459</v>
      </c>
      <c r="U32" s="100">
        <f>O32/(L32-U22)</f>
        <v>11.716981132075473</v>
      </c>
      <c r="W32" s="88">
        <v>10</v>
      </c>
      <c r="X32" s="32">
        <f>(Q32/Q35*100+Q47)*L32</f>
        <v>26.070652173913043</v>
      </c>
      <c r="Y32" s="202">
        <f>(R32/R35*100+R47)*L32</f>
        <v>18.517857142857142</v>
      </c>
      <c r="Z32" s="202">
        <f>(S32/S35*100+S47)*L32</f>
        <v>20.346428571428568</v>
      </c>
      <c r="AA32" s="202">
        <f>(T32/T35*100+T47)*L32</f>
        <v>17.545212765957448</v>
      </c>
      <c r="AB32" s="383">
        <f>(U32/U35*100+U47)*L32</f>
        <v>17.908333333333331</v>
      </c>
      <c r="AG32" s="86" t="s">
        <v>39</v>
      </c>
      <c r="AL32" s="96" t="s">
        <v>25</v>
      </c>
      <c r="AM32" s="101">
        <v>12</v>
      </c>
      <c r="AN32" s="465">
        <f t="shared" si="16"/>
        <v>1</v>
      </c>
      <c r="AP32" s="88">
        <v>10</v>
      </c>
      <c r="AQ32" s="95">
        <v>9</v>
      </c>
      <c r="AR32" s="90"/>
      <c r="AS32" s="99">
        <f>AQ32/(AN32-AS22)</f>
        <v>12.947368421052632</v>
      </c>
      <c r="AT32" s="100">
        <f>AQ32/(AN32-AT22)</f>
        <v>12.098360655737705</v>
      </c>
      <c r="AU32" s="100">
        <f>AQ32/(AN32-AU22)</f>
        <v>9.1111111111111107</v>
      </c>
      <c r="AV32" s="100">
        <f>AQ32/(AN32-AV22)</f>
        <v>12.508474576271187</v>
      </c>
      <c r="AW32" s="100">
        <f>AQ32/(AN32-AW22)</f>
        <v>10.542857142857143</v>
      </c>
      <c r="AY32" s="200">
        <v>10</v>
      </c>
      <c r="AZ32" s="32">
        <f>(AS32/AS35*100+AS47)*AN32</f>
        <v>15.658783783783784</v>
      </c>
      <c r="BA32" s="202">
        <f>(AT32/AT35*100+AT47)*AN32</f>
        <v>16.213235294117649</v>
      </c>
      <c r="BB32" s="202">
        <f>(AU32/AU35*100+AU47)*AN32</f>
        <v>14.781976744186046</v>
      </c>
      <c r="BC32" s="202">
        <f>(AV32/AV35*100+AV47)*AN32</f>
        <v>15.744863013698632</v>
      </c>
      <c r="BD32" s="383">
        <f>(AW32/AW35*100+AW47)*AN32</f>
        <v>15.924295774647888</v>
      </c>
      <c r="BI32" s="86" t="s">
        <v>39</v>
      </c>
      <c r="BN32" s="96" t="s">
        <v>25</v>
      </c>
      <c r="BO32" s="101">
        <v>5</v>
      </c>
      <c r="BP32" s="465">
        <f t="shared" si="17"/>
        <v>1</v>
      </c>
      <c r="BR32" s="88">
        <v>10</v>
      </c>
      <c r="BS32" s="95">
        <v>9</v>
      </c>
      <c r="BT32" s="90"/>
      <c r="BU32" s="99">
        <f>BS32/(BP32-BU22)</f>
        <v>12</v>
      </c>
      <c r="BV32" s="100">
        <f>BS32/(BP32-BV22)</f>
        <v>11.172413793103448</v>
      </c>
      <c r="BW32" s="100">
        <f>BS32/(BP32-BW22)</f>
        <v>12.226415094339622</v>
      </c>
      <c r="BX32" s="100">
        <f>BS32/(BP32-BX22)</f>
        <v>11.571428571428571</v>
      </c>
      <c r="BY32" s="100">
        <f>BS32/(BP32-BY22)</f>
        <v>9.6716417910447756</v>
      </c>
      <c r="CA32" s="208">
        <v>10</v>
      </c>
      <c r="CB32" s="32">
        <f>(BU32/BU35*100+BU47)*BP32</f>
        <v>17.558098591549296</v>
      </c>
      <c r="CC32" s="202">
        <f>(BV32/BV35*100+BV47)*BP32</f>
        <v>18.313461538461539</v>
      </c>
      <c r="CD32" s="202">
        <f>(BW32/BW35*100+BW47)*BP32</f>
        <v>19.392241379310349</v>
      </c>
      <c r="CE32" s="202">
        <f>(BX32/BX35*100+BX47)*BP32</f>
        <v>17.675000000000001</v>
      </c>
      <c r="CF32" s="383">
        <f>(BY32/BY35*100+BY47)*BP32</f>
        <v>17.919117647058826</v>
      </c>
      <c r="CK32" s="86" t="s">
        <v>39</v>
      </c>
      <c r="CP32" s="96" t="s">
        <v>25</v>
      </c>
      <c r="CQ32" s="101">
        <v>17</v>
      </c>
      <c r="CR32" s="465">
        <f t="shared" si="18"/>
        <v>1</v>
      </c>
      <c r="CT32" s="88">
        <v>10</v>
      </c>
      <c r="CU32" s="95">
        <v>9</v>
      </c>
      <c r="CV32" s="90"/>
      <c r="CW32" s="99">
        <f>CU32/(CR32-CW22)</f>
        <v>10.666666666666666</v>
      </c>
      <c r="CX32" s="100">
        <f>CU32/(CR32-CX22)</f>
        <v>9.2903225806451619</v>
      </c>
      <c r="CY32" s="100">
        <f>CU32/(CR32-CY22)</f>
        <v>11.076923076923077</v>
      </c>
      <c r="CZ32" s="100">
        <f>CU32/(CR32-CZ22)</f>
        <v>9.931034482758621</v>
      </c>
      <c r="DA32" s="100">
        <f>CU32/(CR32-DA22)</f>
        <v>19.2</v>
      </c>
      <c r="DC32" s="208">
        <v>10</v>
      </c>
      <c r="DD32" s="32">
        <f>(CW32/CW35*100+CW47)*CR32</f>
        <v>10.920454545454545</v>
      </c>
      <c r="DE32" s="202">
        <f>(CX32/CX35*100+CX47)*CR32</f>
        <v>10.454365079365081</v>
      </c>
      <c r="DF32" s="202">
        <f>(CY32/CY35*100+CY47)*CR32</f>
        <v>10.589285714285712</v>
      </c>
      <c r="DG32" s="202">
        <f>(CZ32/CZ35*100+CZ47)*CR32</f>
        <v>10.956395348837209</v>
      </c>
      <c r="DH32" s="383">
        <f>(DA32/DA35*100+DA47)*CR32</f>
        <v>10.405303030303031</v>
      </c>
      <c r="DM32" s="86" t="s">
        <v>39</v>
      </c>
      <c r="DR32" s="96" t="s">
        <v>25</v>
      </c>
      <c r="DS32" s="101">
        <v>15</v>
      </c>
      <c r="DT32" s="465">
        <f t="shared" si="19"/>
        <v>1</v>
      </c>
      <c r="DV32" s="88">
        <v>10</v>
      </c>
      <c r="DW32" s="95">
        <v>9</v>
      </c>
      <c r="DX32" s="90"/>
      <c r="DY32" s="99">
        <f>DW32/(DT32-DY22)</f>
        <v>9.6136363636363633</v>
      </c>
      <c r="DZ32" s="100">
        <f>DW32/(DT32-DZ22)</f>
        <v>18.391304347826086</v>
      </c>
      <c r="EA32" s="100">
        <f>DW32/(DT32-EA22)</f>
        <v>9.8372093023255811</v>
      </c>
      <c r="EB32" s="100">
        <f>DW32/(DT32-EB22)</f>
        <v>9.195652173913043</v>
      </c>
      <c r="EC32" s="100">
        <f>DW32/(DT32-EC22)</f>
        <v>13.21875</v>
      </c>
      <c r="EE32" s="208">
        <v>10</v>
      </c>
      <c r="EF32" s="32">
        <f>(DY32/DY35*100+DY47)*DT32</f>
        <v>14.817622950819672</v>
      </c>
      <c r="EG32" s="202">
        <f>(DZ32/DZ35*100+DZ47)*DT32</f>
        <v>13.524999999999999</v>
      </c>
      <c r="EH32" s="202">
        <f>(EA32/EA35*100+EA47)*DT32</f>
        <v>13.922945205479454</v>
      </c>
      <c r="EI32" s="202">
        <f>(EB32/EB35*100+EB47)*DT32</f>
        <v>14.90833333333333</v>
      </c>
      <c r="EJ32" s="383">
        <f>(EC32/EC35*100+EC47)*DT32</f>
        <v>15.099137931034482</v>
      </c>
    </row>
    <row r="33" spans="5:140" x14ac:dyDescent="0.2">
      <c r="E33" s="86" t="s">
        <v>39</v>
      </c>
      <c r="J33" s="96" t="s">
        <v>26</v>
      </c>
      <c r="K33" s="39">
        <v>19</v>
      </c>
      <c r="L33" s="465">
        <f t="shared" si="15"/>
        <v>1</v>
      </c>
      <c r="N33" s="88">
        <v>11</v>
      </c>
      <c r="O33" s="107">
        <v>8</v>
      </c>
      <c r="P33" s="90"/>
      <c r="Q33" s="99">
        <f>O33/(L33-Q22)</f>
        <v>12.545454545454547</v>
      </c>
      <c r="R33" s="100">
        <f>O33/(L33-R22)</f>
        <v>9.2000000000000011</v>
      </c>
      <c r="S33" s="100">
        <f>O33/(L33-S22)</f>
        <v>9.5172413793103452</v>
      </c>
      <c r="T33" s="100">
        <f>O33/(L33-T22)</f>
        <v>9.0491803278688518</v>
      </c>
      <c r="U33" s="100">
        <f>O33/(L33-U22)</f>
        <v>10.415094339622643</v>
      </c>
      <c r="W33" s="88">
        <v>11</v>
      </c>
      <c r="X33" s="32">
        <f>(Q33/Q35*100+Q48)*L33</f>
        <v>18.768115942028984</v>
      </c>
      <c r="Y33" s="202">
        <f>(R33/R35*100+R48)*L33</f>
        <v>14.047619047619047</v>
      </c>
      <c r="Z33" s="202">
        <f>(S33/S35*100+S48)*L33</f>
        <v>15.19047619047619</v>
      </c>
      <c r="AA33" s="202">
        <f>(T33/T35*100+T48)*L33</f>
        <v>13.439716312056737</v>
      </c>
      <c r="AB33" s="383">
        <f>(U33/U35*100+U48)*L33</f>
        <v>13.666666666666668</v>
      </c>
      <c r="AG33" s="86" t="s">
        <v>39</v>
      </c>
      <c r="AL33" s="96" t="s">
        <v>26</v>
      </c>
      <c r="AM33" s="101">
        <v>13</v>
      </c>
      <c r="AN33" s="465">
        <f t="shared" si="16"/>
        <v>1</v>
      </c>
      <c r="AP33" s="88">
        <v>11</v>
      </c>
      <c r="AQ33" s="107">
        <v>8</v>
      </c>
      <c r="AR33" s="90"/>
      <c r="AS33" s="99">
        <f>AQ33/(AN33-AS22)</f>
        <v>11.508771929824562</v>
      </c>
      <c r="AT33" s="100">
        <f>AQ33/(AN33-AT22)</f>
        <v>10.754098360655737</v>
      </c>
      <c r="AU33" s="100">
        <f>AQ33/(AN33-AU22)</f>
        <v>8.0987654320987659</v>
      </c>
      <c r="AV33" s="100">
        <f>AQ33/(AN33-AV22)</f>
        <v>11.118644067796611</v>
      </c>
      <c r="AW33" s="100">
        <f>AQ33/(AN33-AW22)</f>
        <v>9.3714285714285719</v>
      </c>
      <c r="AY33" s="200">
        <v>11</v>
      </c>
      <c r="AZ33" s="32">
        <f>(AS33/AS35*100+AS48)*AN33</f>
        <v>17.13063063063063</v>
      </c>
      <c r="BA33" s="202">
        <f>(AT33/AT35*100+AT48)*AN33</f>
        <v>17.906862745098039</v>
      </c>
      <c r="BB33" s="202">
        <f>(AU33/AU35*100+AU48)*AN33</f>
        <v>15.903100775193799</v>
      </c>
      <c r="BC33" s="202">
        <f>(AV33/AV35*100+AV48)*AN33</f>
        <v>17.251141552511417</v>
      </c>
      <c r="BD33" s="383">
        <f>(AW33/AW35*100+AW48)*AN33</f>
        <v>17.502347417840376</v>
      </c>
      <c r="BI33" s="86" t="s">
        <v>39</v>
      </c>
      <c r="BN33" s="96" t="s">
        <v>26</v>
      </c>
      <c r="BO33" s="101">
        <v>6</v>
      </c>
      <c r="BP33" s="465">
        <f t="shared" si="17"/>
        <v>1</v>
      </c>
      <c r="BR33" s="88">
        <v>11</v>
      </c>
      <c r="BS33" s="107">
        <v>8</v>
      </c>
      <c r="BT33" s="90"/>
      <c r="BU33" s="99">
        <f>BS33/(BP33-BU22)</f>
        <v>10.666666666666666</v>
      </c>
      <c r="BV33" s="100">
        <f>BS33/(BP33-BV22)</f>
        <v>9.931034482758621</v>
      </c>
      <c r="BW33" s="100">
        <f>BS33/(BP33-BW22)</f>
        <v>10.867924528301886</v>
      </c>
      <c r="BX33" s="100">
        <f>BS33/(BP33-BX22)</f>
        <v>10.285714285714285</v>
      </c>
      <c r="BY33" s="100">
        <f>BS33/(BP33-BY22)</f>
        <v>8.5970149253731343</v>
      </c>
      <c r="CA33" s="208">
        <v>11</v>
      </c>
      <c r="CB33" s="32">
        <f>(BU33/BU35*100+BU48)*BP33</f>
        <v>9.5023474178403742</v>
      </c>
      <c r="CC33" s="202">
        <f>(BV33/BV35*100+BV48)*BP33</f>
        <v>9.6102564102564116</v>
      </c>
      <c r="CD33" s="202">
        <f>(BW33/BW35*100+BW48)*BP33</f>
        <v>9.7643678160919549</v>
      </c>
      <c r="CE33" s="202">
        <f>(BX33/BX35*100+BX48)*BP33</f>
        <v>9.5190476190476172</v>
      </c>
      <c r="CF33" s="383">
        <f>(BY33/BY35*100+BY48)*BP33</f>
        <v>9.5539215686274499</v>
      </c>
      <c r="CK33" s="86" t="s">
        <v>39</v>
      </c>
      <c r="CP33" s="96" t="s">
        <v>26</v>
      </c>
      <c r="CQ33" s="101">
        <v>18</v>
      </c>
      <c r="CR33" s="465">
        <f t="shared" si="18"/>
        <v>1</v>
      </c>
      <c r="CT33" s="88">
        <v>11</v>
      </c>
      <c r="CU33" s="107">
        <v>8</v>
      </c>
      <c r="CV33" s="90"/>
      <c r="CW33" s="99">
        <f>CU33/(CR33-CW22)</f>
        <v>9.481481481481481</v>
      </c>
      <c r="CX33" s="100">
        <f>CU33/(CR33-CX22)</f>
        <v>8.258064516129032</v>
      </c>
      <c r="CY33" s="100">
        <f>CU33/(CR33-CY22)</f>
        <v>9.8461538461538467</v>
      </c>
      <c r="CZ33" s="100">
        <f>CU33/(CR33-CZ22)</f>
        <v>8.8275862068965516</v>
      </c>
      <c r="DA33" s="100">
        <f>CU33/(CR33-DA22)</f>
        <v>17.066666666666666</v>
      </c>
      <c r="DC33" s="208">
        <v>11</v>
      </c>
      <c r="DD33" s="32">
        <f>(CW33/CW35*100+CW48)*CR33</f>
        <v>14.515151515151516</v>
      </c>
      <c r="DE33" s="202">
        <f>(CX33/CX35*100+CX48)*CR33</f>
        <v>12.650793650793648</v>
      </c>
      <c r="DF33" s="202">
        <f>(CY33/CY35*100+CY48)*CR33</f>
        <v>13.19047619047619</v>
      </c>
      <c r="DG33" s="202">
        <f>(CZ33/CZ35*100+CZ48)*CR33</f>
        <v>14.65891472868217</v>
      </c>
      <c r="DH33" s="383">
        <f>(DA33/DA35*100+DA48)*CR33</f>
        <v>12.454545454545455</v>
      </c>
      <c r="DM33" s="86" t="s">
        <v>39</v>
      </c>
      <c r="DR33" s="96" t="s">
        <v>26</v>
      </c>
      <c r="DS33" s="103">
        <v>16</v>
      </c>
      <c r="DT33" s="465">
        <f t="shared" si="19"/>
        <v>1</v>
      </c>
      <c r="DV33" s="88">
        <v>11</v>
      </c>
      <c r="DW33" s="107">
        <v>8</v>
      </c>
      <c r="DX33" s="90"/>
      <c r="DY33" s="99">
        <f>DW33/(DT33-DY22)</f>
        <v>8.545454545454545</v>
      </c>
      <c r="DZ33" s="100">
        <f>DW33/(DT33-DZ22)</f>
        <v>16.34782608695652</v>
      </c>
      <c r="EA33" s="100">
        <f>DW33/(DT33-EA22)</f>
        <v>8.7441860465116275</v>
      </c>
      <c r="EB33" s="100">
        <f>DW33/(DT33-EB22)</f>
        <v>8.1739130434782616</v>
      </c>
      <c r="EC33" s="100">
        <f>DW33/(DT33-EC22)</f>
        <v>11.75</v>
      </c>
      <c r="EE33" s="208">
        <v>11</v>
      </c>
      <c r="EF33" s="32">
        <f>(DY33/DY35*100+DY48)*DT33</f>
        <v>11.054644808743168</v>
      </c>
      <c r="EG33" s="202">
        <f>(DZ33/DZ35*100+DZ48)*DT33</f>
        <v>10.408333333333331</v>
      </c>
      <c r="EH33" s="202">
        <f>(EA33/EA35*100+EA48)*DT33</f>
        <v>10.607305936073059</v>
      </c>
      <c r="EI33" s="202">
        <f>(EB33/EB35*100+EB48)*DT33</f>
        <v>11.099999999999998</v>
      </c>
      <c r="EJ33" s="383">
        <f>(EC33/EC35*100+EC48)*DT33</f>
        <v>11.195402298850574</v>
      </c>
    </row>
    <row r="34" spans="5:140" ht="15" thickBot="1" x14ac:dyDescent="0.25">
      <c r="E34" s="86" t="s">
        <v>39</v>
      </c>
      <c r="J34" s="96" t="s">
        <v>27</v>
      </c>
      <c r="K34" s="97">
        <v>20</v>
      </c>
      <c r="L34" s="465">
        <f t="shared" si="15"/>
        <v>1</v>
      </c>
      <c r="N34" s="109">
        <v>12</v>
      </c>
      <c r="O34" s="110">
        <v>7</v>
      </c>
      <c r="P34" s="90"/>
      <c r="Q34" s="111">
        <f>O34/(L34-Q22)</f>
        <v>10.977272727272728</v>
      </c>
      <c r="R34" s="112">
        <f>O34/(L34-R22)</f>
        <v>8.0500000000000007</v>
      </c>
      <c r="S34" s="112">
        <f>O34/(L34-S22)</f>
        <v>8.3275862068965516</v>
      </c>
      <c r="T34" s="112">
        <f>O34/(L34-T22)</f>
        <v>7.9180327868852451</v>
      </c>
      <c r="U34" s="112">
        <f>O34/(L34-U22)</f>
        <v>9.1132075471698109</v>
      </c>
      <c r="W34" s="109">
        <v>12</v>
      </c>
      <c r="X34" s="43">
        <f>(Q34/Q35*100+Q49)*L34</f>
        <v>21.900362318840582</v>
      </c>
      <c r="Y34" s="203">
        <f>(R34/R35*100+R49)*L34</f>
        <v>15.291666666666668</v>
      </c>
      <c r="Z34" s="203">
        <f>(S34/S35*100+S49)*L34</f>
        <v>16.891666666666666</v>
      </c>
      <c r="AA34" s="203">
        <f>(T34/T35*100+T49)*L34</f>
        <v>14.440602836879432</v>
      </c>
      <c r="AB34" s="384">
        <f>(U34/U35*100+U49)*L34</f>
        <v>14.758333333333333</v>
      </c>
      <c r="AG34" s="86" t="s">
        <v>39</v>
      </c>
      <c r="AL34" s="96" t="s">
        <v>27</v>
      </c>
      <c r="AM34" s="103">
        <v>14</v>
      </c>
      <c r="AN34" s="465">
        <f t="shared" si="16"/>
        <v>1</v>
      </c>
      <c r="AP34" s="109">
        <v>12</v>
      </c>
      <c r="AQ34" s="110">
        <v>7</v>
      </c>
      <c r="AR34" s="90"/>
      <c r="AS34" s="111">
        <f>AQ34/(AN34-AS22)</f>
        <v>10.070175438596491</v>
      </c>
      <c r="AT34" s="112">
        <f>AQ34/(AN34-AT22)</f>
        <v>9.4098360655737707</v>
      </c>
      <c r="AU34" s="112">
        <f>AQ34/(AN34-AU22)</f>
        <v>7.0864197530864201</v>
      </c>
      <c r="AV34" s="112">
        <f>AQ34/(AN34-AV22)</f>
        <v>9.7288135593220346</v>
      </c>
      <c r="AW34" s="112">
        <f>AQ34/(AN34-AW22)</f>
        <v>8.2000000000000011</v>
      </c>
      <c r="AY34" s="201">
        <v>12</v>
      </c>
      <c r="AZ34" s="43">
        <f>(AS34/AS35*100+AS49)*AN34</f>
        <v>8.548423423423424</v>
      </c>
      <c r="BA34" s="203">
        <f>(AT34/AT35*100+AT49)*AN34</f>
        <v>8.6593137254901968</v>
      </c>
      <c r="BB34" s="203">
        <f>(AU34/AU35*100+AU49)*AN34</f>
        <v>8.3730620155038764</v>
      </c>
      <c r="BC34" s="203">
        <f>(AV34/AV35*100+AV49)*AN34</f>
        <v>8.565639269406395</v>
      </c>
      <c r="BD34" s="384">
        <f>(AW34/AW35*100+AW49)*AN34</f>
        <v>8.601525821596244</v>
      </c>
      <c r="BI34" s="86" t="s">
        <v>39</v>
      </c>
      <c r="BN34" s="96" t="s">
        <v>27</v>
      </c>
      <c r="BO34" s="103">
        <v>7</v>
      </c>
      <c r="BP34" s="465">
        <f t="shared" si="17"/>
        <v>1</v>
      </c>
      <c r="BR34" s="109">
        <v>12</v>
      </c>
      <c r="BS34" s="110">
        <v>7</v>
      </c>
      <c r="BT34" s="90"/>
      <c r="BU34" s="111">
        <f>BS34/(BP34-BU22)</f>
        <v>9.3333333333333339</v>
      </c>
      <c r="BV34" s="112">
        <f>BS34/(BP34-BV22)</f>
        <v>8.6896551724137936</v>
      </c>
      <c r="BW34" s="112">
        <f>BS34/(BP34-BW22)</f>
        <v>9.5094339622641506</v>
      </c>
      <c r="BX34" s="112">
        <f>BS34/(BP34-BX22)</f>
        <v>9</v>
      </c>
      <c r="BY34" s="112">
        <f>BS34/(BP34-BY22)</f>
        <v>7.522388059701492</v>
      </c>
      <c r="CA34" s="209">
        <v>12</v>
      </c>
      <c r="CB34" s="43">
        <f>(BU34/BU35*100+BU49)*BP34</f>
        <v>11.967723004694836</v>
      </c>
      <c r="CC34" s="203">
        <f>(BV34/BV35*100+BV49)*BP34</f>
        <v>12.399358974358975</v>
      </c>
      <c r="CD34" s="203">
        <f>(BW34/BW35*100+BW49)*BP34</f>
        <v>13.015804597701152</v>
      </c>
      <c r="CE34" s="203">
        <f>(BX34/BX35*100+BX49)*BP34</f>
        <v>12.03452380952381</v>
      </c>
      <c r="CF34" s="384">
        <f>(BY34/BY35*100+BY49)*BP34</f>
        <v>12.174019607843137</v>
      </c>
      <c r="CK34" s="86" t="s">
        <v>39</v>
      </c>
      <c r="CP34" s="96" t="s">
        <v>27</v>
      </c>
      <c r="CQ34" s="103">
        <v>19</v>
      </c>
      <c r="CR34" s="465">
        <f t="shared" si="18"/>
        <v>1</v>
      </c>
      <c r="CT34" s="109">
        <v>12</v>
      </c>
      <c r="CU34" s="110">
        <v>7</v>
      </c>
      <c r="CV34" s="90"/>
      <c r="CW34" s="111">
        <f>CU34/(CR34-CW22)</f>
        <v>8.2962962962962958</v>
      </c>
      <c r="CX34" s="112">
        <f>CU34/(CR34-CX22)</f>
        <v>7.225806451612903</v>
      </c>
      <c r="CY34" s="112">
        <f>CU34/(CR34-CY22)</f>
        <v>8.615384615384615</v>
      </c>
      <c r="CZ34" s="112">
        <f>CU34/(CR34-CZ22)</f>
        <v>7.7241379310344831</v>
      </c>
      <c r="DA34" s="112">
        <f>CU34/(CR34-DA22)</f>
        <v>14.933333333333334</v>
      </c>
      <c r="DC34" s="209">
        <v>12</v>
      </c>
      <c r="DD34" s="43">
        <f>(CW34/CW35*100+CW49)*CR34</f>
        <v>10.382575757575758</v>
      </c>
      <c r="DE34" s="203">
        <f>(CX34/CX35*100+CX49)*CR34</f>
        <v>9.450396825396826</v>
      </c>
      <c r="DF34" s="203">
        <f>(CY34/CY35*100+CY49)*CR34</f>
        <v>9.7202380952380949</v>
      </c>
      <c r="DG34" s="203">
        <f>(CZ34/CZ35*100+CZ49)*CR34</f>
        <v>10.454457364341085</v>
      </c>
      <c r="DH34" s="384">
        <f>(DA34/DA35*100+DA49)*CR34</f>
        <v>9.3522727272727266</v>
      </c>
      <c r="DM34" s="86" t="s">
        <v>39</v>
      </c>
      <c r="DR34" s="96" t="s">
        <v>27</v>
      </c>
      <c r="DS34" s="101">
        <v>17</v>
      </c>
      <c r="DT34" s="465">
        <f t="shared" si="19"/>
        <v>1</v>
      </c>
      <c r="DV34" s="109">
        <v>12</v>
      </c>
      <c r="DW34" s="110">
        <v>7</v>
      </c>
      <c r="DX34" s="90"/>
      <c r="DY34" s="111">
        <f>DW34/(DT34-DY22)</f>
        <v>7.4772727272727275</v>
      </c>
      <c r="DZ34" s="112">
        <f>DW34/(DT34-DZ22)</f>
        <v>14.304347826086955</v>
      </c>
      <c r="EA34" s="112">
        <f>DW34/(DT34-EA22)</f>
        <v>7.6511627906976747</v>
      </c>
      <c r="EB34" s="112">
        <f>DW34/(DT34-EB22)</f>
        <v>7.1521739130434785</v>
      </c>
      <c r="EC34" s="112">
        <f>DW34/(DT34-EC22)</f>
        <v>10.28125</v>
      </c>
      <c r="EE34" s="209">
        <v>12</v>
      </c>
      <c r="EF34" s="43">
        <f>(DY34/DY35*100+DY49)*DT34</f>
        <v>18.176912568306012</v>
      </c>
      <c r="EG34" s="203">
        <f>(DZ34/DZ35*100+DZ49)*DT34</f>
        <v>15.591666666666667</v>
      </c>
      <c r="EH34" s="203">
        <f>(EA34/EA35*100+EA49)*DT34</f>
        <v>16.387557077625569</v>
      </c>
      <c r="EI34" s="203">
        <f>(EB34/EB35*100+EB49)*DT34</f>
        <v>18.358333333333334</v>
      </c>
      <c r="EJ34" s="384">
        <f>(EC34/EC35*100+EC49)*DT34</f>
        <v>18.739942528735632</v>
      </c>
    </row>
    <row r="35" spans="5:140" x14ac:dyDescent="0.2">
      <c r="E35" s="86" t="s">
        <v>39</v>
      </c>
      <c r="J35" s="96" t="s">
        <v>28</v>
      </c>
      <c r="K35" s="39">
        <v>21</v>
      </c>
      <c r="N35" s="10"/>
      <c r="O35" s="90"/>
      <c r="P35" s="90"/>
      <c r="Q35" s="113">
        <f>SUM(Q23:Q34)</f>
        <v>150.54545454545456</v>
      </c>
      <c r="R35" s="113">
        <f t="shared" ref="R35:U35" si="20">SUM(R23:R34)</f>
        <v>110.39999999999999</v>
      </c>
      <c r="S35" s="113">
        <f t="shared" si="20"/>
        <v>114.20689655172417</v>
      </c>
      <c r="T35" s="113">
        <f t="shared" si="20"/>
        <v>108.59016393442623</v>
      </c>
      <c r="U35" s="113">
        <f t="shared" si="20"/>
        <v>124.98113207547171</v>
      </c>
      <c r="AG35" s="86" t="s">
        <v>39</v>
      </c>
      <c r="AL35" s="96" t="s">
        <v>28</v>
      </c>
      <c r="AM35" s="97">
        <v>15</v>
      </c>
      <c r="AP35" s="10"/>
      <c r="AQ35" s="90"/>
      <c r="AR35" s="90"/>
      <c r="AS35" s="113">
        <f>SUM(AS23:AS34)</f>
        <v>138.10526315789474</v>
      </c>
      <c r="AT35" s="113">
        <f t="shared" ref="AT35:AW35" si="21">SUM(AT23:AT34)</f>
        <v>129.04918032786884</v>
      </c>
      <c r="AU35" s="113">
        <f t="shared" si="21"/>
        <v>97.185185185185176</v>
      </c>
      <c r="AV35" s="113">
        <f t="shared" si="21"/>
        <v>133.42372881355931</v>
      </c>
      <c r="AW35" s="113">
        <f t="shared" si="21"/>
        <v>112.45714285714286</v>
      </c>
      <c r="AY35" s="160"/>
      <c r="AZ35" s="171"/>
      <c r="BA35" s="171"/>
      <c r="BB35" s="171"/>
      <c r="BC35" s="171"/>
      <c r="BD35" s="171"/>
      <c r="BI35" s="86" t="s">
        <v>39</v>
      </c>
      <c r="BN35" s="96" t="s">
        <v>28</v>
      </c>
      <c r="BO35" s="97">
        <v>8</v>
      </c>
      <c r="BR35" s="10"/>
      <c r="BS35" s="90"/>
      <c r="BT35" s="90"/>
      <c r="BU35" s="113">
        <f>SUM(BU23:BU34)</f>
        <v>128</v>
      </c>
      <c r="BV35" s="113">
        <f t="shared" ref="BV35:BY35" si="22">SUM(BV23:BV34)</f>
        <v>119.17241379310344</v>
      </c>
      <c r="BW35" s="113">
        <f t="shared" si="22"/>
        <v>130.41509433962261</v>
      </c>
      <c r="BX35" s="113">
        <f t="shared" si="22"/>
        <v>123.42857142857142</v>
      </c>
      <c r="BY35" s="113">
        <f t="shared" si="22"/>
        <v>103.16417910447761</v>
      </c>
      <c r="CA35" s="160"/>
      <c r="CB35" s="171"/>
      <c r="CC35" s="171"/>
      <c r="CD35" s="171"/>
      <c r="CE35" s="171"/>
      <c r="CF35" s="171"/>
      <c r="CK35" s="86" t="s">
        <v>39</v>
      </c>
      <c r="CP35" s="96" t="s">
        <v>28</v>
      </c>
      <c r="CQ35" s="97">
        <v>20</v>
      </c>
      <c r="CT35" s="10"/>
      <c r="CU35" s="90"/>
      <c r="CV35" s="90"/>
      <c r="CW35" s="113">
        <f>SUM(CW23:CW34)</f>
        <v>113.77777777777777</v>
      </c>
      <c r="CX35" s="113">
        <f t="shared" ref="CX35:DA35" si="23">SUM(CX23:CX34)</f>
        <v>99.096774193548384</v>
      </c>
      <c r="CY35" s="113">
        <f t="shared" si="23"/>
        <v>118.15384615384616</v>
      </c>
      <c r="CZ35" s="113">
        <f t="shared" si="23"/>
        <v>105.93103448275862</v>
      </c>
      <c r="DA35" s="113">
        <f t="shared" si="23"/>
        <v>204.79999999999998</v>
      </c>
      <c r="DC35" s="160"/>
      <c r="DD35" s="171"/>
      <c r="DE35" s="171"/>
      <c r="DF35" s="171"/>
      <c r="DG35" s="171"/>
      <c r="DH35" s="171"/>
      <c r="DM35" s="86" t="s">
        <v>39</v>
      </c>
      <c r="DR35" s="96" t="s">
        <v>28</v>
      </c>
      <c r="DS35" s="38">
        <v>18</v>
      </c>
      <c r="DV35" s="10"/>
      <c r="DW35" s="90"/>
      <c r="DX35" s="90"/>
      <c r="DY35" s="113">
        <f>SUM(DY23:DY34)</f>
        <v>102.54545454545455</v>
      </c>
      <c r="DZ35" s="113">
        <f t="shared" ref="DZ35:EC35" si="24">SUM(DZ23:DZ34)</f>
        <v>196.17391304347828</v>
      </c>
      <c r="EA35" s="113">
        <f t="shared" si="24"/>
        <v>104.93023255813952</v>
      </c>
      <c r="EB35" s="113">
        <f t="shared" si="24"/>
        <v>98.086956521739154</v>
      </c>
      <c r="EC35" s="113">
        <f t="shared" si="24"/>
        <v>141</v>
      </c>
      <c r="EE35" s="160"/>
      <c r="EF35" s="171"/>
      <c r="EG35" s="171"/>
      <c r="EH35" s="171"/>
      <c r="EI35" s="171"/>
      <c r="EJ35" s="171"/>
    </row>
    <row r="36" spans="5:140" ht="15" thickBot="1" x14ac:dyDescent="0.25">
      <c r="E36" s="86" t="s">
        <v>39</v>
      </c>
      <c r="J36" s="96" t="s">
        <v>21</v>
      </c>
      <c r="K36" s="97">
        <v>22</v>
      </c>
      <c r="O36" s="10" t="s">
        <v>29</v>
      </c>
      <c r="W36" s="170" t="s">
        <v>54</v>
      </c>
      <c r="Y36" s="171"/>
      <c r="Z36" s="171"/>
      <c r="AA36" s="171"/>
      <c r="AB36" s="171"/>
      <c r="AG36" s="86" t="s">
        <v>39</v>
      </c>
      <c r="AL36" s="96" t="s">
        <v>21</v>
      </c>
      <c r="AM36" s="97">
        <v>16</v>
      </c>
      <c r="AQ36" s="10" t="s">
        <v>29</v>
      </c>
      <c r="AY36" s="170" t="s">
        <v>80</v>
      </c>
      <c r="AZ36" s="171"/>
      <c r="BA36" s="171"/>
      <c r="BB36" s="171"/>
      <c r="BC36" s="171"/>
      <c r="BD36" s="171"/>
      <c r="BI36" s="86" t="s">
        <v>39</v>
      </c>
      <c r="BN36" s="96" t="s">
        <v>21</v>
      </c>
      <c r="BO36" s="97">
        <v>9</v>
      </c>
      <c r="BS36" s="10" t="s">
        <v>29</v>
      </c>
      <c r="CA36" s="170" t="s">
        <v>84</v>
      </c>
      <c r="CB36" s="171"/>
      <c r="CC36" s="171"/>
      <c r="CD36" s="171"/>
      <c r="CE36" s="171"/>
      <c r="CF36" s="171"/>
      <c r="CK36" s="86" t="s">
        <v>39</v>
      </c>
      <c r="CP36" s="96" t="s">
        <v>21</v>
      </c>
      <c r="CQ36" s="97">
        <v>21</v>
      </c>
      <c r="CU36" s="10" t="s">
        <v>29</v>
      </c>
      <c r="DC36" s="170" t="s">
        <v>99</v>
      </c>
      <c r="DD36" s="171"/>
      <c r="DE36" s="171"/>
      <c r="DF36" s="171"/>
      <c r="DG36" s="171"/>
      <c r="DH36" s="171"/>
      <c r="DM36" s="86" t="s">
        <v>39</v>
      </c>
      <c r="DR36" s="96" t="s">
        <v>21</v>
      </c>
      <c r="DS36" s="38">
        <v>19</v>
      </c>
      <c r="DW36" s="10" t="s">
        <v>29</v>
      </c>
      <c r="EE36" s="170" t="s">
        <v>114</v>
      </c>
      <c r="EF36" s="171"/>
      <c r="EG36" s="171"/>
      <c r="EH36" s="171"/>
      <c r="EI36" s="171"/>
      <c r="EJ36" s="171"/>
    </row>
    <row r="37" spans="5:140" ht="15" thickBot="1" x14ac:dyDescent="0.25">
      <c r="E37" s="86" t="s">
        <v>39</v>
      </c>
      <c r="J37" s="96" t="s">
        <v>7</v>
      </c>
      <c r="K37" s="39">
        <v>23</v>
      </c>
      <c r="L37" s="77" t="s">
        <v>36</v>
      </c>
      <c r="M37" s="78" t="s">
        <v>15</v>
      </c>
      <c r="N37" s="79" t="s">
        <v>37</v>
      </c>
      <c r="O37" s="80" t="s">
        <v>38</v>
      </c>
      <c r="P37" s="10"/>
      <c r="Q37" s="114">
        <f>K15</f>
        <v>0.52083333333333337</v>
      </c>
      <c r="R37" s="115">
        <f t="shared" ref="R37:U37" si="25">L15</f>
        <v>0.125</v>
      </c>
      <c r="S37" s="115">
        <f t="shared" si="25"/>
        <v>0.27083333333333331</v>
      </c>
      <c r="T37" s="115">
        <f t="shared" si="25"/>
        <v>2.0833333333333332E-2</v>
      </c>
      <c r="U37" s="116">
        <f t="shared" si="25"/>
        <v>6.25E-2</v>
      </c>
      <c r="V37" s="84">
        <f>SUM(Q37:U37)</f>
        <v>1</v>
      </c>
      <c r="W37" s="172" t="s">
        <v>37</v>
      </c>
      <c r="X37" s="319" t="s">
        <v>30</v>
      </c>
      <c r="Y37" s="174" t="s">
        <v>31</v>
      </c>
      <c r="Z37" s="174" t="s">
        <v>32</v>
      </c>
      <c r="AA37" s="174" t="s">
        <v>33</v>
      </c>
      <c r="AB37" s="175" t="s">
        <v>34</v>
      </c>
      <c r="AG37" s="86" t="s">
        <v>39</v>
      </c>
      <c r="AL37" s="96" t="s">
        <v>7</v>
      </c>
      <c r="AM37" s="39">
        <v>17</v>
      </c>
      <c r="AN37" s="77" t="s">
        <v>36</v>
      </c>
      <c r="AO37" s="78" t="s">
        <v>15</v>
      </c>
      <c r="AP37" s="79" t="s">
        <v>37</v>
      </c>
      <c r="AQ37" s="80" t="s">
        <v>38</v>
      </c>
      <c r="AR37" s="10"/>
      <c r="AS37" s="114">
        <f>AM15</f>
        <v>0.20430107526881722</v>
      </c>
      <c r="AT37" s="115">
        <f t="shared" ref="AT37:AW37" si="26">AN15</f>
        <v>0.26881720430107525</v>
      </c>
      <c r="AU37" s="115">
        <f t="shared" si="26"/>
        <v>7.5268817204301078E-2</v>
      </c>
      <c r="AV37" s="115">
        <f t="shared" si="26"/>
        <v>0.21505376344086022</v>
      </c>
      <c r="AW37" s="116">
        <f t="shared" si="26"/>
        <v>0.23655913978494625</v>
      </c>
      <c r="AX37" s="84">
        <f>SUM(AS37:AW37)</f>
        <v>1</v>
      </c>
      <c r="AY37" s="198" t="s">
        <v>37</v>
      </c>
      <c r="AZ37" s="197" t="s">
        <v>30</v>
      </c>
      <c r="BA37" s="174" t="s">
        <v>31</v>
      </c>
      <c r="BB37" s="174" t="s">
        <v>32</v>
      </c>
      <c r="BC37" s="174" t="s">
        <v>33</v>
      </c>
      <c r="BD37" s="175" t="s">
        <v>34</v>
      </c>
      <c r="BI37" s="86" t="s">
        <v>39</v>
      </c>
      <c r="BN37" s="96" t="s">
        <v>7</v>
      </c>
      <c r="BO37" s="39">
        <v>10</v>
      </c>
      <c r="BP37" s="77" t="s">
        <v>36</v>
      </c>
      <c r="BQ37" s="78" t="s">
        <v>15</v>
      </c>
      <c r="BR37" s="79" t="s">
        <v>37</v>
      </c>
      <c r="BS37" s="80" t="s">
        <v>38</v>
      </c>
      <c r="BT37" s="10"/>
      <c r="BU37" s="114">
        <f>BO15</f>
        <v>0.14457831325301204</v>
      </c>
      <c r="BV37" s="115">
        <f t="shared" ref="BV37:BY37" si="27">BP15</f>
        <v>0.21686746987951808</v>
      </c>
      <c r="BW37" s="115">
        <f t="shared" si="27"/>
        <v>0.30120481927710846</v>
      </c>
      <c r="BX37" s="115">
        <f t="shared" si="27"/>
        <v>0.15662650602409639</v>
      </c>
      <c r="BY37" s="116">
        <f t="shared" si="27"/>
        <v>0.18072289156626506</v>
      </c>
      <c r="BZ37" s="84">
        <f>SUM(BU37:BY37)</f>
        <v>1</v>
      </c>
      <c r="CA37" s="198" t="s">
        <v>37</v>
      </c>
      <c r="CB37" s="173" t="s">
        <v>30</v>
      </c>
      <c r="CC37" s="174" t="s">
        <v>31</v>
      </c>
      <c r="CD37" s="174" t="s">
        <v>32</v>
      </c>
      <c r="CE37" s="174" t="s">
        <v>33</v>
      </c>
      <c r="CF37" s="175" t="s">
        <v>34</v>
      </c>
      <c r="CK37" s="86" t="s">
        <v>39</v>
      </c>
      <c r="CP37" s="96" t="s">
        <v>7</v>
      </c>
      <c r="CQ37" s="39">
        <v>22</v>
      </c>
      <c r="CR37" s="77" t="s">
        <v>36</v>
      </c>
      <c r="CS37" s="78" t="s">
        <v>15</v>
      </c>
      <c r="CT37" s="79" t="s">
        <v>37</v>
      </c>
      <c r="CU37" s="80" t="s">
        <v>38</v>
      </c>
      <c r="CV37" s="10"/>
      <c r="CW37" s="114">
        <f>CQ15</f>
        <v>0.35294117647058826</v>
      </c>
      <c r="CX37" s="115">
        <f t="shared" ref="CX37:DA37" si="28">CR15</f>
        <v>7.3529411764705885E-2</v>
      </c>
      <c r="CY37" s="115">
        <f t="shared" si="28"/>
        <v>0.17647058823529413</v>
      </c>
      <c r="CZ37" s="115">
        <f t="shared" si="28"/>
        <v>0.36764705882352944</v>
      </c>
      <c r="DA37" s="116">
        <f t="shared" si="28"/>
        <v>2.9411764705882353E-2</v>
      </c>
      <c r="DB37" s="84">
        <f>SUM(CW37:DA37)</f>
        <v>1</v>
      </c>
      <c r="DC37" s="198" t="s">
        <v>37</v>
      </c>
      <c r="DD37" s="173" t="s">
        <v>30</v>
      </c>
      <c r="DE37" s="174" t="s">
        <v>31</v>
      </c>
      <c r="DF37" s="174" t="s">
        <v>32</v>
      </c>
      <c r="DG37" s="174" t="s">
        <v>33</v>
      </c>
      <c r="DH37" s="175" t="s">
        <v>34</v>
      </c>
      <c r="DM37" s="86" t="s">
        <v>39</v>
      </c>
      <c r="DR37" s="96" t="s">
        <v>7</v>
      </c>
      <c r="DS37" s="101">
        <v>20</v>
      </c>
      <c r="DT37" s="77" t="s">
        <v>36</v>
      </c>
      <c r="DU37" s="153" t="s">
        <v>15</v>
      </c>
      <c r="DV37" s="79" t="s">
        <v>37</v>
      </c>
      <c r="DW37" s="80" t="s">
        <v>38</v>
      </c>
      <c r="DX37" s="10"/>
      <c r="DY37" s="114">
        <f>DS15</f>
        <v>0.26506024096385544</v>
      </c>
      <c r="DZ37" s="115">
        <f t="shared" ref="DZ37:EC37" si="29">DT15</f>
        <v>3.614457831325301E-2</v>
      </c>
      <c r="EA37" s="115">
        <f t="shared" si="29"/>
        <v>0.12048192771084337</v>
      </c>
      <c r="EB37" s="115">
        <f t="shared" si="29"/>
        <v>0.27710843373493976</v>
      </c>
      <c r="EC37" s="116">
        <f t="shared" si="29"/>
        <v>0.30120481927710846</v>
      </c>
      <c r="ED37" s="84">
        <f>SUM(DY37:EC37)</f>
        <v>1</v>
      </c>
      <c r="EE37" s="198" t="s">
        <v>37</v>
      </c>
      <c r="EF37" s="173" t="s">
        <v>30</v>
      </c>
      <c r="EG37" s="174" t="s">
        <v>31</v>
      </c>
      <c r="EH37" s="174" t="s">
        <v>32</v>
      </c>
      <c r="EI37" s="174" t="s">
        <v>33</v>
      </c>
      <c r="EJ37" s="175" t="s">
        <v>34</v>
      </c>
    </row>
    <row r="38" spans="5:140" x14ac:dyDescent="0.2">
      <c r="E38" s="86" t="s">
        <v>39</v>
      </c>
      <c r="J38" s="96" t="s">
        <v>13</v>
      </c>
      <c r="K38" s="97">
        <v>24</v>
      </c>
      <c r="L38" s="465">
        <f>L23</f>
        <v>1</v>
      </c>
      <c r="N38" s="88">
        <v>1</v>
      </c>
      <c r="O38" s="89">
        <v>1</v>
      </c>
      <c r="P38" s="90"/>
      <c r="Q38" s="91">
        <f>O38/(L38-Q37)</f>
        <v>2.0869565217391304</v>
      </c>
      <c r="R38" s="92">
        <f>O38/(L38-R37)</f>
        <v>1.1428571428571428</v>
      </c>
      <c r="S38" s="92">
        <f>O38/(L38-S37)</f>
        <v>1.3714285714285712</v>
      </c>
      <c r="T38" s="92">
        <f>O38/(L38-T37)</f>
        <v>1.021276595744681</v>
      </c>
      <c r="U38" s="93">
        <f>O38/(L38-U37)</f>
        <v>1.0666666666666667</v>
      </c>
      <c r="V38" s="102">
        <f>SUM(Q38:U38)</f>
        <v>6.689185498436192</v>
      </c>
      <c r="W38" s="88">
        <v>1</v>
      </c>
      <c r="X38" s="385">
        <f>(Q38/V38*100+Q23)*L38</f>
        <v>42.176235922822059</v>
      </c>
      <c r="Y38" s="386">
        <f>(R38/V38*100+R23)*L38</f>
        <v>25.13514651184844</v>
      </c>
      <c r="Z38" s="386">
        <f>(S38/V38*100+S23)*L38</f>
        <v>28.829762021114679</v>
      </c>
      <c r="AA38" s="386">
        <f>(T38/V38*100+T23)*L38</f>
        <v>23.185610520877471</v>
      </c>
      <c r="AB38" s="387">
        <f>(U38/V38*100+U23)*L38</f>
        <v>25.05934429156169</v>
      </c>
      <c r="AG38" s="86" t="s">
        <v>39</v>
      </c>
      <c r="AL38" s="96" t="s">
        <v>13</v>
      </c>
      <c r="AM38" s="97">
        <v>18</v>
      </c>
      <c r="AN38" s="465">
        <f>AN23</f>
        <v>1</v>
      </c>
      <c r="AP38" s="88">
        <v>1</v>
      </c>
      <c r="AQ38" s="89">
        <v>4</v>
      </c>
      <c r="AR38" s="90"/>
      <c r="AS38" s="91">
        <f>AQ38/(AN38-AS37)</f>
        <v>5.0270270270270272</v>
      </c>
      <c r="AT38" s="92">
        <f>AQ38/(AN38-AT37)</f>
        <v>5.4705882352941178</v>
      </c>
      <c r="AU38" s="92">
        <f>AQ38/(AN38-AU37)</f>
        <v>4.3255813953488378</v>
      </c>
      <c r="AV38" s="92">
        <f>AQ38/(AN38-AV37)</f>
        <v>5.095890410958904</v>
      </c>
      <c r="AW38" s="93">
        <f>AQ38/(AN38-AW37)</f>
        <v>5.23943661971831</v>
      </c>
      <c r="AX38" s="102">
        <f>SUM(AS38:AW38)</f>
        <v>25.158523688347195</v>
      </c>
      <c r="AY38" s="206">
        <v>1</v>
      </c>
      <c r="AZ38" s="385">
        <f t="shared" ref="AZ38:AZ49" si="30">(AS38/AX38*100+AS23)*AN38</f>
        <v>30.051582492919877</v>
      </c>
      <c r="BA38" s="386">
        <f>(AT38/AX38*100+AT23)*AN38</f>
        <v>31.154308448219812</v>
      </c>
      <c r="BB38" s="386">
        <f>(AU38/AX38*100+AU23)*AN38</f>
        <v>24.279723497504222</v>
      </c>
      <c r="BC38" s="386">
        <f>(AV38/AX38*100+AV23)*AN38</f>
        <v>29.983938518499166</v>
      </c>
      <c r="BD38" s="387">
        <f>(AW38/AX38*100+AW23)*AN38</f>
        <v>29.025691859435646</v>
      </c>
      <c r="BI38" s="86" t="s">
        <v>39</v>
      </c>
      <c r="BN38" s="96" t="s">
        <v>13</v>
      </c>
      <c r="BO38" s="97">
        <v>11</v>
      </c>
      <c r="BP38" s="465">
        <f>BP23</f>
        <v>1</v>
      </c>
      <c r="BR38" s="88">
        <v>1</v>
      </c>
      <c r="BS38" s="95">
        <v>2</v>
      </c>
      <c r="BT38" s="90"/>
      <c r="BU38" s="91">
        <f>BS38/(BP38-BU37)</f>
        <v>2.3380281690140845</v>
      </c>
      <c r="BV38" s="92">
        <f>BS38/(BP38-BV37)</f>
        <v>2.5538461538461541</v>
      </c>
      <c r="BW38" s="92">
        <f>BS38/(BP38-BW37)</f>
        <v>2.8620689655172411</v>
      </c>
      <c r="BX38" s="92">
        <f>BS38/(BP38-BX37)</f>
        <v>2.3714285714285714</v>
      </c>
      <c r="BY38" s="93">
        <f>BS38/(BP38-BY37)</f>
        <v>2.4411764705882355</v>
      </c>
      <c r="BZ38" s="102">
        <f>SUM(BU38:BY38)</f>
        <v>12.566548330394287</v>
      </c>
      <c r="CA38" s="210">
        <v>1</v>
      </c>
      <c r="CB38" s="385">
        <f t="shared" ref="CB38:CB49" si="31">(BU38/BZ38*100+BU23)*BP38</f>
        <v>27.938507224712673</v>
      </c>
      <c r="CC38" s="386">
        <f>(BV38/BZ38*100+BV23)*BP38</f>
        <v>29.012229730689693</v>
      </c>
      <c r="CD38" s="386">
        <f>(BW38/BZ38*100+BW23)*BP38</f>
        <v>32.284733036194034</v>
      </c>
      <c r="CE38" s="386">
        <f>(BX38/BZ38*100+BX23)*BP38</f>
        <v>27.870962089827618</v>
      </c>
      <c r="CF38" s="387">
        <f>(BY38/BZ38*100+BY23)*BP38</f>
        <v>26.948378446288746</v>
      </c>
      <c r="CK38" s="86" t="s">
        <v>39</v>
      </c>
      <c r="CP38" s="96" t="s">
        <v>13</v>
      </c>
      <c r="CQ38" s="97">
        <v>23</v>
      </c>
      <c r="CR38" s="465">
        <f>CR23</f>
        <v>1</v>
      </c>
      <c r="CT38" s="88">
        <v>1</v>
      </c>
      <c r="CU38" s="95">
        <v>8</v>
      </c>
      <c r="CV38" s="90"/>
      <c r="CW38" s="91">
        <f>CU38/(CR38-CW37)</f>
        <v>12.363636363636365</v>
      </c>
      <c r="CX38" s="92">
        <f>CU38/(CR38-CX37)</f>
        <v>8.6349206349206344</v>
      </c>
      <c r="CY38" s="92">
        <f>CU38/(CR38-CY37)</f>
        <v>9.7142857142857153</v>
      </c>
      <c r="CZ38" s="92">
        <f>CU38/(CR38-CZ37)</f>
        <v>12.651162790697676</v>
      </c>
      <c r="DA38" s="93">
        <f>CU38/(CR38-DA37)</f>
        <v>8.2424242424242422</v>
      </c>
      <c r="DB38" s="102">
        <f>SUM(CW38:DA38)</f>
        <v>51.606429745964633</v>
      </c>
      <c r="DC38" s="210">
        <v>1</v>
      </c>
      <c r="DD38" s="385">
        <f t="shared" ref="DD38:DD49" si="32">(CW38/DB38*100+CW23)*CR38</f>
        <v>32.253846594770764</v>
      </c>
      <c r="DE38" s="386">
        <f>(CX38/DB38*100+CX23)*CR38</f>
        <v>23.9580638029284</v>
      </c>
      <c r="DF38" s="386">
        <f>(CY38/DB38*100+CY23)*CR38</f>
        <v>27.43917413561455</v>
      </c>
      <c r="DG38" s="386">
        <f>(CZ38/DB38*100+CZ23)*CR38</f>
        <v>32.238840562031605</v>
      </c>
      <c r="DH38" s="387">
        <f>(DA38/DB38*100+DA23)*CR38</f>
        <v>30.90503353231631</v>
      </c>
      <c r="DM38" s="86" t="s">
        <v>39</v>
      </c>
      <c r="DR38" s="96" t="s">
        <v>13</v>
      </c>
      <c r="DS38" s="101">
        <v>21</v>
      </c>
      <c r="DT38" s="465">
        <f>DT23</f>
        <v>1</v>
      </c>
      <c r="DV38" s="88">
        <v>1</v>
      </c>
      <c r="DW38" s="95">
        <v>5</v>
      </c>
      <c r="DX38" s="90"/>
      <c r="DY38" s="91">
        <f>DW38/(DT38-DY37)</f>
        <v>6.8032786885245899</v>
      </c>
      <c r="DZ38" s="92">
        <f>DW38/(DT38-DZ37)</f>
        <v>5.1875</v>
      </c>
      <c r="EA38" s="92">
        <f>DW38/(DT38-EA37)</f>
        <v>5.6849315068493151</v>
      </c>
      <c r="EB38" s="92">
        <f>DW38/(DT38-EB37)</f>
        <v>6.916666666666667</v>
      </c>
      <c r="EC38" s="93">
        <f>DW38/(DT38-EC37)</f>
        <v>7.1551724137931032</v>
      </c>
      <c r="ED38" s="102">
        <f>SUM(DY38:EC38)</f>
        <v>31.747549275833673</v>
      </c>
      <c r="EE38" s="210">
        <v>1</v>
      </c>
      <c r="EF38" s="24">
        <f>DY38/ED38*100+DY23</f>
        <v>28.906576228514208</v>
      </c>
      <c r="EG38" s="25">
        <f>DZ38/ED38*100+DZ23</f>
        <v>30.644191745783587</v>
      </c>
      <c r="EH38" s="25">
        <f>EA38/ED38*100+EA23</f>
        <v>25.557841058858369</v>
      </c>
      <c r="EI38" s="25">
        <f>EB38/ED38*100+EB23</f>
        <v>28.938632472638986</v>
      </c>
      <c r="EJ38" s="26">
        <f>EC38/ED38*100+EC23</f>
        <v>32.818965751305697</v>
      </c>
    </row>
    <row r="39" spans="5:140" x14ac:dyDescent="0.2">
      <c r="E39" s="86" t="s">
        <v>39</v>
      </c>
      <c r="J39" s="105" t="s">
        <v>1</v>
      </c>
      <c r="K39" s="117">
        <v>25</v>
      </c>
      <c r="L39" s="465">
        <f>L38</f>
        <v>1</v>
      </c>
      <c r="N39" s="88">
        <v>2</v>
      </c>
      <c r="O39" s="95">
        <v>4</v>
      </c>
      <c r="P39" s="90"/>
      <c r="Q39" s="99">
        <f>O39/(L39-Q37)</f>
        <v>8.3478260869565215</v>
      </c>
      <c r="R39" s="100">
        <f>O39/(L39-R37)</f>
        <v>4.5714285714285712</v>
      </c>
      <c r="S39" s="100">
        <f>O39/(L39-S37)</f>
        <v>5.4857142857142849</v>
      </c>
      <c r="T39" s="100">
        <f>O39/(L39-T37)</f>
        <v>4.085106382978724</v>
      </c>
      <c r="U39" s="100">
        <f>O39/(L39-U37)</f>
        <v>4.2666666666666666</v>
      </c>
      <c r="V39" s="102">
        <f t="shared" ref="V39:V49" si="33">SUM(Q39:U39)</f>
        <v>26.756741993744768</v>
      </c>
      <c r="W39" s="88">
        <v>2</v>
      </c>
      <c r="X39" s="32">
        <f t="shared" ref="X39:X49" si="34">(Q39/V39*100+Q24)*L39</f>
        <v>43.744417741003872</v>
      </c>
      <c r="Y39" s="38">
        <f t="shared" ref="Y39:Y49" si="35">(R39/V39*100+R24)*L39</f>
        <v>26.285146511848438</v>
      </c>
      <c r="Z39" s="38">
        <f t="shared" ref="Z39:Z49" si="36">(S39/V39*100+S24)*L39</f>
        <v>30.019417193528472</v>
      </c>
      <c r="AA39" s="38">
        <f t="shared" ref="AA39:AA49" si="37">(T39/V39*100+T24)*L39</f>
        <v>24.31675806186108</v>
      </c>
      <c r="AB39" s="39">
        <f t="shared" ref="AB39:AB49" si="38">(U39/V39*100+U24)*L39</f>
        <v>26.36123108401452</v>
      </c>
      <c r="AG39" s="86" t="s">
        <v>39</v>
      </c>
      <c r="AL39" s="96" t="s">
        <v>1</v>
      </c>
      <c r="AM39" s="97">
        <v>19</v>
      </c>
      <c r="AN39" s="465">
        <f>AN38</f>
        <v>1</v>
      </c>
      <c r="AP39" s="88">
        <v>2</v>
      </c>
      <c r="AQ39" s="95">
        <v>2</v>
      </c>
      <c r="AR39" s="90"/>
      <c r="AS39" s="99">
        <f>AQ39/(AN39-AS37)</f>
        <v>2.5135135135135136</v>
      </c>
      <c r="AT39" s="100">
        <f>AQ39/(AN39-AT37)</f>
        <v>2.7352941176470589</v>
      </c>
      <c r="AU39" s="100">
        <f>AQ39/(AN39-AU37)</f>
        <v>2.1627906976744189</v>
      </c>
      <c r="AV39" s="100">
        <f>AQ39/(AN39-AV37)</f>
        <v>2.547945205479452</v>
      </c>
      <c r="AW39" s="100">
        <f>AQ39/(AN39-AW37)</f>
        <v>2.619718309859155</v>
      </c>
      <c r="AX39" s="102">
        <f t="shared" ref="AX39:AX49" si="39">SUM(AS39:AW39)</f>
        <v>12.579261844173597</v>
      </c>
      <c r="AY39" s="98">
        <v>2</v>
      </c>
      <c r="AZ39" s="32">
        <f t="shared" si="30"/>
        <v>31.490178984147949</v>
      </c>
      <c r="BA39" s="38">
        <f t="shared" ref="BA39:BA49" si="40">(AT39/AX39*100+AT24)*AN39</f>
        <v>32.498570743301777</v>
      </c>
      <c r="BB39" s="38">
        <f t="shared" ref="BB39:BB49" si="41">(AU39/AX39*100+AU24)*AN39</f>
        <v>25.292069176516566</v>
      </c>
      <c r="BC39" s="38">
        <f t="shared" ref="BC39:BC49" si="42">(AV39/AX39*100+AV24)*AN39</f>
        <v>31.37376902697374</v>
      </c>
      <c r="BD39" s="39">
        <f t="shared" ref="BD39:BD49" si="43">(AW39/AX39*100+AW24)*AN39</f>
        <v>30.197120430864217</v>
      </c>
      <c r="BI39" s="86" t="s">
        <v>39</v>
      </c>
      <c r="BN39" s="96" t="s">
        <v>1</v>
      </c>
      <c r="BO39" s="97">
        <v>12</v>
      </c>
      <c r="BP39" s="465">
        <f>BP38</f>
        <v>1</v>
      </c>
      <c r="BR39" s="88">
        <v>2</v>
      </c>
      <c r="BS39" s="95">
        <v>8</v>
      </c>
      <c r="BT39" s="90"/>
      <c r="BU39" s="99">
        <f>BS39/(BP39-BU37)</f>
        <v>9.352112676056338</v>
      </c>
      <c r="BV39" s="100">
        <f>BS39/(BP39-BV37)</f>
        <v>10.215384615384616</v>
      </c>
      <c r="BW39" s="100">
        <f>BS39/(BP39-BW37)</f>
        <v>11.448275862068964</v>
      </c>
      <c r="BX39" s="100">
        <f>BS39/(BP39-BX37)</f>
        <v>9.4857142857142858</v>
      </c>
      <c r="BY39" s="100">
        <f>BS39/(BP39-BY37)</f>
        <v>9.764705882352942</v>
      </c>
      <c r="BZ39" s="102">
        <f t="shared" ref="BZ39:BZ49" si="44">SUM(BU39:BY39)</f>
        <v>50.266193321577148</v>
      </c>
      <c r="CA39" s="211">
        <v>2</v>
      </c>
      <c r="CB39" s="32">
        <f t="shared" si="31"/>
        <v>29.271840558046009</v>
      </c>
      <c r="CC39" s="38">
        <f t="shared" ref="CC39:CC49" si="45">(BV39/BZ39*100+BV24)*BP39</f>
        <v>30.253609041034522</v>
      </c>
      <c r="CD39" s="38">
        <f t="shared" ref="CD39:CD49" si="46">(BW39/BZ39*100+BW24)*BP39</f>
        <v>33.643223602231771</v>
      </c>
      <c r="CE39" s="38">
        <f t="shared" ref="CE39:CE49" si="47">(BX39/BZ39*100+BX24)*BP39</f>
        <v>29.156676375541903</v>
      </c>
      <c r="CF39" s="39">
        <f t="shared" ref="CF39:CF49" si="48">(BY39/BZ39*100+BY24)*BP39</f>
        <v>28.023005311960389</v>
      </c>
      <c r="CK39" s="86" t="s">
        <v>39</v>
      </c>
      <c r="CP39" s="96" t="s">
        <v>1</v>
      </c>
      <c r="CQ39" s="97">
        <v>24</v>
      </c>
      <c r="CR39" s="465">
        <f>CR38</f>
        <v>1</v>
      </c>
      <c r="CT39" s="88">
        <v>2</v>
      </c>
      <c r="CU39" s="95">
        <v>5</v>
      </c>
      <c r="CV39" s="90"/>
      <c r="CW39" s="99">
        <f>CU39/(CR39-CW37)</f>
        <v>7.7272727272727284</v>
      </c>
      <c r="CX39" s="100">
        <f>CU39/(CR39-CX37)</f>
        <v>5.3968253968253963</v>
      </c>
      <c r="CY39" s="100">
        <f>CU39/(CR39-CY37)</f>
        <v>6.0714285714285721</v>
      </c>
      <c r="CZ39" s="100">
        <f>CU39/(CR39-CZ37)</f>
        <v>7.9069767441860472</v>
      </c>
      <c r="DA39" s="100">
        <f>CU39/(CR39-DA37)</f>
        <v>5.1515151515151514</v>
      </c>
      <c r="DB39" s="102">
        <f t="shared" ref="DB39:DB49" si="49">SUM(CW39:DA39)</f>
        <v>32.254018591227897</v>
      </c>
      <c r="DC39" s="211">
        <v>2</v>
      </c>
      <c r="DD39" s="32">
        <f t="shared" si="32"/>
        <v>33.439031779955947</v>
      </c>
      <c r="DE39" s="38">
        <f t="shared" ref="DE39:DE49" si="50">(CX39/DB39*100+CX24)*CR39</f>
        <v>24.990321867444525</v>
      </c>
      <c r="DF39" s="38">
        <f t="shared" ref="DF39:DF49" si="51">(CY39/DB39*100+CY24)*CR39</f>
        <v>28.669943366383784</v>
      </c>
      <c r="DG39" s="38">
        <f t="shared" ref="DG39:DG49" si="52">(CZ39/DB39*100+CZ24)*CR39</f>
        <v>33.342288837893676</v>
      </c>
      <c r="DH39" s="39">
        <f t="shared" ref="DH39:DH49" si="53">(DA39/DB39*100+DA24)*CR39</f>
        <v>33.038366865649643</v>
      </c>
      <c r="DM39" s="86" t="s">
        <v>39</v>
      </c>
      <c r="DR39" s="96" t="s">
        <v>1</v>
      </c>
      <c r="DS39" s="103">
        <v>22</v>
      </c>
      <c r="DT39" s="465">
        <f>DT38</f>
        <v>1</v>
      </c>
      <c r="DV39" s="88">
        <v>2</v>
      </c>
      <c r="DW39" s="95">
        <v>7</v>
      </c>
      <c r="DX39" s="90"/>
      <c r="DY39" s="99">
        <f>DW39/(DT39-DY37)</f>
        <v>9.524590163934425</v>
      </c>
      <c r="DZ39" s="100">
        <f>DW39/(DT39-DZ37)</f>
        <v>7.2625000000000002</v>
      </c>
      <c r="EA39" s="100">
        <f>DW39/(DT39-EA37)</f>
        <v>7.9589041095890405</v>
      </c>
      <c r="EB39" s="100">
        <f>DW39/(DT39-EB37)</f>
        <v>9.6833333333333336</v>
      </c>
      <c r="EC39" s="100">
        <f>DW39/(DT39-EC37)</f>
        <v>10.017241379310345</v>
      </c>
      <c r="ED39" s="102">
        <f t="shared" ref="ED39:ED49" si="54">SUM(DY39:EC39)</f>
        <v>44.446568986167151</v>
      </c>
      <c r="EE39" s="211">
        <v>2</v>
      </c>
      <c r="EF39" s="32">
        <f t="shared" ref="EF39:EF49" si="55">DY39/ED39*100+DY24</f>
        <v>29.974758046696017</v>
      </c>
      <c r="EG39" s="38">
        <f t="shared" ref="EG39:EG49" si="56">DZ39/ED39*100+DZ24</f>
        <v>32.68767000665315</v>
      </c>
      <c r="EH39" s="38">
        <f t="shared" ref="EH39:EH49" si="57">EA39/ED39*100+EA24</f>
        <v>26.650864314672312</v>
      </c>
      <c r="EI39" s="38">
        <f t="shared" ref="EI39:EI49" si="58">EB39/ED39*100+EB24</f>
        <v>29.960371603073764</v>
      </c>
      <c r="EJ39" s="39">
        <f t="shared" ref="EJ39:EJ49" si="59">EC39/ED39*100+EC24</f>
        <v>34.287715751305697</v>
      </c>
    </row>
    <row r="40" spans="5:140" x14ac:dyDescent="0.2">
      <c r="E40" s="86" t="s">
        <v>39</v>
      </c>
      <c r="J40" s="96" t="s">
        <v>4</v>
      </c>
      <c r="K40" s="97">
        <v>1</v>
      </c>
      <c r="L40" s="465">
        <f t="shared" ref="L40:L49" si="60">L39</f>
        <v>1</v>
      </c>
      <c r="N40" s="88">
        <v>3</v>
      </c>
      <c r="O40" s="95">
        <v>2</v>
      </c>
      <c r="P40" s="90"/>
      <c r="Q40" s="99">
        <f>O40/(L40-Q37)</f>
        <v>4.1739130434782608</v>
      </c>
      <c r="R40" s="100">
        <f>O40/(L40-R37)</f>
        <v>2.2857142857142856</v>
      </c>
      <c r="S40" s="100">
        <f>O40/(L40-S37)</f>
        <v>2.7428571428571424</v>
      </c>
      <c r="T40" s="100">
        <f>O40/(L40-T37)</f>
        <v>2.042553191489362</v>
      </c>
      <c r="U40" s="100">
        <f>O40/(L40-U37)</f>
        <v>2.1333333333333333</v>
      </c>
      <c r="V40" s="102">
        <f t="shared" si="33"/>
        <v>13.378370996872384</v>
      </c>
      <c r="W40" s="88">
        <v>3</v>
      </c>
      <c r="X40" s="32">
        <f t="shared" si="34"/>
        <v>45.312599559185692</v>
      </c>
      <c r="Y40" s="38">
        <f t="shared" si="35"/>
        <v>27.435146511848437</v>
      </c>
      <c r="Z40" s="38">
        <f t="shared" si="36"/>
        <v>31.209072365942266</v>
      </c>
      <c r="AA40" s="38">
        <f t="shared" si="37"/>
        <v>25.447905602844685</v>
      </c>
      <c r="AB40" s="39">
        <f t="shared" si="38"/>
        <v>27.663117876467354</v>
      </c>
      <c r="AG40" s="86" t="s">
        <v>39</v>
      </c>
      <c r="AL40" s="96" t="s">
        <v>4</v>
      </c>
      <c r="AM40" s="39">
        <v>20</v>
      </c>
      <c r="AN40" s="465">
        <f t="shared" ref="AN40:AN49" si="61">AN39</f>
        <v>1</v>
      </c>
      <c r="AP40" s="88">
        <v>3</v>
      </c>
      <c r="AQ40" s="95">
        <v>8</v>
      </c>
      <c r="AR40" s="90"/>
      <c r="AS40" s="99">
        <f>AQ40/(AN40-AS37)</f>
        <v>10.054054054054054</v>
      </c>
      <c r="AT40" s="100">
        <f>AQ40/(AN40-AT37)</f>
        <v>10.941176470588236</v>
      </c>
      <c r="AU40" s="100">
        <f>AQ40/(AN40-AU37)</f>
        <v>8.6511627906976756</v>
      </c>
      <c r="AV40" s="100">
        <f>AQ40/(AN40-AV37)</f>
        <v>10.191780821917808</v>
      </c>
      <c r="AW40" s="100">
        <f>AQ40/(AN40-AW37)</f>
        <v>10.47887323943662</v>
      </c>
      <c r="AX40" s="102">
        <f t="shared" si="39"/>
        <v>50.31704737669439</v>
      </c>
      <c r="AY40" s="98">
        <v>3</v>
      </c>
      <c r="AZ40" s="32">
        <f t="shared" si="30"/>
        <v>32.928775475376021</v>
      </c>
      <c r="BA40" s="38">
        <f t="shared" si="40"/>
        <v>33.842833038383745</v>
      </c>
      <c r="BB40" s="38">
        <f t="shared" si="41"/>
        <v>26.304414855528911</v>
      </c>
      <c r="BC40" s="38">
        <f t="shared" si="42"/>
        <v>32.763599535448321</v>
      </c>
      <c r="BD40" s="39">
        <f t="shared" si="43"/>
        <v>31.368549002292788</v>
      </c>
      <c r="BI40" s="86" t="s">
        <v>39</v>
      </c>
      <c r="BN40" s="96" t="s">
        <v>4</v>
      </c>
      <c r="BO40" s="39">
        <v>13</v>
      </c>
      <c r="BP40" s="465">
        <f t="shared" ref="BP40:BP49" si="62">BP39</f>
        <v>1</v>
      </c>
      <c r="BR40" s="88">
        <v>3</v>
      </c>
      <c r="BS40" s="95">
        <v>5</v>
      </c>
      <c r="BT40" s="90"/>
      <c r="BU40" s="99">
        <f>BS40/(BP40-BU37)</f>
        <v>5.845070422535211</v>
      </c>
      <c r="BV40" s="100">
        <f>BS40/(BP40-BV37)</f>
        <v>6.384615384615385</v>
      </c>
      <c r="BW40" s="100">
        <f>BS40/(BP40-BW37)</f>
        <v>7.1551724137931032</v>
      </c>
      <c r="BX40" s="100">
        <f>BS40/(BP40-BX37)</f>
        <v>5.9285714285714279</v>
      </c>
      <c r="BY40" s="100">
        <f>BS40/(BP40-BY37)</f>
        <v>6.1029411764705888</v>
      </c>
      <c r="BZ40" s="102">
        <f t="shared" si="44"/>
        <v>31.416370825985716</v>
      </c>
      <c r="CA40" s="211">
        <v>3</v>
      </c>
      <c r="CB40" s="32">
        <f t="shared" si="31"/>
        <v>30.605173891379341</v>
      </c>
      <c r="CC40" s="38">
        <f t="shared" si="45"/>
        <v>31.494988351379348</v>
      </c>
      <c r="CD40" s="38">
        <f t="shared" si="46"/>
        <v>35.001714168269501</v>
      </c>
      <c r="CE40" s="38">
        <f t="shared" si="47"/>
        <v>30.442390661256191</v>
      </c>
      <c r="CF40" s="39">
        <f t="shared" si="48"/>
        <v>29.097632177632036</v>
      </c>
      <c r="CK40" s="86" t="s">
        <v>39</v>
      </c>
      <c r="CP40" s="96" t="s">
        <v>4</v>
      </c>
      <c r="CQ40" s="39">
        <v>25</v>
      </c>
      <c r="CR40" s="465">
        <f t="shared" ref="CR40:CR49" si="63">CR39</f>
        <v>1</v>
      </c>
      <c r="CT40" s="88">
        <v>3</v>
      </c>
      <c r="CU40" s="95">
        <v>7</v>
      </c>
      <c r="CV40" s="90"/>
      <c r="CW40" s="99">
        <f>CU40/(CR40-CW37)</f>
        <v>10.81818181818182</v>
      </c>
      <c r="CX40" s="100">
        <f>CU40/(CR40-CX37)</f>
        <v>7.5555555555555554</v>
      </c>
      <c r="CY40" s="100">
        <f>CU40/(CR40-CY37)</f>
        <v>8.5</v>
      </c>
      <c r="CZ40" s="100">
        <f>CU40/(CR40-CZ37)</f>
        <v>11.069767441860465</v>
      </c>
      <c r="DA40" s="100">
        <f>CU40/(CR40-DA37)</f>
        <v>7.2121212121212119</v>
      </c>
      <c r="DB40" s="102">
        <f t="shared" si="49"/>
        <v>45.155626027719052</v>
      </c>
      <c r="DC40" s="211">
        <v>3</v>
      </c>
      <c r="DD40" s="32">
        <f t="shared" si="32"/>
        <v>34.62421696514113</v>
      </c>
      <c r="DE40" s="38">
        <f t="shared" si="50"/>
        <v>26.022579931960657</v>
      </c>
      <c r="DF40" s="38">
        <f t="shared" si="51"/>
        <v>29.900712597153014</v>
      </c>
      <c r="DG40" s="38">
        <f t="shared" si="52"/>
        <v>34.445737113755747</v>
      </c>
      <c r="DH40" s="39">
        <f t="shared" si="53"/>
        <v>35.171700198982975</v>
      </c>
      <c r="DM40" s="86" t="s">
        <v>39</v>
      </c>
      <c r="DR40" s="96" t="s">
        <v>4</v>
      </c>
      <c r="DS40" s="101">
        <v>23</v>
      </c>
      <c r="DT40" s="465">
        <f t="shared" ref="DT40:DT49" si="64">DT39</f>
        <v>1</v>
      </c>
      <c r="DV40" s="88">
        <v>3</v>
      </c>
      <c r="DW40" s="95">
        <v>1</v>
      </c>
      <c r="DX40" s="90"/>
      <c r="DY40" s="99">
        <f>DW40/(DT40-DY37)</f>
        <v>1.360655737704918</v>
      </c>
      <c r="DZ40" s="100">
        <f>DW40/(DT40-DZ37)</f>
        <v>1.0375000000000001</v>
      </c>
      <c r="EA40" s="100">
        <f>DW40/(DT40-EA37)</f>
        <v>1.1369863013698629</v>
      </c>
      <c r="EB40" s="100">
        <f>DW40/(DT40-EB37)</f>
        <v>1.3833333333333333</v>
      </c>
      <c r="EC40" s="100">
        <f>DW40/(DT40-EC37)</f>
        <v>1.4310344827586206</v>
      </c>
      <c r="ED40" s="102">
        <f t="shared" si="54"/>
        <v>6.3495098551667351</v>
      </c>
      <c r="EE40" s="211">
        <v>3</v>
      </c>
      <c r="EF40" s="32">
        <f t="shared" si="55"/>
        <v>31.042939864877845</v>
      </c>
      <c r="EG40" s="38">
        <f t="shared" si="56"/>
        <v>34.731148267522713</v>
      </c>
      <c r="EH40" s="38">
        <f t="shared" si="57"/>
        <v>27.743887570486272</v>
      </c>
      <c r="EI40" s="38">
        <f t="shared" si="58"/>
        <v>30.982110733508549</v>
      </c>
      <c r="EJ40" s="39">
        <f t="shared" si="59"/>
        <v>35.756465751305697</v>
      </c>
    </row>
    <row r="41" spans="5:140" x14ac:dyDescent="0.2">
      <c r="E41" s="86" t="s">
        <v>39</v>
      </c>
      <c r="J41" s="96" t="s">
        <v>10</v>
      </c>
      <c r="K41" s="39">
        <v>2</v>
      </c>
      <c r="L41" s="465">
        <f t="shared" si="60"/>
        <v>1</v>
      </c>
      <c r="N41" s="88">
        <v>4</v>
      </c>
      <c r="O41" s="95">
        <v>8</v>
      </c>
      <c r="P41" s="90"/>
      <c r="Q41" s="99">
        <f>O41/(L41-Q37)</f>
        <v>16.695652173913043</v>
      </c>
      <c r="R41" s="100">
        <f>O41/(L41-R37)</f>
        <v>9.1428571428571423</v>
      </c>
      <c r="S41" s="100">
        <f>O41/(L41-S37)</f>
        <v>10.97142857142857</v>
      </c>
      <c r="T41" s="104">
        <f>O41/(L41-T37)</f>
        <v>8.1702127659574479</v>
      </c>
      <c r="U41" s="100">
        <f>O41/(L41-U37)</f>
        <v>8.5333333333333332</v>
      </c>
      <c r="V41" s="102">
        <f t="shared" si="33"/>
        <v>53.513483987489536</v>
      </c>
      <c r="W41" s="88">
        <v>4</v>
      </c>
      <c r="X41" s="32">
        <f t="shared" si="34"/>
        <v>45.312599559185692</v>
      </c>
      <c r="Y41" s="38">
        <f t="shared" si="35"/>
        <v>27.435146511848437</v>
      </c>
      <c r="Z41" s="38">
        <f t="shared" si="36"/>
        <v>31.209072365942266</v>
      </c>
      <c r="AA41" s="38">
        <f t="shared" si="37"/>
        <v>25.447905602844685</v>
      </c>
      <c r="AB41" s="39">
        <f t="shared" si="38"/>
        <v>27.663117876467354</v>
      </c>
      <c r="AG41" s="86" t="s">
        <v>39</v>
      </c>
      <c r="AL41" s="96" t="s">
        <v>10</v>
      </c>
      <c r="AM41" s="97">
        <v>21</v>
      </c>
      <c r="AN41" s="465">
        <f t="shared" si="61"/>
        <v>1</v>
      </c>
      <c r="AP41" s="88">
        <v>4</v>
      </c>
      <c r="AQ41" s="95">
        <v>5</v>
      </c>
      <c r="AR41" s="90"/>
      <c r="AS41" s="99">
        <f>AQ41/(AN41-AS37)</f>
        <v>6.2837837837837842</v>
      </c>
      <c r="AT41" s="100">
        <f>AQ41/(AN41-AT37)</f>
        <v>6.8382352941176467</v>
      </c>
      <c r="AU41" s="100">
        <f>AQ41/(AN41-AU37)</f>
        <v>5.4069767441860463</v>
      </c>
      <c r="AV41" s="104">
        <f>AQ41/(AN41-AV37)</f>
        <v>6.3698630136986303</v>
      </c>
      <c r="AW41" s="100">
        <f>AQ41/(AN41-AW37)</f>
        <v>6.549295774647887</v>
      </c>
      <c r="AX41" s="102">
        <f t="shared" si="39"/>
        <v>31.448154610433996</v>
      </c>
      <c r="AY41" s="98">
        <v>4</v>
      </c>
      <c r="AZ41" s="32">
        <f t="shared" si="30"/>
        <v>32.928775475376021</v>
      </c>
      <c r="BA41" s="38">
        <f t="shared" si="40"/>
        <v>33.842833038383745</v>
      </c>
      <c r="BB41" s="38">
        <f t="shared" si="41"/>
        <v>26.304414855528908</v>
      </c>
      <c r="BC41" s="38">
        <f t="shared" si="42"/>
        <v>32.763599535448321</v>
      </c>
      <c r="BD41" s="39">
        <f t="shared" si="43"/>
        <v>31.368549002292781</v>
      </c>
      <c r="BI41" s="86" t="s">
        <v>39</v>
      </c>
      <c r="BN41" s="96" t="s">
        <v>10</v>
      </c>
      <c r="BO41" s="97">
        <v>14</v>
      </c>
      <c r="BP41" s="465">
        <f t="shared" si="62"/>
        <v>1</v>
      </c>
      <c r="BR41" s="88">
        <v>4</v>
      </c>
      <c r="BS41" s="95">
        <v>7</v>
      </c>
      <c r="BT41" s="90"/>
      <c r="BU41" s="99">
        <f>BS41/(BP41-BU37)</f>
        <v>8.183098591549296</v>
      </c>
      <c r="BV41" s="100">
        <f>BS41/(BP41-BV37)</f>
        <v>8.9384615384615387</v>
      </c>
      <c r="BW41" s="100">
        <f>BS41/(BP41-BW37)</f>
        <v>10.017241379310345</v>
      </c>
      <c r="BX41" s="104">
        <f>BS41/(BP41-BX37)</f>
        <v>8.2999999999999989</v>
      </c>
      <c r="BY41" s="100">
        <f>BS41/(BP41-BY37)</f>
        <v>8.5441176470588243</v>
      </c>
      <c r="BZ41" s="102">
        <f t="shared" si="44"/>
        <v>43.982919156380007</v>
      </c>
      <c r="CA41" s="211">
        <v>4</v>
      </c>
      <c r="CB41" s="32">
        <f t="shared" si="31"/>
        <v>30.605173891379341</v>
      </c>
      <c r="CC41" s="38">
        <f t="shared" si="45"/>
        <v>31.494988351379344</v>
      </c>
      <c r="CD41" s="38">
        <f t="shared" si="46"/>
        <v>35.001714168269501</v>
      </c>
      <c r="CE41" s="38">
        <f t="shared" si="47"/>
        <v>30.442390661256184</v>
      </c>
      <c r="CF41" s="39">
        <f t="shared" si="48"/>
        <v>29.097632177632029</v>
      </c>
      <c r="CK41" s="86" t="s">
        <v>39</v>
      </c>
      <c r="CP41" s="96" t="s">
        <v>10</v>
      </c>
      <c r="CQ41" s="97">
        <v>1</v>
      </c>
      <c r="CR41" s="465">
        <f t="shared" si="63"/>
        <v>1</v>
      </c>
      <c r="CT41" s="88">
        <v>4</v>
      </c>
      <c r="CU41" s="95">
        <v>1</v>
      </c>
      <c r="CV41" s="90"/>
      <c r="CW41" s="99">
        <f>CU41/(CR41-CW37)</f>
        <v>1.5454545454545456</v>
      </c>
      <c r="CX41" s="100">
        <f>CU41/(CR41-CX37)</f>
        <v>1.0793650793650793</v>
      </c>
      <c r="CY41" s="100">
        <f>CU41/(CR41-CY37)</f>
        <v>1.2142857142857144</v>
      </c>
      <c r="CZ41" s="104">
        <f>CU41/(CR41-CZ37)</f>
        <v>1.5813953488372094</v>
      </c>
      <c r="DA41" s="100">
        <f>CU41/(CR41-DA37)</f>
        <v>1.0303030303030303</v>
      </c>
      <c r="DB41" s="102">
        <f t="shared" si="49"/>
        <v>6.4508037182455791</v>
      </c>
      <c r="DC41" s="211">
        <v>4</v>
      </c>
      <c r="DD41" s="32">
        <f t="shared" si="32"/>
        <v>34.62421696514113</v>
      </c>
      <c r="DE41" s="38">
        <f t="shared" si="50"/>
        <v>26.022579931960657</v>
      </c>
      <c r="DF41" s="38">
        <f t="shared" si="51"/>
        <v>29.900712597153014</v>
      </c>
      <c r="DG41" s="38">
        <f t="shared" si="52"/>
        <v>34.445737113755747</v>
      </c>
      <c r="DH41" s="39">
        <f t="shared" si="53"/>
        <v>35.171700198982975</v>
      </c>
      <c r="DM41" s="86" t="s">
        <v>39</v>
      </c>
      <c r="DR41" s="96" t="s">
        <v>10</v>
      </c>
      <c r="DS41" s="101">
        <v>24</v>
      </c>
      <c r="DT41" s="465">
        <f t="shared" si="64"/>
        <v>1</v>
      </c>
      <c r="DV41" s="88">
        <v>4</v>
      </c>
      <c r="DW41" s="95">
        <v>4</v>
      </c>
      <c r="DX41" s="90"/>
      <c r="DY41" s="99">
        <f>DW41/(DT41-DY37)</f>
        <v>5.442622950819672</v>
      </c>
      <c r="DZ41" s="100">
        <f>DW41/(DT41-DZ37)</f>
        <v>4.1500000000000004</v>
      </c>
      <c r="EA41" s="100">
        <f>DW41/(DT41-EA37)</f>
        <v>4.5479452054794516</v>
      </c>
      <c r="EB41" s="104">
        <f>DW41/(DT41-EB37)</f>
        <v>5.5333333333333332</v>
      </c>
      <c r="EC41" s="100">
        <f>DW41/(DT41-EC37)</f>
        <v>5.7241379310344822</v>
      </c>
      <c r="ED41" s="102">
        <f t="shared" si="54"/>
        <v>25.39803942066694</v>
      </c>
      <c r="EE41" s="211">
        <v>4</v>
      </c>
      <c r="EF41" s="32">
        <f t="shared" si="55"/>
        <v>31.042939864877845</v>
      </c>
      <c r="EG41" s="38">
        <f t="shared" si="56"/>
        <v>34.731148267522713</v>
      </c>
      <c r="EH41" s="38">
        <f t="shared" si="57"/>
        <v>27.743887570486272</v>
      </c>
      <c r="EI41" s="38">
        <f t="shared" si="58"/>
        <v>30.982110733508549</v>
      </c>
      <c r="EJ41" s="39">
        <f t="shared" si="59"/>
        <v>35.756465751305697</v>
      </c>
    </row>
    <row r="42" spans="5:140" x14ac:dyDescent="0.2">
      <c r="E42" s="86" t="s">
        <v>39</v>
      </c>
      <c r="J42" s="96" t="s">
        <v>5</v>
      </c>
      <c r="K42" s="97">
        <v>3</v>
      </c>
      <c r="L42" s="465">
        <f t="shared" si="60"/>
        <v>1</v>
      </c>
      <c r="N42" s="88">
        <v>5</v>
      </c>
      <c r="O42" s="95">
        <v>5</v>
      </c>
      <c r="P42" s="90"/>
      <c r="Q42" s="99">
        <f>O42/(L42-Q37)</f>
        <v>10.434782608695652</v>
      </c>
      <c r="R42" s="100">
        <f>O42/(L42-R37)</f>
        <v>5.7142857142857144</v>
      </c>
      <c r="S42" s="100">
        <f>O42/(L42-S37)</f>
        <v>6.8571428571428568</v>
      </c>
      <c r="T42" s="100">
        <f>O42/(L42-T37)</f>
        <v>5.1063829787234045</v>
      </c>
      <c r="U42" s="100">
        <f>O42/(L42-U37)</f>
        <v>5.333333333333333</v>
      </c>
      <c r="V42" s="102">
        <f t="shared" si="33"/>
        <v>33.445927492180964</v>
      </c>
      <c r="W42" s="88">
        <v>5</v>
      </c>
      <c r="X42" s="32">
        <f t="shared" si="34"/>
        <v>43.744417741003872</v>
      </c>
      <c r="Y42" s="38">
        <f t="shared" si="35"/>
        <v>26.285146511848438</v>
      </c>
      <c r="Z42" s="38">
        <f t="shared" si="36"/>
        <v>30.019417193528472</v>
      </c>
      <c r="AA42" s="38">
        <f t="shared" si="37"/>
        <v>24.316758061861076</v>
      </c>
      <c r="AB42" s="39">
        <f t="shared" si="38"/>
        <v>26.36123108401452</v>
      </c>
      <c r="AG42" s="86" t="s">
        <v>39</v>
      </c>
      <c r="AL42" s="96" t="s">
        <v>5</v>
      </c>
      <c r="AM42" s="97">
        <v>22</v>
      </c>
      <c r="AN42" s="465">
        <f t="shared" si="61"/>
        <v>1</v>
      </c>
      <c r="AP42" s="88">
        <v>5</v>
      </c>
      <c r="AQ42" s="95">
        <v>7</v>
      </c>
      <c r="AR42" s="90"/>
      <c r="AS42" s="99">
        <f>AQ42/(AN42-AS37)</f>
        <v>8.7972972972972983</v>
      </c>
      <c r="AT42" s="100">
        <f>AQ42/(AN42-AT37)</f>
        <v>9.5735294117647065</v>
      </c>
      <c r="AU42" s="100">
        <f>AQ42/(AN42-AU37)</f>
        <v>7.5697674418604652</v>
      </c>
      <c r="AV42" s="100">
        <f>AQ42/(AN42-AV37)</f>
        <v>8.9178082191780828</v>
      </c>
      <c r="AW42" s="100">
        <f>AQ42/(AN42-AW37)</f>
        <v>9.169014084507042</v>
      </c>
      <c r="AX42" s="102">
        <f t="shared" si="39"/>
        <v>44.027416454607597</v>
      </c>
      <c r="AY42" s="98">
        <v>5</v>
      </c>
      <c r="AZ42" s="32">
        <f t="shared" si="30"/>
        <v>31.490178984147949</v>
      </c>
      <c r="BA42" s="38">
        <f t="shared" si="40"/>
        <v>32.498570743301777</v>
      </c>
      <c r="BB42" s="38">
        <f t="shared" si="41"/>
        <v>25.292069176516563</v>
      </c>
      <c r="BC42" s="38">
        <f t="shared" si="42"/>
        <v>31.37376902697374</v>
      </c>
      <c r="BD42" s="39">
        <f t="shared" si="43"/>
        <v>30.19712043086421</v>
      </c>
      <c r="BI42" s="86" t="s">
        <v>39</v>
      </c>
      <c r="BN42" s="96" t="s">
        <v>5</v>
      </c>
      <c r="BO42" s="97">
        <v>15</v>
      </c>
      <c r="BP42" s="465">
        <f t="shared" si="62"/>
        <v>1</v>
      </c>
      <c r="BR42" s="88">
        <v>5</v>
      </c>
      <c r="BS42" s="95">
        <v>1</v>
      </c>
      <c r="BT42" s="90"/>
      <c r="BU42" s="99">
        <f>BS42/(BP42-BU37)</f>
        <v>1.1690140845070423</v>
      </c>
      <c r="BV42" s="100">
        <f>BS42/(BP42-BV37)</f>
        <v>1.276923076923077</v>
      </c>
      <c r="BW42" s="100">
        <f>BS42/(BP42-BW37)</f>
        <v>1.4310344827586206</v>
      </c>
      <c r="BX42" s="100">
        <f>BS42/(BP42-BX37)</f>
        <v>1.1857142857142857</v>
      </c>
      <c r="BY42" s="100">
        <f>BS42/(BP42-BY37)</f>
        <v>1.2205882352941178</v>
      </c>
      <c r="BZ42" s="102">
        <f t="shared" si="44"/>
        <v>6.2832741651971435</v>
      </c>
      <c r="CA42" s="211">
        <v>5</v>
      </c>
      <c r="CB42" s="32">
        <f t="shared" si="31"/>
        <v>29.271840558046009</v>
      </c>
      <c r="CC42" s="38">
        <f t="shared" si="45"/>
        <v>30.253609041034522</v>
      </c>
      <c r="CD42" s="38">
        <f t="shared" si="46"/>
        <v>33.643223602231771</v>
      </c>
      <c r="CE42" s="38">
        <f t="shared" si="47"/>
        <v>29.156676375541903</v>
      </c>
      <c r="CF42" s="39">
        <f t="shared" si="48"/>
        <v>28.023005311960389</v>
      </c>
      <c r="CK42" s="86" t="s">
        <v>39</v>
      </c>
      <c r="CP42" s="96" t="s">
        <v>5</v>
      </c>
      <c r="CQ42" s="97">
        <v>2</v>
      </c>
      <c r="CR42" s="465">
        <f t="shared" si="63"/>
        <v>1</v>
      </c>
      <c r="CT42" s="88">
        <v>5</v>
      </c>
      <c r="CU42" s="95">
        <v>4</v>
      </c>
      <c r="CV42" s="90"/>
      <c r="CW42" s="99">
        <f>CU42/(CR42-CW37)</f>
        <v>6.1818181818181825</v>
      </c>
      <c r="CX42" s="100">
        <f>CU42/(CR42-CX37)</f>
        <v>4.3174603174603172</v>
      </c>
      <c r="CY42" s="100">
        <f>CU42/(CR42-CY37)</f>
        <v>4.8571428571428577</v>
      </c>
      <c r="CZ42" s="100">
        <f>CU42/(CR42-CZ37)</f>
        <v>6.3255813953488378</v>
      </c>
      <c r="DA42" s="100">
        <f>CU42/(CR42-DA37)</f>
        <v>4.1212121212121211</v>
      </c>
      <c r="DB42" s="102">
        <f t="shared" si="49"/>
        <v>25.803214872982316</v>
      </c>
      <c r="DC42" s="211">
        <v>5</v>
      </c>
      <c r="DD42" s="32">
        <f t="shared" si="32"/>
        <v>33.439031779955947</v>
      </c>
      <c r="DE42" s="38">
        <f t="shared" si="50"/>
        <v>24.990321867444528</v>
      </c>
      <c r="DF42" s="38">
        <f t="shared" si="51"/>
        <v>28.669943366383784</v>
      </c>
      <c r="DG42" s="38">
        <f t="shared" si="52"/>
        <v>33.342288837893676</v>
      </c>
      <c r="DH42" s="39">
        <f t="shared" si="53"/>
        <v>33.038366865649643</v>
      </c>
      <c r="DM42" s="86" t="s">
        <v>39</v>
      </c>
      <c r="DR42" s="105" t="s">
        <v>5</v>
      </c>
      <c r="DS42" s="106">
        <v>25</v>
      </c>
      <c r="DT42" s="465">
        <f t="shared" si="64"/>
        <v>1</v>
      </c>
      <c r="DV42" s="88">
        <v>5</v>
      </c>
      <c r="DW42" s="95">
        <v>2</v>
      </c>
      <c r="DX42" s="90"/>
      <c r="DY42" s="99">
        <f>DW42/(DT42-DY37)</f>
        <v>2.721311475409836</v>
      </c>
      <c r="DZ42" s="100">
        <f>DW42/(DT42-DZ37)</f>
        <v>2.0750000000000002</v>
      </c>
      <c r="EA42" s="100">
        <f>DW42/(DT42-EA37)</f>
        <v>2.2739726027397258</v>
      </c>
      <c r="EB42" s="100">
        <f>DW42/(DT42-EB37)</f>
        <v>2.7666666666666666</v>
      </c>
      <c r="EC42" s="100">
        <f>DW42/(DT42-EC37)</f>
        <v>2.8620689655172411</v>
      </c>
      <c r="ED42" s="102">
        <f t="shared" si="54"/>
        <v>12.69901971033347</v>
      </c>
      <c r="EE42" s="211">
        <v>5</v>
      </c>
      <c r="EF42" s="32">
        <f t="shared" si="55"/>
        <v>29.974758046696024</v>
      </c>
      <c r="EG42" s="38">
        <f t="shared" si="56"/>
        <v>32.68767000665315</v>
      </c>
      <c r="EH42" s="38">
        <f t="shared" si="57"/>
        <v>26.650864314672319</v>
      </c>
      <c r="EI42" s="38">
        <f t="shared" si="58"/>
        <v>29.960371603073767</v>
      </c>
      <c r="EJ42" s="39">
        <f t="shared" si="59"/>
        <v>34.287715751305697</v>
      </c>
    </row>
    <row r="43" spans="5:140" x14ac:dyDescent="0.2">
      <c r="E43" s="86" t="s">
        <v>39</v>
      </c>
      <c r="J43" s="96" t="s">
        <v>9</v>
      </c>
      <c r="K43" s="39">
        <v>4</v>
      </c>
      <c r="L43" s="465">
        <f t="shared" si="60"/>
        <v>1</v>
      </c>
      <c r="N43" s="88">
        <v>6</v>
      </c>
      <c r="O43" s="95">
        <v>7</v>
      </c>
      <c r="P43" s="90"/>
      <c r="Q43" s="99">
        <f>O43/(L43-Q37)</f>
        <v>14.608695652173914</v>
      </c>
      <c r="R43" s="100">
        <f>O43/(L43-R37)</f>
        <v>8</v>
      </c>
      <c r="S43" s="100">
        <f>O43/(L43-S37)</f>
        <v>9.6</v>
      </c>
      <c r="T43" s="100">
        <f>O43/(L43-T37)</f>
        <v>7.1489361702127665</v>
      </c>
      <c r="U43" s="100">
        <f>O43/(L43-U37)</f>
        <v>7.4666666666666668</v>
      </c>
      <c r="V43" s="102">
        <f t="shared" si="33"/>
        <v>46.824298489053348</v>
      </c>
      <c r="W43" s="88">
        <v>6</v>
      </c>
      <c r="X43" s="32">
        <f t="shared" si="34"/>
        <v>42.176235922822059</v>
      </c>
      <c r="Y43" s="38">
        <f t="shared" si="35"/>
        <v>25.13514651184844</v>
      </c>
      <c r="Z43" s="38">
        <f t="shared" si="36"/>
        <v>28.829762021114679</v>
      </c>
      <c r="AA43" s="38">
        <f t="shared" si="37"/>
        <v>23.185610520877468</v>
      </c>
      <c r="AB43" s="39">
        <f t="shared" si="38"/>
        <v>25.05934429156169</v>
      </c>
      <c r="AG43" s="86" t="s">
        <v>39</v>
      </c>
      <c r="AL43" s="96" t="s">
        <v>9</v>
      </c>
      <c r="AM43" s="39">
        <v>23</v>
      </c>
      <c r="AN43" s="465">
        <f t="shared" si="61"/>
        <v>1</v>
      </c>
      <c r="AP43" s="88">
        <v>6</v>
      </c>
      <c r="AQ43" s="95">
        <v>1</v>
      </c>
      <c r="AR43" s="90"/>
      <c r="AS43" s="99">
        <f>AQ43/(AN43-AS37)</f>
        <v>1.2567567567567568</v>
      </c>
      <c r="AT43" s="100">
        <f>AQ43/(AN43-AT37)</f>
        <v>1.3676470588235294</v>
      </c>
      <c r="AU43" s="100">
        <f>AQ43/(AN43-AU37)</f>
        <v>1.0813953488372094</v>
      </c>
      <c r="AV43" s="100">
        <f>AQ43/(AN43-AV37)</f>
        <v>1.273972602739726</v>
      </c>
      <c r="AW43" s="100">
        <f>AQ43/(AN43-AW37)</f>
        <v>1.3098591549295775</v>
      </c>
      <c r="AX43" s="102">
        <f t="shared" si="39"/>
        <v>6.2896309220867987</v>
      </c>
      <c r="AY43" s="98">
        <v>6</v>
      </c>
      <c r="AZ43" s="32">
        <f t="shared" si="30"/>
        <v>30.051582492919877</v>
      </c>
      <c r="BA43" s="38">
        <f t="shared" si="40"/>
        <v>31.154308448219812</v>
      </c>
      <c r="BB43" s="38">
        <f t="shared" si="41"/>
        <v>24.279723497504222</v>
      </c>
      <c r="BC43" s="38">
        <f t="shared" si="42"/>
        <v>29.983938518499166</v>
      </c>
      <c r="BD43" s="39">
        <f t="shared" si="43"/>
        <v>29.025691859435646</v>
      </c>
      <c r="BI43" s="86" t="s">
        <v>39</v>
      </c>
      <c r="BN43" s="96" t="s">
        <v>9</v>
      </c>
      <c r="BO43" s="39">
        <v>16</v>
      </c>
      <c r="BP43" s="465">
        <f t="shared" si="62"/>
        <v>1</v>
      </c>
      <c r="BR43" s="88">
        <v>6</v>
      </c>
      <c r="BS43" s="95">
        <v>4</v>
      </c>
      <c r="BT43" s="90"/>
      <c r="BU43" s="99">
        <f>BS43/(BP43-BU37)</f>
        <v>4.676056338028169</v>
      </c>
      <c r="BV43" s="100">
        <f>BS43/(BP43-BV37)</f>
        <v>5.1076923076923082</v>
      </c>
      <c r="BW43" s="100">
        <f>BS43/(BP43-BW37)</f>
        <v>5.7241379310344822</v>
      </c>
      <c r="BX43" s="100">
        <f>BS43/(BP43-BX37)</f>
        <v>4.7428571428571429</v>
      </c>
      <c r="BY43" s="100">
        <f>BS43/(BP43-BY37)</f>
        <v>4.882352941176471</v>
      </c>
      <c r="BZ43" s="102">
        <f t="shared" si="44"/>
        <v>25.133096660788574</v>
      </c>
      <c r="CA43" s="211">
        <v>6</v>
      </c>
      <c r="CB43" s="32">
        <f t="shared" si="31"/>
        <v>27.938507224712673</v>
      </c>
      <c r="CC43" s="38">
        <f t="shared" si="45"/>
        <v>29.012229730689693</v>
      </c>
      <c r="CD43" s="38">
        <f t="shared" si="46"/>
        <v>32.284733036194034</v>
      </c>
      <c r="CE43" s="38">
        <f t="shared" si="47"/>
        <v>27.870962089827618</v>
      </c>
      <c r="CF43" s="39">
        <f t="shared" si="48"/>
        <v>26.948378446288746</v>
      </c>
      <c r="CK43" s="86" t="s">
        <v>39</v>
      </c>
      <c r="CP43" s="96" t="s">
        <v>9</v>
      </c>
      <c r="CQ43" s="39">
        <v>3</v>
      </c>
      <c r="CR43" s="465">
        <f t="shared" si="63"/>
        <v>1</v>
      </c>
      <c r="CT43" s="88">
        <v>6</v>
      </c>
      <c r="CU43" s="95">
        <v>2</v>
      </c>
      <c r="CV43" s="90"/>
      <c r="CW43" s="99">
        <f>CU43/(CR43-CW37)</f>
        <v>3.0909090909090913</v>
      </c>
      <c r="CX43" s="100">
        <f>CU43/(CR43-CX37)</f>
        <v>2.1587301587301586</v>
      </c>
      <c r="CY43" s="100">
        <f>CU43/(CR43-CY37)</f>
        <v>2.4285714285714288</v>
      </c>
      <c r="CZ43" s="100">
        <f>CU43/(CR43-CZ37)</f>
        <v>3.1627906976744189</v>
      </c>
      <c r="DA43" s="100">
        <f>CU43/(CR43-DA37)</f>
        <v>2.0606060606060606</v>
      </c>
      <c r="DB43" s="102">
        <f t="shared" si="49"/>
        <v>12.901607436491158</v>
      </c>
      <c r="DC43" s="211">
        <v>6</v>
      </c>
      <c r="DD43" s="32">
        <f t="shared" si="32"/>
        <v>32.253846594770764</v>
      </c>
      <c r="DE43" s="38">
        <f t="shared" si="50"/>
        <v>23.9580638029284</v>
      </c>
      <c r="DF43" s="38">
        <f t="shared" si="51"/>
        <v>27.43917413561455</v>
      </c>
      <c r="DG43" s="38">
        <f t="shared" si="52"/>
        <v>32.238840562031605</v>
      </c>
      <c r="DH43" s="39">
        <f t="shared" si="53"/>
        <v>30.90503353231631</v>
      </c>
      <c r="DM43" s="86" t="s">
        <v>39</v>
      </c>
      <c r="DR43" s="96" t="s">
        <v>9</v>
      </c>
      <c r="DS43" s="103">
        <v>1</v>
      </c>
      <c r="DT43" s="465">
        <f t="shared" si="64"/>
        <v>1</v>
      </c>
      <c r="DV43" s="88">
        <v>6</v>
      </c>
      <c r="DW43" s="95">
        <v>8</v>
      </c>
      <c r="DX43" s="90"/>
      <c r="DY43" s="99">
        <f>DW43/(DT43-DY37)</f>
        <v>10.885245901639344</v>
      </c>
      <c r="DZ43" s="100">
        <f>DW43/(DT43-DZ37)</f>
        <v>8.3000000000000007</v>
      </c>
      <c r="EA43" s="100">
        <f>DW43/(DT43-EA37)</f>
        <v>9.0958904109589032</v>
      </c>
      <c r="EB43" s="100">
        <f>DW43/(DT43-EB37)</f>
        <v>11.066666666666666</v>
      </c>
      <c r="EC43" s="100">
        <f>DW43/(DT43-EC37)</f>
        <v>11.448275862068964</v>
      </c>
      <c r="ED43" s="102">
        <f t="shared" si="54"/>
        <v>50.79607884133388</v>
      </c>
      <c r="EE43" s="211">
        <v>6</v>
      </c>
      <c r="EF43" s="32">
        <f t="shared" si="55"/>
        <v>28.906576228514208</v>
      </c>
      <c r="EG43" s="38">
        <f t="shared" si="56"/>
        <v>30.644191745783587</v>
      </c>
      <c r="EH43" s="38">
        <f t="shared" si="57"/>
        <v>25.557841058858365</v>
      </c>
      <c r="EI43" s="38">
        <f t="shared" si="58"/>
        <v>28.938632472638986</v>
      </c>
      <c r="EJ43" s="39">
        <f t="shared" si="59"/>
        <v>32.818965751305697</v>
      </c>
    </row>
    <row r="44" spans="5:140" x14ac:dyDescent="0.2">
      <c r="E44" s="86" t="s">
        <v>39</v>
      </c>
      <c r="J44" s="96" t="s">
        <v>19</v>
      </c>
      <c r="K44" s="97">
        <v>5</v>
      </c>
      <c r="L44" s="465">
        <f t="shared" si="60"/>
        <v>1</v>
      </c>
      <c r="N44" s="88">
        <v>7</v>
      </c>
      <c r="O44" s="95">
        <v>1</v>
      </c>
      <c r="P44" s="90"/>
      <c r="Q44" s="99">
        <f>O44/(L44-Q37)</f>
        <v>2.0869565217391304</v>
      </c>
      <c r="R44" s="100">
        <f>O44/(L44-R37)</f>
        <v>1.1428571428571428</v>
      </c>
      <c r="S44" s="100">
        <f>O44/(L44-S37)</f>
        <v>1.3714285714285712</v>
      </c>
      <c r="T44" s="100">
        <f>O44/(L44-T37)</f>
        <v>1.021276595744681</v>
      </c>
      <c r="U44" s="100">
        <f>O44/(L44-U37)</f>
        <v>1.0666666666666667</v>
      </c>
      <c r="V44" s="102">
        <f t="shared" si="33"/>
        <v>6.689185498436192</v>
      </c>
      <c r="W44" s="88">
        <v>7</v>
      </c>
      <c r="X44" s="32">
        <f t="shared" si="34"/>
        <v>42.176235922822059</v>
      </c>
      <c r="Y44" s="38">
        <f t="shared" si="35"/>
        <v>25.13514651184844</v>
      </c>
      <c r="Z44" s="38">
        <f t="shared" si="36"/>
        <v>28.829762021114679</v>
      </c>
      <c r="AA44" s="38">
        <f t="shared" si="37"/>
        <v>23.185610520877471</v>
      </c>
      <c r="AB44" s="39">
        <f t="shared" si="38"/>
        <v>25.05934429156169</v>
      </c>
      <c r="AG44" s="86" t="s">
        <v>39</v>
      </c>
      <c r="AL44" s="96" t="s">
        <v>19</v>
      </c>
      <c r="AM44" s="97">
        <v>24</v>
      </c>
      <c r="AN44" s="465">
        <f t="shared" si="61"/>
        <v>1</v>
      </c>
      <c r="AP44" s="88">
        <v>7</v>
      </c>
      <c r="AQ44" s="95">
        <v>4</v>
      </c>
      <c r="AR44" s="90"/>
      <c r="AS44" s="99">
        <f>AQ44/(AN44-AS37)</f>
        <v>5.0270270270270272</v>
      </c>
      <c r="AT44" s="100">
        <f>AQ44/(AN44-AT37)</f>
        <v>5.4705882352941178</v>
      </c>
      <c r="AU44" s="100">
        <f>AQ44/(AN44-AU37)</f>
        <v>4.3255813953488378</v>
      </c>
      <c r="AV44" s="100">
        <f>AQ44/(AN44-AV37)</f>
        <v>5.095890410958904</v>
      </c>
      <c r="AW44" s="100">
        <f>AQ44/(AN44-AW37)</f>
        <v>5.23943661971831</v>
      </c>
      <c r="AX44" s="102">
        <f t="shared" si="39"/>
        <v>25.158523688347195</v>
      </c>
      <c r="AY44" s="98">
        <v>7</v>
      </c>
      <c r="AZ44" s="32">
        <f t="shared" si="30"/>
        <v>30.051582492919877</v>
      </c>
      <c r="BA44" s="38">
        <f t="shared" si="40"/>
        <v>31.154308448219812</v>
      </c>
      <c r="BB44" s="38">
        <f t="shared" si="41"/>
        <v>24.279723497504222</v>
      </c>
      <c r="BC44" s="38">
        <f t="shared" si="42"/>
        <v>29.983938518499166</v>
      </c>
      <c r="BD44" s="39">
        <f t="shared" si="43"/>
        <v>29.025691859435646</v>
      </c>
      <c r="BI44" s="86" t="s">
        <v>39</v>
      </c>
      <c r="BN44" s="96" t="s">
        <v>19</v>
      </c>
      <c r="BO44" s="97">
        <v>17</v>
      </c>
      <c r="BP44" s="465">
        <f t="shared" si="62"/>
        <v>1</v>
      </c>
      <c r="BR44" s="88">
        <v>7</v>
      </c>
      <c r="BS44" s="95">
        <v>2</v>
      </c>
      <c r="BT44" s="90"/>
      <c r="BU44" s="99">
        <f>BS44/(BP44-BU37)</f>
        <v>2.3380281690140845</v>
      </c>
      <c r="BV44" s="100">
        <f>BS44/(BP44-BV37)</f>
        <v>2.5538461538461541</v>
      </c>
      <c r="BW44" s="100">
        <f>BS44/(BP44-BW37)</f>
        <v>2.8620689655172411</v>
      </c>
      <c r="BX44" s="100">
        <f>BS44/(BP44-BX37)</f>
        <v>2.3714285714285714</v>
      </c>
      <c r="BY44" s="100">
        <f>BS44/(BP44-BY37)</f>
        <v>2.4411764705882355</v>
      </c>
      <c r="BZ44" s="102">
        <f t="shared" si="44"/>
        <v>12.566548330394287</v>
      </c>
      <c r="CA44" s="211">
        <v>7</v>
      </c>
      <c r="CB44" s="32">
        <f t="shared" si="31"/>
        <v>27.938507224712673</v>
      </c>
      <c r="CC44" s="38">
        <f t="shared" si="45"/>
        <v>29.012229730689693</v>
      </c>
      <c r="CD44" s="38">
        <f t="shared" si="46"/>
        <v>32.284733036194034</v>
      </c>
      <c r="CE44" s="38">
        <f t="shared" si="47"/>
        <v>27.870962089827618</v>
      </c>
      <c r="CF44" s="39">
        <f t="shared" si="48"/>
        <v>26.948378446288746</v>
      </c>
      <c r="CK44" s="86" t="s">
        <v>39</v>
      </c>
      <c r="CP44" s="96" t="s">
        <v>19</v>
      </c>
      <c r="CQ44" s="97">
        <v>4</v>
      </c>
      <c r="CR44" s="465">
        <f t="shared" si="63"/>
        <v>1</v>
      </c>
      <c r="CT44" s="88">
        <v>7</v>
      </c>
      <c r="CU44" s="95">
        <v>8</v>
      </c>
      <c r="CV44" s="90"/>
      <c r="CW44" s="99">
        <f>CU44/(CR44-CW37)</f>
        <v>12.363636363636365</v>
      </c>
      <c r="CX44" s="100">
        <f>CU44/(CR44-CX37)</f>
        <v>8.6349206349206344</v>
      </c>
      <c r="CY44" s="100">
        <f>CU44/(CR44-CY37)</f>
        <v>9.7142857142857153</v>
      </c>
      <c r="CZ44" s="100">
        <f>CU44/(CR44-CZ37)</f>
        <v>12.651162790697676</v>
      </c>
      <c r="DA44" s="100">
        <f>CU44/(CR44-DA37)</f>
        <v>8.2424242424242422</v>
      </c>
      <c r="DB44" s="102">
        <f t="shared" si="49"/>
        <v>51.606429745964633</v>
      </c>
      <c r="DC44" s="211">
        <v>7</v>
      </c>
      <c r="DD44" s="32">
        <f t="shared" si="32"/>
        <v>32.253846594770764</v>
      </c>
      <c r="DE44" s="38">
        <f t="shared" si="50"/>
        <v>23.9580638029284</v>
      </c>
      <c r="DF44" s="38">
        <f t="shared" si="51"/>
        <v>27.43917413561455</v>
      </c>
      <c r="DG44" s="38">
        <f t="shared" si="52"/>
        <v>32.238840562031605</v>
      </c>
      <c r="DH44" s="39">
        <f t="shared" si="53"/>
        <v>30.90503353231631</v>
      </c>
      <c r="DM44" s="86" t="s">
        <v>39</v>
      </c>
      <c r="DR44" s="96" t="s">
        <v>19</v>
      </c>
      <c r="DS44" s="101">
        <v>2</v>
      </c>
      <c r="DT44" s="465">
        <f t="shared" si="64"/>
        <v>1</v>
      </c>
      <c r="DV44" s="88">
        <v>7</v>
      </c>
      <c r="DW44" s="95">
        <v>5</v>
      </c>
      <c r="DX44" s="90"/>
      <c r="DY44" s="99">
        <f>DW44/(DT44-DY37)</f>
        <v>6.8032786885245899</v>
      </c>
      <c r="DZ44" s="100">
        <f>DW44/(DT44-DZ37)</f>
        <v>5.1875</v>
      </c>
      <c r="EA44" s="100">
        <f>DW44/(DT44-EA37)</f>
        <v>5.6849315068493151</v>
      </c>
      <c r="EB44" s="100">
        <f>DW44/(DT44-EB37)</f>
        <v>6.916666666666667</v>
      </c>
      <c r="EC44" s="100">
        <f>DW44/(DT44-EC37)</f>
        <v>7.1551724137931032</v>
      </c>
      <c r="ED44" s="102">
        <f t="shared" si="54"/>
        <v>31.747549275833673</v>
      </c>
      <c r="EE44" s="211">
        <v>7</v>
      </c>
      <c r="EF44" s="32">
        <f t="shared" si="55"/>
        <v>28.906576228514208</v>
      </c>
      <c r="EG44" s="38">
        <f t="shared" si="56"/>
        <v>30.644191745783587</v>
      </c>
      <c r="EH44" s="38">
        <f t="shared" si="57"/>
        <v>25.557841058858369</v>
      </c>
      <c r="EI44" s="38">
        <f t="shared" si="58"/>
        <v>28.938632472638986</v>
      </c>
      <c r="EJ44" s="39">
        <f t="shared" si="59"/>
        <v>32.818965751305697</v>
      </c>
    </row>
    <row r="45" spans="5:140" x14ac:dyDescent="0.2">
      <c r="E45" s="86" t="s">
        <v>39</v>
      </c>
      <c r="J45" s="96" t="s">
        <v>2</v>
      </c>
      <c r="K45" s="39">
        <v>6</v>
      </c>
      <c r="L45" s="465">
        <f t="shared" si="60"/>
        <v>1</v>
      </c>
      <c r="N45" s="88">
        <v>8</v>
      </c>
      <c r="O45" s="95">
        <v>4</v>
      </c>
      <c r="P45" s="90"/>
      <c r="Q45" s="99">
        <f>O45/(L45-Q37)</f>
        <v>8.3478260869565215</v>
      </c>
      <c r="R45" s="100">
        <f>O45/(L45-R37)</f>
        <v>4.5714285714285712</v>
      </c>
      <c r="S45" s="100">
        <f>O45/(L45-S37)</f>
        <v>5.4857142857142849</v>
      </c>
      <c r="T45" s="100">
        <f>O45/(L45-T37)</f>
        <v>4.085106382978724</v>
      </c>
      <c r="U45" s="100">
        <f>O45/(L45-U37)</f>
        <v>4.2666666666666666</v>
      </c>
      <c r="V45" s="102">
        <f t="shared" si="33"/>
        <v>26.756741993744768</v>
      </c>
      <c r="W45" s="88">
        <v>8</v>
      </c>
      <c r="X45" s="32">
        <f t="shared" si="34"/>
        <v>43.744417741003872</v>
      </c>
      <c r="Y45" s="38">
        <f t="shared" si="35"/>
        <v>26.285146511848438</v>
      </c>
      <c r="Z45" s="38">
        <f t="shared" si="36"/>
        <v>30.019417193528472</v>
      </c>
      <c r="AA45" s="38">
        <f t="shared" si="37"/>
        <v>24.31675806186108</v>
      </c>
      <c r="AB45" s="39">
        <f t="shared" si="38"/>
        <v>26.36123108401452</v>
      </c>
      <c r="AG45" s="86" t="s">
        <v>39</v>
      </c>
      <c r="AL45" s="96" t="s">
        <v>2</v>
      </c>
      <c r="AM45" s="97">
        <v>25</v>
      </c>
      <c r="AN45" s="465">
        <f t="shared" si="61"/>
        <v>1</v>
      </c>
      <c r="AP45" s="88">
        <v>8</v>
      </c>
      <c r="AQ45" s="95">
        <v>2</v>
      </c>
      <c r="AR45" s="90"/>
      <c r="AS45" s="99">
        <f>AQ45/(AN45-AS37)</f>
        <v>2.5135135135135136</v>
      </c>
      <c r="AT45" s="100">
        <f>AQ45/(AN45-AT37)</f>
        <v>2.7352941176470589</v>
      </c>
      <c r="AU45" s="100">
        <f>AQ45/(AN45-AU37)</f>
        <v>2.1627906976744189</v>
      </c>
      <c r="AV45" s="100">
        <f>AQ45/(AN45-AV37)</f>
        <v>2.547945205479452</v>
      </c>
      <c r="AW45" s="100">
        <f>AQ45/(AN45-AW37)</f>
        <v>2.619718309859155</v>
      </c>
      <c r="AX45" s="102">
        <f t="shared" si="39"/>
        <v>12.579261844173597</v>
      </c>
      <c r="AY45" s="98">
        <v>8</v>
      </c>
      <c r="AZ45" s="32">
        <f t="shared" si="30"/>
        <v>31.490178984147949</v>
      </c>
      <c r="BA45" s="38">
        <f t="shared" si="40"/>
        <v>32.498570743301777</v>
      </c>
      <c r="BB45" s="38">
        <f t="shared" si="41"/>
        <v>25.292069176516566</v>
      </c>
      <c r="BC45" s="38">
        <f t="shared" si="42"/>
        <v>31.37376902697374</v>
      </c>
      <c r="BD45" s="39">
        <f t="shared" si="43"/>
        <v>30.197120430864217</v>
      </c>
      <c r="BI45" s="86" t="s">
        <v>39</v>
      </c>
      <c r="BN45" s="96" t="s">
        <v>2</v>
      </c>
      <c r="BO45" s="97">
        <v>18</v>
      </c>
      <c r="BP45" s="465">
        <f t="shared" si="62"/>
        <v>1</v>
      </c>
      <c r="BR45" s="88">
        <v>8</v>
      </c>
      <c r="BS45" s="95">
        <v>8</v>
      </c>
      <c r="BT45" s="90"/>
      <c r="BU45" s="99">
        <f>BS45/(BP45-BU37)</f>
        <v>9.352112676056338</v>
      </c>
      <c r="BV45" s="100">
        <f>BS45/(BP45-BV37)</f>
        <v>10.215384615384616</v>
      </c>
      <c r="BW45" s="100">
        <f>BS45/(BP45-BW37)</f>
        <v>11.448275862068964</v>
      </c>
      <c r="BX45" s="100">
        <f>BS45/(BP45-BX37)</f>
        <v>9.4857142857142858</v>
      </c>
      <c r="BY45" s="100">
        <f>BS45/(BP45-BY37)</f>
        <v>9.764705882352942</v>
      </c>
      <c r="BZ45" s="102">
        <f t="shared" si="44"/>
        <v>50.266193321577148</v>
      </c>
      <c r="CA45" s="211">
        <v>8</v>
      </c>
      <c r="CB45" s="32">
        <f t="shared" si="31"/>
        <v>29.271840558046009</v>
      </c>
      <c r="CC45" s="38">
        <f t="shared" si="45"/>
        <v>30.253609041034522</v>
      </c>
      <c r="CD45" s="38">
        <f t="shared" si="46"/>
        <v>33.643223602231771</v>
      </c>
      <c r="CE45" s="38">
        <f t="shared" si="47"/>
        <v>29.156676375541903</v>
      </c>
      <c r="CF45" s="39">
        <f t="shared" si="48"/>
        <v>28.023005311960389</v>
      </c>
      <c r="CK45" s="86" t="s">
        <v>39</v>
      </c>
      <c r="CP45" s="96" t="s">
        <v>2</v>
      </c>
      <c r="CQ45" s="97">
        <v>5</v>
      </c>
      <c r="CR45" s="465">
        <f t="shared" si="63"/>
        <v>1</v>
      </c>
      <c r="CT45" s="88">
        <v>8</v>
      </c>
      <c r="CU45" s="95">
        <v>5</v>
      </c>
      <c r="CV45" s="90"/>
      <c r="CW45" s="99">
        <f>CU45/(CR45-CW37)</f>
        <v>7.7272727272727284</v>
      </c>
      <c r="CX45" s="100">
        <f>CU45/(CR45-CX37)</f>
        <v>5.3968253968253963</v>
      </c>
      <c r="CY45" s="100">
        <f>CU45/(CR45-CY37)</f>
        <v>6.0714285714285721</v>
      </c>
      <c r="CZ45" s="100">
        <f>CU45/(CR45-CZ37)</f>
        <v>7.9069767441860472</v>
      </c>
      <c r="DA45" s="100">
        <f>CU45/(CR45-DA37)</f>
        <v>5.1515151515151514</v>
      </c>
      <c r="DB45" s="102">
        <f t="shared" si="49"/>
        <v>32.254018591227897</v>
      </c>
      <c r="DC45" s="211">
        <v>8</v>
      </c>
      <c r="DD45" s="32">
        <f t="shared" si="32"/>
        <v>33.439031779955947</v>
      </c>
      <c r="DE45" s="38">
        <f t="shared" si="50"/>
        <v>24.990321867444525</v>
      </c>
      <c r="DF45" s="38">
        <f t="shared" si="51"/>
        <v>28.669943366383784</v>
      </c>
      <c r="DG45" s="38">
        <f t="shared" si="52"/>
        <v>33.342288837893676</v>
      </c>
      <c r="DH45" s="39">
        <f t="shared" si="53"/>
        <v>33.038366865649643</v>
      </c>
      <c r="DM45" s="86" t="s">
        <v>39</v>
      </c>
      <c r="DR45" s="96" t="s">
        <v>2</v>
      </c>
      <c r="DS45" s="101">
        <v>3</v>
      </c>
      <c r="DT45" s="465">
        <f t="shared" si="64"/>
        <v>1</v>
      </c>
      <c r="DV45" s="88">
        <v>8</v>
      </c>
      <c r="DW45" s="95">
        <v>7</v>
      </c>
      <c r="DX45" s="90"/>
      <c r="DY45" s="99">
        <f>DW45/(DT45-DY37)</f>
        <v>9.524590163934425</v>
      </c>
      <c r="DZ45" s="100">
        <f>DW45/(DT45-DZ37)</f>
        <v>7.2625000000000002</v>
      </c>
      <c r="EA45" s="100">
        <f>DW45/(DT45-EA37)</f>
        <v>7.9589041095890405</v>
      </c>
      <c r="EB45" s="100">
        <f>DW45/(DT45-EB37)</f>
        <v>9.6833333333333336</v>
      </c>
      <c r="EC45" s="100">
        <f>DW45/(DT45-EC37)</f>
        <v>10.017241379310345</v>
      </c>
      <c r="ED45" s="102">
        <f t="shared" si="54"/>
        <v>44.446568986167151</v>
      </c>
      <c r="EE45" s="211">
        <v>8</v>
      </c>
      <c r="EF45" s="32">
        <f t="shared" si="55"/>
        <v>29.974758046696017</v>
      </c>
      <c r="EG45" s="38">
        <f t="shared" si="56"/>
        <v>32.68767000665315</v>
      </c>
      <c r="EH45" s="38">
        <f t="shared" si="57"/>
        <v>26.650864314672312</v>
      </c>
      <c r="EI45" s="38">
        <f t="shared" si="58"/>
        <v>29.960371603073764</v>
      </c>
      <c r="EJ45" s="39">
        <f t="shared" si="59"/>
        <v>34.287715751305697</v>
      </c>
    </row>
    <row r="46" spans="5:140" x14ac:dyDescent="0.2">
      <c r="E46" s="86" t="s">
        <v>39</v>
      </c>
      <c r="J46" s="96" t="s">
        <v>18</v>
      </c>
      <c r="K46" s="97">
        <v>7</v>
      </c>
      <c r="L46" s="465">
        <f t="shared" si="60"/>
        <v>1</v>
      </c>
      <c r="N46" s="88">
        <v>9</v>
      </c>
      <c r="O46" s="95">
        <v>2</v>
      </c>
      <c r="P46" s="90"/>
      <c r="Q46" s="99">
        <f>O46/(L46-Q37)</f>
        <v>4.1739130434782608</v>
      </c>
      <c r="R46" s="100">
        <f>O46/(L46-R37)</f>
        <v>2.2857142857142856</v>
      </c>
      <c r="S46" s="100">
        <f>O46/(L46-S37)</f>
        <v>2.7428571428571424</v>
      </c>
      <c r="T46" s="100">
        <f>O46/(L46-T37)</f>
        <v>2.042553191489362</v>
      </c>
      <c r="U46" s="100">
        <f>O46/(L46-U37)</f>
        <v>2.1333333333333333</v>
      </c>
      <c r="V46" s="102">
        <f t="shared" si="33"/>
        <v>13.378370996872384</v>
      </c>
      <c r="W46" s="88">
        <v>9</v>
      </c>
      <c r="X46" s="32">
        <f t="shared" si="34"/>
        <v>45.312599559185692</v>
      </c>
      <c r="Y46" s="38">
        <f t="shared" si="35"/>
        <v>27.435146511848437</v>
      </c>
      <c r="Z46" s="38">
        <f t="shared" si="36"/>
        <v>31.209072365942266</v>
      </c>
      <c r="AA46" s="38">
        <f t="shared" si="37"/>
        <v>25.447905602844685</v>
      </c>
      <c r="AB46" s="39">
        <f t="shared" si="38"/>
        <v>27.663117876467354</v>
      </c>
      <c r="AG46" s="86" t="s">
        <v>39</v>
      </c>
      <c r="AL46" s="96" t="s">
        <v>18</v>
      </c>
      <c r="AM46" s="39">
        <v>1</v>
      </c>
      <c r="AN46" s="465">
        <f t="shared" si="61"/>
        <v>1</v>
      </c>
      <c r="AP46" s="88">
        <v>9</v>
      </c>
      <c r="AQ46" s="95">
        <v>8</v>
      </c>
      <c r="AR46" s="90"/>
      <c r="AS46" s="99">
        <f>AQ46/(AN46-AS37)</f>
        <v>10.054054054054054</v>
      </c>
      <c r="AT46" s="100">
        <f>AQ46/(AN46-AT37)</f>
        <v>10.941176470588236</v>
      </c>
      <c r="AU46" s="100">
        <f>AQ46/(AN46-AU37)</f>
        <v>8.6511627906976756</v>
      </c>
      <c r="AV46" s="100">
        <f>AQ46/(AN46-AV37)</f>
        <v>10.191780821917808</v>
      </c>
      <c r="AW46" s="100">
        <f>AQ46/(AN46-AW37)</f>
        <v>10.47887323943662</v>
      </c>
      <c r="AX46" s="102">
        <f t="shared" si="39"/>
        <v>50.31704737669439</v>
      </c>
      <c r="AY46" s="98">
        <v>9</v>
      </c>
      <c r="AZ46" s="32">
        <f t="shared" si="30"/>
        <v>32.928775475376021</v>
      </c>
      <c r="BA46" s="38">
        <f t="shared" si="40"/>
        <v>33.842833038383745</v>
      </c>
      <c r="BB46" s="38">
        <f t="shared" si="41"/>
        <v>26.304414855528911</v>
      </c>
      <c r="BC46" s="38">
        <f t="shared" si="42"/>
        <v>32.763599535448321</v>
      </c>
      <c r="BD46" s="39">
        <f t="shared" si="43"/>
        <v>31.368549002292788</v>
      </c>
      <c r="BI46" s="86" t="s">
        <v>39</v>
      </c>
      <c r="BN46" s="96" t="s">
        <v>18</v>
      </c>
      <c r="BO46" s="39">
        <v>19</v>
      </c>
      <c r="BP46" s="465">
        <f t="shared" si="62"/>
        <v>1</v>
      </c>
      <c r="BR46" s="88">
        <v>9</v>
      </c>
      <c r="BS46" s="95">
        <v>5</v>
      </c>
      <c r="BT46" s="90"/>
      <c r="BU46" s="99">
        <f>BS46/(BP46-BU37)</f>
        <v>5.845070422535211</v>
      </c>
      <c r="BV46" s="100">
        <f>BS46/(BP46-BV37)</f>
        <v>6.384615384615385</v>
      </c>
      <c r="BW46" s="100">
        <f>BS46/(BP46-BW37)</f>
        <v>7.1551724137931032</v>
      </c>
      <c r="BX46" s="100">
        <f>BS46/(BP46-BX37)</f>
        <v>5.9285714285714279</v>
      </c>
      <c r="BY46" s="100">
        <f>BS46/(BP46-BY37)</f>
        <v>6.1029411764705888</v>
      </c>
      <c r="BZ46" s="102">
        <f t="shared" si="44"/>
        <v>31.416370825985716</v>
      </c>
      <c r="CA46" s="211">
        <v>9</v>
      </c>
      <c r="CB46" s="32">
        <f t="shared" si="31"/>
        <v>30.605173891379341</v>
      </c>
      <c r="CC46" s="38">
        <f t="shared" si="45"/>
        <v>31.494988351379348</v>
      </c>
      <c r="CD46" s="38">
        <f t="shared" si="46"/>
        <v>35.001714168269501</v>
      </c>
      <c r="CE46" s="38">
        <f t="shared" si="47"/>
        <v>30.442390661256191</v>
      </c>
      <c r="CF46" s="39">
        <f t="shared" si="48"/>
        <v>29.097632177632036</v>
      </c>
      <c r="CK46" s="86" t="s">
        <v>39</v>
      </c>
      <c r="CP46" s="96" t="s">
        <v>18</v>
      </c>
      <c r="CQ46" s="39">
        <v>6</v>
      </c>
      <c r="CR46" s="465">
        <f t="shared" si="63"/>
        <v>1</v>
      </c>
      <c r="CT46" s="88">
        <v>9</v>
      </c>
      <c r="CU46" s="95">
        <v>7</v>
      </c>
      <c r="CV46" s="90"/>
      <c r="CW46" s="99">
        <f>CU46/(CR46-CW37)</f>
        <v>10.81818181818182</v>
      </c>
      <c r="CX46" s="100">
        <f>CU46/(CR46-CX37)</f>
        <v>7.5555555555555554</v>
      </c>
      <c r="CY46" s="100">
        <f>CU46/(CR46-CY37)</f>
        <v>8.5</v>
      </c>
      <c r="CZ46" s="100">
        <f>CU46/(CR46-CZ37)</f>
        <v>11.069767441860465</v>
      </c>
      <c r="DA46" s="100">
        <f>CU46/(CR46-DA37)</f>
        <v>7.2121212121212119</v>
      </c>
      <c r="DB46" s="102">
        <f t="shared" si="49"/>
        <v>45.155626027719052</v>
      </c>
      <c r="DC46" s="211">
        <v>9</v>
      </c>
      <c r="DD46" s="32">
        <f t="shared" si="32"/>
        <v>34.62421696514113</v>
      </c>
      <c r="DE46" s="38">
        <f t="shared" si="50"/>
        <v>26.022579931960657</v>
      </c>
      <c r="DF46" s="38">
        <f t="shared" si="51"/>
        <v>29.900712597153014</v>
      </c>
      <c r="DG46" s="38">
        <f t="shared" si="52"/>
        <v>34.445737113755747</v>
      </c>
      <c r="DH46" s="39">
        <f t="shared" si="53"/>
        <v>35.171700198982975</v>
      </c>
      <c r="DM46" s="86" t="s">
        <v>39</v>
      </c>
      <c r="DR46" s="96" t="s">
        <v>18</v>
      </c>
      <c r="DS46" s="103">
        <v>4</v>
      </c>
      <c r="DT46" s="465">
        <f t="shared" si="64"/>
        <v>1</v>
      </c>
      <c r="DV46" s="88">
        <v>9</v>
      </c>
      <c r="DW46" s="95">
        <v>1</v>
      </c>
      <c r="DX46" s="90"/>
      <c r="DY46" s="99">
        <f>DW46/(DT46-DY37)</f>
        <v>1.360655737704918</v>
      </c>
      <c r="DZ46" s="100">
        <f>DW46/(DT46-DZ37)</f>
        <v>1.0375000000000001</v>
      </c>
      <c r="EA46" s="100">
        <f>DW46/(DT46-EA37)</f>
        <v>1.1369863013698629</v>
      </c>
      <c r="EB46" s="100">
        <f>DW46/(DT46-EB37)</f>
        <v>1.3833333333333333</v>
      </c>
      <c r="EC46" s="100">
        <f>DW46/(DT46-EC37)</f>
        <v>1.4310344827586206</v>
      </c>
      <c r="ED46" s="102">
        <f t="shared" si="54"/>
        <v>6.3495098551667351</v>
      </c>
      <c r="EE46" s="211">
        <v>9</v>
      </c>
      <c r="EF46" s="32">
        <f t="shared" si="55"/>
        <v>31.042939864877845</v>
      </c>
      <c r="EG46" s="38">
        <f t="shared" si="56"/>
        <v>34.731148267522713</v>
      </c>
      <c r="EH46" s="38">
        <f t="shared" si="57"/>
        <v>27.743887570486272</v>
      </c>
      <c r="EI46" s="38">
        <f t="shared" si="58"/>
        <v>30.982110733508549</v>
      </c>
      <c r="EJ46" s="39">
        <f t="shared" si="59"/>
        <v>35.756465751305697</v>
      </c>
    </row>
    <row r="47" spans="5:140" ht="15" thickBot="1" x14ac:dyDescent="0.25">
      <c r="E47" s="86" t="s">
        <v>39</v>
      </c>
      <c r="J47" s="119" t="s">
        <v>22</v>
      </c>
      <c r="K47" s="71">
        <v>8</v>
      </c>
      <c r="L47" s="465">
        <f t="shared" si="60"/>
        <v>1</v>
      </c>
      <c r="N47" s="88">
        <v>10</v>
      </c>
      <c r="O47" s="95">
        <v>8</v>
      </c>
      <c r="P47" s="90"/>
      <c r="Q47" s="99">
        <f>O47/(L47-Q37)</f>
        <v>16.695652173913043</v>
      </c>
      <c r="R47" s="100">
        <f>O47/(L47-R37)</f>
        <v>9.1428571428571423</v>
      </c>
      <c r="S47" s="100">
        <f>O47/(L47-S37)</f>
        <v>10.97142857142857</v>
      </c>
      <c r="T47" s="100">
        <f>O47/(L47-T37)</f>
        <v>8.1702127659574479</v>
      </c>
      <c r="U47" s="100">
        <f>O47/(L47-U37)</f>
        <v>8.5333333333333332</v>
      </c>
      <c r="V47" s="102">
        <f t="shared" si="33"/>
        <v>53.513483987489536</v>
      </c>
      <c r="W47" s="88">
        <v>10</v>
      </c>
      <c r="X47" s="32">
        <f t="shared" si="34"/>
        <v>45.312599559185692</v>
      </c>
      <c r="Y47" s="38">
        <f t="shared" si="35"/>
        <v>27.435146511848437</v>
      </c>
      <c r="Z47" s="38">
        <f t="shared" si="36"/>
        <v>31.209072365942266</v>
      </c>
      <c r="AA47" s="38">
        <f t="shared" si="37"/>
        <v>25.447905602844685</v>
      </c>
      <c r="AB47" s="39">
        <f t="shared" si="38"/>
        <v>27.663117876467354</v>
      </c>
      <c r="AG47" s="86" t="s">
        <v>39</v>
      </c>
      <c r="AL47" s="119" t="s">
        <v>22</v>
      </c>
      <c r="AM47" s="71">
        <v>2</v>
      </c>
      <c r="AN47" s="465">
        <f t="shared" si="61"/>
        <v>1</v>
      </c>
      <c r="AP47" s="88">
        <v>10</v>
      </c>
      <c r="AQ47" s="95">
        <v>5</v>
      </c>
      <c r="AR47" s="90"/>
      <c r="AS47" s="99">
        <f>AQ47/(AN47-AS37)</f>
        <v>6.2837837837837842</v>
      </c>
      <c r="AT47" s="100">
        <f>AQ47/(AN47-AT37)</f>
        <v>6.8382352941176467</v>
      </c>
      <c r="AU47" s="100">
        <f>AQ47/(AN47-AU37)</f>
        <v>5.4069767441860463</v>
      </c>
      <c r="AV47" s="100">
        <f>AQ47/(AN47-AV37)</f>
        <v>6.3698630136986303</v>
      </c>
      <c r="AW47" s="100">
        <f>AQ47/(AN47-AW37)</f>
        <v>6.549295774647887</v>
      </c>
      <c r="AX47" s="102">
        <f t="shared" si="39"/>
        <v>31.448154610433996</v>
      </c>
      <c r="AY47" s="98">
        <v>10</v>
      </c>
      <c r="AZ47" s="32">
        <f t="shared" si="30"/>
        <v>32.928775475376021</v>
      </c>
      <c r="BA47" s="38">
        <f t="shared" si="40"/>
        <v>33.842833038383745</v>
      </c>
      <c r="BB47" s="38">
        <f t="shared" si="41"/>
        <v>26.304414855528908</v>
      </c>
      <c r="BC47" s="38">
        <f t="shared" si="42"/>
        <v>32.763599535448321</v>
      </c>
      <c r="BD47" s="39">
        <f t="shared" si="43"/>
        <v>31.368549002292781</v>
      </c>
      <c r="BI47" s="86" t="s">
        <v>39</v>
      </c>
      <c r="BN47" s="119" t="s">
        <v>22</v>
      </c>
      <c r="BO47" s="71">
        <v>20</v>
      </c>
      <c r="BP47" s="465">
        <f t="shared" si="62"/>
        <v>1</v>
      </c>
      <c r="BR47" s="88">
        <v>10</v>
      </c>
      <c r="BS47" s="107">
        <v>7</v>
      </c>
      <c r="BT47" s="90"/>
      <c r="BU47" s="99">
        <f>BS47/(BP47-BU37)</f>
        <v>8.183098591549296</v>
      </c>
      <c r="BV47" s="100">
        <f>BS47/(BP47-BV37)</f>
        <v>8.9384615384615387</v>
      </c>
      <c r="BW47" s="100">
        <f>BS47/(BP47-BW37)</f>
        <v>10.017241379310345</v>
      </c>
      <c r="BX47" s="100">
        <f>BS47/(BP47-BX37)</f>
        <v>8.2999999999999989</v>
      </c>
      <c r="BY47" s="100">
        <f>BS47/(BP47-BY37)</f>
        <v>8.5441176470588243</v>
      </c>
      <c r="BZ47" s="102">
        <f t="shared" si="44"/>
        <v>43.982919156380007</v>
      </c>
      <c r="CA47" s="211">
        <v>10</v>
      </c>
      <c r="CB47" s="32">
        <f t="shared" si="31"/>
        <v>30.605173891379341</v>
      </c>
      <c r="CC47" s="38">
        <f t="shared" si="45"/>
        <v>31.494988351379344</v>
      </c>
      <c r="CD47" s="38">
        <f t="shared" si="46"/>
        <v>35.001714168269501</v>
      </c>
      <c r="CE47" s="38">
        <f t="shared" si="47"/>
        <v>30.442390661256184</v>
      </c>
      <c r="CF47" s="39">
        <f t="shared" si="48"/>
        <v>29.097632177632029</v>
      </c>
      <c r="CK47" s="86" t="s">
        <v>39</v>
      </c>
      <c r="CP47" s="119" t="s">
        <v>22</v>
      </c>
      <c r="CQ47" s="71">
        <v>7</v>
      </c>
      <c r="CR47" s="465">
        <f t="shared" si="63"/>
        <v>1</v>
      </c>
      <c r="CT47" s="88">
        <v>10</v>
      </c>
      <c r="CU47" s="107">
        <v>1</v>
      </c>
      <c r="CV47" s="90"/>
      <c r="CW47" s="99">
        <f>CU47/(CR47-CW37)</f>
        <v>1.5454545454545456</v>
      </c>
      <c r="CX47" s="100">
        <f>CU47/(CR47-CX37)</f>
        <v>1.0793650793650793</v>
      </c>
      <c r="CY47" s="100">
        <f>CU47/(CR47-CY37)</f>
        <v>1.2142857142857144</v>
      </c>
      <c r="CZ47" s="100">
        <f>CU47/(CR47-CZ37)</f>
        <v>1.5813953488372094</v>
      </c>
      <c r="DA47" s="100">
        <f>CU47/(CR47-DA37)</f>
        <v>1.0303030303030303</v>
      </c>
      <c r="DB47" s="102">
        <f t="shared" si="49"/>
        <v>6.4508037182455791</v>
      </c>
      <c r="DC47" s="211">
        <v>10</v>
      </c>
      <c r="DD47" s="32">
        <f t="shared" si="32"/>
        <v>34.62421696514113</v>
      </c>
      <c r="DE47" s="38">
        <f t="shared" si="50"/>
        <v>26.022579931960657</v>
      </c>
      <c r="DF47" s="38">
        <f t="shared" si="51"/>
        <v>29.900712597153014</v>
      </c>
      <c r="DG47" s="38">
        <f t="shared" si="52"/>
        <v>34.445737113755747</v>
      </c>
      <c r="DH47" s="39">
        <f t="shared" si="53"/>
        <v>35.171700198982975</v>
      </c>
      <c r="DM47" s="86" t="s">
        <v>39</v>
      </c>
      <c r="DR47" s="119" t="s">
        <v>22</v>
      </c>
      <c r="DS47" s="152">
        <v>5</v>
      </c>
      <c r="DT47" s="465">
        <f t="shared" si="64"/>
        <v>1</v>
      </c>
      <c r="DV47" s="88">
        <v>10</v>
      </c>
      <c r="DW47" s="107">
        <v>4</v>
      </c>
      <c r="DX47" s="90"/>
      <c r="DY47" s="99">
        <f>DW47/(DT47-DY37)</f>
        <v>5.442622950819672</v>
      </c>
      <c r="DZ47" s="100">
        <f>DW47/(DT47-DZ37)</f>
        <v>4.1500000000000004</v>
      </c>
      <c r="EA47" s="100">
        <f>DW47/(DT47-EA37)</f>
        <v>4.5479452054794516</v>
      </c>
      <c r="EB47" s="100">
        <f>DW47/(DT47-EB37)</f>
        <v>5.5333333333333332</v>
      </c>
      <c r="EC47" s="100">
        <f>DW47/(DT47-EC37)</f>
        <v>5.7241379310344822</v>
      </c>
      <c r="ED47" s="102">
        <f t="shared" si="54"/>
        <v>25.39803942066694</v>
      </c>
      <c r="EE47" s="211">
        <v>10</v>
      </c>
      <c r="EF47" s="32">
        <f t="shared" si="55"/>
        <v>31.042939864877845</v>
      </c>
      <c r="EG47" s="38">
        <f t="shared" si="56"/>
        <v>34.731148267522713</v>
      </c>
      <c r="EH47" s="38">
        <f t="shared" si="57"/>
        <v>27.743887570486272</v>
      </c>
      <c r="EI47" s="38">
        <f t="shared" si="58"/>
        <v>30.982110733508549</v>
      </c>
      <c r="EJ47" s="39">
        <f t="shared" si="59"/>
        <v>35.756465751305697</v>
      </c>
    </row>
    <row r="48" spans="5:140" x14ac:dyDescent="0.2">
      <c r="L48" s="465">
        <f t="shared" si="60"/>
        <v>1</v>
      </c>
      <c r="N48" s="88">
        <v>11</v>
      </c>
      <c r="O48" s="107">
        <v>5</v>
      </c>
      <c r="P48" s="90"/>
      <c r="Q48" s="99">
        <f>O48/(L48-Q37)</f>
        <v>10.434782608695652</v>
      </c>
      <c r="R48" s="100">
        <f>O48/(L48-R37)</f>
        <v>5.7142857142857144</v>
      </c>
      <c r="S48" s="100">
        <f>O48/(L48-S37)</f>
        <v>6.8571428571428568</v>
      </c>
      <c r="T48" s="100">
        <f>O48/(L48-T37)</f>
        <v>5.1063829787234045</v>
      </c>
      <c r="U48" s="100">
        <f>O48/(L48-U37)</f>
        <v>5.333333333333333</v>
      </c>
      <c r="V48" s="102">
        <f t="shared" si="33"/>
        <v>33.445927492180964</v>
      </c>
      <c r="W48" s="88">
        <v>11</v>
      </c>
      <c r="X48" s="32">
        <f t="shared" si="34"/>
        <v>43.744417741003872</v>
      </c>
      <c r="Y48" s="38">
        <f t="shared" si="35"/>
        <v>26.285146511848438</v>
      </c>
      <c r="Z48" s="38">
        <f t="shared" si="36"/>
        <v>30.019417193528472</v>
      </c>
      <c r="AA48" s="38">
        <f t="shared" si="37"/>
        <v>24.316758061861076</v>
      </c>
      <c r="AB48" s="39">
        <f t="shared" si="38"/>
        <v>26.36123108401452</v>
      </c>
      <c r="AN48" s="465">
        <f t="shared" si="61"/>
        <v>1</v>
      </c>
      <c r="AP48" s="88">
        <v>11</v>
      </c>
      <c r="AQ48" s="107">
        <v>7</v>
      </c>
      <c r="AR48" s="90"/>
      <c r="AS48" s="99">
        <f>AQ48/(AN48-AS37)</f>
        <v>8.7972972972972983</v>
      </c>
      <c r="AT48" s="100">
        <f>AQ48/(AN48-AT37)</f>
        <v>9.5735294117647065</v>
      </c>
      <c r="AU48" s="100">
        <f>AQ48/(AN48-AU37)</f>
        <v>7.5697674418604652</v>
      </c>
      <c r="AV48" s="100">
        <f>AQ48/(AN48-AV37)</f>
        <v>8.9178082191780828</v>
      </c>
      <c r="AW48" s="100">
        <f>AQ48/(AN48-AW37)</f>
        <v>9.169014084507042</v>
      </c>
      <c r="AX48" s="102">
        <f t="shared" si="39"/>
        <v>44.027416454607597</v>
      </c>
      <c r="AY48" s="98">
        <v>11</v>
      </c>
      <c r="AZ48" s="32">
        <f t="shared" si="30"/>
        <v>31.490178984147949</v>
      </c>
      <c r="BA48" s="38">
        <f t="shared" si="40"/>
        <v>32.498570743301777</v>
      </c>
      <c r="BB48" s="38">
        <f t="shared" si="41"/>
        <v>25.292069176516563</v>
      </c>
      <c r="BC48" s="38">
        <f t="shared" si="42"/>
        <v>31.37376902697374</v>
      </c>
      <c r="BD48" s="39">
        <f t="shared" si="43"/>
        <v>30.19712043086421</v>
      </c>
      <c r="BP48" s="465">
        <f t="shared" si="62"/>
        <v>1</v>
      </c>
      <c r="BR48" s="88">
        <v>11</v>
      </c>
      <c r="BS48" s="107">
        <v>1</v>
      </c>
      <c r="BT48" s="90"/>
      <c r="BU48" s="99">
        <f>BS48/(BP48-BU37)</f>
        <v>1.1690140845070423</v>
      </c>
      <c r="BV48" s="100">
        <f>BS48/(BP48-BV37)</f>
        <v>1.276923076923077</v>
      </c>
      <c r="BW48" s="100">
        <f>BS48/(BP48-BW37)</f>
        <v>1.4310344827586206</v>
      </c>
      <c r="BX48" s="100">
        <f>BS48/(BP48-BX37)</f>
        <v>1.1857142857142857</v>
      </c>
      <c r="BY48" s="100">
        <f>BS48/(BP48-BY37)</f>
        <v>1.2205882352941178</v>
      </c>
      <c r="BZ48" s="102">
        <f t="shared" si="44"/>
        <v>6.2832741651971435</v>
      </c>
      <c r="CA48" s="211">
        <v>11</v>
      </c>
      <c r="CB48" s="32">
        <f t="shared" si="31"/>
        <v>29.271840558046009</v>
      </c>
      <c r="CC48" s="38">
        <f t="shared" si="45"/>
        <v>30.253609041034522</v>
      </c>
      <c r="CD48" s="38">
        <f t="shared" si="46"/>
        <v>33.643223602231771</v>
      </c>
      <c r="CE48" s="38">
        <f t="shared" si="47"/>
        <v>29.156676375541903</v>
      </c>
      <c r="CF48" s="39">
        <f t="shared" si="48"/>
        <v>28.023005311960389</v>
      </c>
      <c r="CR48" s="465">
        <f t="shared" si="63"/>
        <v>1</v>
      </c>
      <c r="CT48" s="88">
        <v>11</v>
      </c>
      <c r="CU48" s="107">
        <v>4</v>
      </c>
      <c r="CV48" s="90"/>
      <c r="CW48" s="99">
        <f>CU48/(CR48-CW37)</f>
        <v>6.1818181818181825</v>
      </c>
      <c r="CX48" s="100">
        <f>CU48/(CR48-CX37)</f>
        <v>4.3174603174603172</v>
      </c>
      <c r="CY48" s="100">
        <f>CU48/(CR48-CY37)</f>
        <v>4.8571428571428577</v>
      </c>
      <c r="CZ48" s="100">
        <f>CU48/(CR48-CZ37)</f>
        <v>6.3255813953488378</v>
      </c>
      <c r="DA48" s="100">
        <f>CU48/(CR48-DA37)</f>
        <v>4.1212121212121211</v>
      </c>
      <c r="DB48" s="102">
        <f t="shared" si="49"/>
        <v>25.803214872982316</v>
      </c>
      <c r="DC48" s="211">
        <v>11</v>
      </c>
      <c r="DD48" s="32">
        <f t="shared" si="32"/>
        <v>33.439031779955947</v>
      </c>
      <c r="DE48" s="38">
        <f t="shared" si="50"/>
        <v>24.990321867444528</v>
      </c>
      <c r="DF48" s="38">
        <f t="shared" si="51"/>
        <v>28.669943366383784</v>
      </c>
      <c r="DG48" s="38">
        <f t="shared" si="52"/>
        <v>33.342288837893676</v>
      </c>
      <c r="DH48" s="39">
        <f t="shared" si="53"/>
        <v>33.038366865649643</v>
      </c>
      <c r="DT48" s="465">
        <f t="shared" si="64"/>
        <v>1</v>
      </c>
      <c r="DV48" s="88">
        <v>11</v>
      </c>
      <c r="DW48" s="107">
        <v>2</v>
      </c>
      <c r="DX48" s="90"/>
      <c r="DY48" s="99">
        <f>DW48/(DT48-DY37)</f>
        <v>2.721311475409836</v>
      </c>
      <c r="DZ48" s="100">
        <f>DW48/(DT48-DZ37)</f>
        <v>2.0750000000000002</v>
      </c>
      <c r="EA48" s="100">
        <f>DW48/(DT48-EA37)</f>
        <v>2.2739726027397258</v>
      </c>
      <c r="EB48" s="100">
        <f>DW48/(DT48-EB37)</f>
        <v>2.7666666666666666</v>
      </c>
      <c r="EC48" s="100">
        <f>DW48/(DT48-EC37)</f>
        <v>2.8620689655172411</v>
      </c>
      <c r="ED48" s="102">
        <f t="shared" si="54"/>
        <v>12.69901971033347</v>
      </c>
      <c r="EE48" s="211">
        <v>11</v>
      </c>
      <c r="EF48" s="32">
        <f t="shared" si="55"/>
        <v>29.974758046696024</v>
      </c>
      <c r="EG48" s="38">
        <f t="shared" si="56"/>
        <v>32.68767000665315</v>
      </c>
      <c r="EH48" s="38">
        <f t="shared" si="57"/>
        <v>26.650864314672319</v>
      </c>
      <c r="EI48" s="38">
        <f t="shared" si="58"/>
        <v>29.960371603073767</v>
      </c>
      <c r="EJ48" s="39">
        <f t="shared" si="59"/>
        <v>34.287715751305697</v>
      </c>
    </row>
    <row r="49" spans="2:140" ht="15" thickBot="1" x14ac:dyDescent="0.25">
      <c r="L49" s="465">
        <f t="shared" si="60"/>
        <v>1</v>
      </c>
      <c r="N49" s="109">
        <v>12</v>
      </c>
      <c r="O49" s="110">
        <v>7</v>
      </c>
      <c r="P49" s="90"/>
      <c r="Q49" s="111">
        <f>O49/(L49-Q37)</f>
        <v>14.608695652173914</v>
      </c>
      <c r="R49" s="112">
        <f>O49/(L49-R37)</f>
        <v>8</v>
      </c>
      <c r="S49" s="112">
        <f>O49/(L49-S37)</f>
        <v>9.6</v>
      </c>
      <c r="T49" s="112">
        <f>O49/(L49-T37)</f>
        <v>7.1489361702127665</v>
      </c>
      <c r="U49" s="112">
        <f>O49/(L49-U37)</f>
        <v>7.4666666666666668</v>
      </c>
      <c r="V49" s="102">
        <f t="shared" si="33"/>
        <v>46.824298489053348</v>
      </c>
      <c r="W49" s="109">
        <v>12</v>
      </c>
      <c r="X49" s="43">
        <f t="shared" si="34"/>
        <v>42.176235922822059</v>
      </c>
      <c r="Y49" s="70">
        <f t="shared" si="35"/>
        <v>25.13514651184844</v>
      </c>
      <c r="Z49" s="70">
        <f t="shared" si="36"/>
        <v>28.829762021114679</v>
      </c>
      <c r="AA49" s="70">
        <f t="shared" si="37"/>
        <v>23.185610520877468</v>
      </c>
      <c r="AB49" s="71">
        <f t="shared" si="38"/>
        <v>25.05934429156169</v>
      </c>
      <c r="AN49" s="465">
        <f t="shared" si="61"/>
        <v>1</v>
      </c>
      <c r="AP49" s="109">
        <v>12</v>
      </c>
      <c r="AQ49" s="110">
        <v>1</v>
      </c>
      <c r="AR49" s="90"/>
      <c r="AS49" s="111">
        <f>AQ49/(AN49-AS37)</f>
        <v>1.2567567567567568</v>
      </c>
      <c r="AT49" s="112">
        <f>AQ49/(AN49-AT37)</f>
        <v>1.3676470588235294</v>
      </c>
      <c r="AU49" s="112">
        <f>AQ49/(AN49-AU37)</f>
        <v>1.0813953488372094</v>
      </c>
      <c r="AV49" s="112">
        <f>AQ49/(AN49-AV37)</f>
        <v>1.273972602739726</v>
      </c>
      <c r="AW49" s="112">
        <f>AQ49/(AN49-AW37)</f>
        <v>1.3098591549295775</v>
      </c>
      <c r="AX49" s="102">
        <f t="shared" si="39"/>
        <v>6.2896309220867987</v>
      </c>
      <c r="AY49" s="108">
        <v>12</v>
      </c>
      <c r="AZ49" s="43">
        <f t="shared" si="30"/>
        <v>30.051582492919877</v>
      </c>
      <c r="BA49" s="70">
        <f t="shared" si="40"/>
        <v>31.154308448219812</v>
      </c>
      <c r="BB49" s="70">
        <f t="shared" si="41"/>
        <v>24.279723497504222</v>
      </c>
      <c r="BC49" s="70">
        <f t="shared" si="42"/>
        <v>29.983938518499166</v>
      </c>
      <c r="BD49" s="71">
        <f t="shared" si="43"/>
        <v>29.025691859435646</v>
      </c>
      <c r="BP49" s="465">
        <f t="shared" si="62"/>
        <v>1</v>
      </c>
      <c r="BR49" s="109">
        <v>12</v>
      </c>
      <c r="BS49" s="110">
        <v>4</v>
      </c>
      <c r="BT49" s="90"/>
      <c r="BU49" s="111">
        <f>BS49/(BP49-BU37)</f>
        <v>4.676056338028169</v>
      </c>
      <c r="BV49" s="112">
        <f>BS49/(BP49-BV37)</f>
        <v>5.1076923076923082</v>
      </c>
      <c r="BW49" s="112">
        <f>BS49/(BP49-BW37)</f>
        <v>5.7241379310344822</v>
      </c>
      <c r="BX49" s="112">
        <f>BS49/(BP49-BX37)</f>
        <v>4.7428571428571429</v>
      </c>
      <c r="BY49" s="112">
        <f>BS49/(BP49-BY37)</f>
        <v>4.882352941176471</v>
      </c>
      <c r="BZ49" s="102">
        <f t="shared" si="44"/>
        <v>25.133096660788574</v>
      </c>
      <c r="CA49" s="212">
        <v>12</v>
      </c>
      <c r="CB49" s="43">
        <f t="shared" si="31"/>
        <v>27.938507224712673</v>
      </c>
      <c r="CC49" s="70">
        <f t="shared" si="45"/>
        <v>29.012229730689693</v>
      </c>
      <c r="CD49" s="70">
        <f t="shared" si="46"/>
        <v>32.284733036194034</v>
      </c>
      <c r="CE49" s="70">
        <f t="shared" si="47"/>
        <v>27.870962089827618</v>
      </c>
      <c r="CF49" s="71">
        <f t="shared" si="48"/>
        <v>26.948378446288746</v>
      </c>
      <c r="CR49" s="465">
        <f t="shared" si="63"/>
        <v>1</v>
      </c>
      <c r="CT49" s="109">
        <v>12</v>
      </c>
      <c r="CU49" s="110">
        <v>2</v>
      </c>
      <c r="CV49" s="90"/>
      <c r="CW49" s="111">
        <f>CU49/(CR49-CW37)</f>
        <v>3.0909090909090913</v>
      </c>
      <c r="CX49" s="112">
        <f>CU49/(CR49-CX37)</f>
        <v>2.1587301587301586</v>
      </c>
      <c r="CY49" s="112">
        <f>CU49/(CR49-CY37)</f>
        <v>2.4285714285714288</v>
      </c>
      <c r="CZ49" s="112">
        <f>CU49/(CR49-CZ37)</f>
        <v>3.1627906976744189</v>
      </c>
      <c r="DA49" s="112">
        <f>CU49/(CR49-DA37)</f>
        <v>2.0606060606060606</v>
      </c>
      <c r="DB49" s="102">
        <f t="shared" si="49"/>
        <v>12.901607436491158</v>
      </c>
      <c r="DC49" s="212">
        <v>12</v>
      </c>
      <c r="DD49" s="43">
        <f t="shared" si="32"/>
        <v>32.253846594770764</v>
      </c>
      <c r="DE49" s="70">
        <f t="shared" si="50"/>
        <v>23.9580638029284</v>
      </c>
      <c r="DF49" s="70">
        <f t="shared" si="51"/>
        <v>27.43917413561455</v>
      </c>
      <c r="DG49" s="70">
        <f t="shared" si="52"/>
        <v>32.238840562031605</v>
      </c>
      <c r="DH49" s="71">
        <f t="shared" si="53"/>
        <v>30.90503353231631</v>
      </c>
      <c r="DT49" s="465">
        <f t="shared" si="64"/>
        <v>1</v>
      </c>
      <c r="DV49" s="109">
        <v>12</v>
      </c>
      <c r="DW49" s="110">
        <v>8</v>
      </c>
      <c r="DX49" s="90"/>
      <c r="DY49" s="111">
        <f>DW49/(DT49-DY37)</f>
        <v>10.885245901639344</v>
      </c>
      <c r="DZ49" s="112">
        <f>DW49/(DT49-DZ37)</f>
        <v>8.3000000000000007</v>
      </c>
      <c r="EA49" s="112">
        <f>DW49/(DT49-EA37)</f>
        <v>9.0958904109589032</v>
      </c>
      <c r="EB49" s="112">
        <f>DW49/(DT49-EB37)</f>
        <v>11.066666666666666</v>
      </c>
      <c r="EC49" s="112">
        <f>DW49/(DT49-EC37)</f>
        <v>11.448275862068964</v>
      </c>
      <c r="ED49" s="102">
        <f t="shared" si="54"/>
        <v>50.79607884133388</v>
      </c>
      <c r="EE49" s="212">
        <v>12</v>
      </c>
      <c r="EF49" s="43">
        <f t="shared" si="55"/>
        <v>28.906576228514208</v>
      </c>
      <c r="EG49" s="70">
        <f t="shared" si="56"/>
        <v>30.644191745783587</v>
      </c>
      <c r="EH49" s="70">
        <f t="shared" si="57"/>
        <v>25.557841058858365</v>
      </c>
      <c r="EI49" s="70">
        <f t="shared" si="58"/>
        <v>28.938632472638986</v>
      </c>
      <c r="EJ49" s="71">
        <f t="shared" si="59"/>
        <v>32.818965751305697</v>
      </c>
    </row>
    <row r="53" spans="2:140" x14ac:dyDescent="0.2">
      <c r="B53" s="5" t="s">
        <v>14</v>
      </c>
      <c r="C53" s="5" t="s">
        <v>14</v>
      </c>
      <c r="D53" s="5" t="s">
        <v>14</v>
      </c>
      <c r="E53" s="5" t="s">
        <v>14</v>
      </c>
      <c r="F53" s="5" t="s">
        <v>14</v>
      </c>
      <c r="G53" s="5" t="s">
        <v>14</v>
      </c>
      <c r="H53" s="5" t="s">
        <v>14</v>
      </c>
      <c r="I53" s="5" t="s">
        <v>14</v>
      </c>
      <c r="J53" s="5" t="s">
        <v>14</v>
      </c>
      <c r="K53" s="5" t="s">
        <v>14</v>
      </c>
      <c r="L53" s="5" t="s">
        <v>14</v>
      </c>
      <c r="M53" s="5" t="s">
        <v>14</v>
      </c>
      <c r="N53" s="5" t="s">
        <v>14</v>
      </c>
      <c r="O53" s="5" t="s">
        <v>14</v>
      </c>
      <c r="P53" s="5" t="s">
        <v>14</v>
      </c>
      <c r="Q53" s="5" t="s">
        <v>14</v>
      </c>
      <c r="R53" s="5" t="s">
        <v>14</v>
      </c>
      <c r="S53" s="5" t="s">
        <v>14</v>
      </c>
      <c r="T53" s="5" t="s">
        <v>14</v>
      </c>
      <c r="U53" s="5" t="s">
        <v>14</v>
      </c>
      <c r="V53" s="5" t="s">
        <v>14</v>
      </c>
      <c r="W53" s="5" t="s">
        <v>14</v>
      </c>
      <c r="X53" s="5" t="s">
        <v>14</v>
      </c>
      <c r="Y53" s="5" t="s">
        <v>14</v>
      </c>
      <c r="Z53" s="5" t="s">
        <v>14</v>
      </c>
      <c r="AA53" s="5" t="s">
        <v>14</v>
      </c>
      <c r="AB53" s="5" t="s">
        <v>14</v>
      </c>
      <c r="AD53" s="6" t="s">
        <v>10</v>
      </c>
      <c r="AE53" s="6" t="s">
        <v>10</v>
      </c>
      <c r="AF53" s="6" t="s">
        <v>10</v>
      </c>
      <c r="AG53" s="6" t="s">
        <v>10</v>
      </c>
      <c r="AH53" s="6" t="s">
        <v>10</v>
      </c>
      <c r="AI53" s="6" t="s">
        <v>10</v>
      </c>
      <c r="AJ53" s="6" t="s">
        <v>10</v>
      </c>
      <c r="AK53" s="6" t="s">
        <v>10</v>
      </c>
      <c r="AL53" s="6" t="s">
        <v>10</v>
      </c>
      <c r="AM53" s="6" t="s">
        <v>10</v>
      </c>
      <c r="AN53" s="6" t="s">
        <v>10</v>
      </c>
      <c r="AO53" s="6" t="s">
        <v>10</v>
      </c>
      <c r="AP53" s="6" t="s">
        <v>10</v>
      </c>
      <c r="AQ53" s="6" t="s">
        <v>10</v>
      </c>
      <c r="AR53" s="6" t="s">
        <v>10</v>
      </c>
      <c r="AS53" s="6" t="s">
        <v>10</v>
      </c>
      <c r="AT53" s="6" t="s">
        <v>10</v>
      </c>
      <c r="AU53" s="6" t="s">
        <v>10</v>
      </c>
      <c r="AV53" s="6" t="s">
        <v>10</v>
      </c>
      <c r="AW53" s="6" t="s">
        <v>10</v>
      </c>
      <c r="AX53" s="6" t="s">
        <v>10</v>
      </c>
      <c r="AY53" s="6" t="s">
        <v>10</v>
      </c>
      <c r="AZ53" s="6" t="s">
        <v>10</v>
      </c>
      <c r="BA53" s="6" t="s">
        <v>10</v>
      </c>
      <c r="BB53" s="6" t="s">
        <v>10</v>
      </c>
      <c r="BC53" s="6" t="s">
        <v>10</v>
      </c>
      <c r="BD53" s="6" t="s">
        <v>10</v>
      </c>
      <c r="BF53" s="6" t="s">
        <v>16</v>
      </c>
      <c r="BG53" s="6" t="s">
        <v>16</v>
      </c>
      <c r="BH53" s="6" t="s">
        <v>16</v>
      </c>
      <c r="BI53" s="6" t="s">
        <v>16</v>
      </c>
      <c r="BJ53" s="6" t="s">
        <v>16</v>
      </c>
      <c r="BK53" s="6" t="s">
        <v>16</v>
      </c>
      <c r="BL53" s="6" t="s">
        <v>16</v>
      </c>
      <c r="BM53" s="6" t="s">
        <v>16</v>
      </c>
      <c r="BN53" s="6" t="s">
        <v>16</v>
      </c>
      <c r="BO53" s="6" t="s">
        <v>16</v>
      </c>
      <c r="BP53" s="6" t="s">
        <v>16</v>
      </c>
      <c r="BQ53" s="6" t="s">
        <v>16</v>
      </c>
      <c r="BR53" s="6" t="s">
        <v>16</v>
      </c>
      <c r="BS53" s="6" t="s">
        <v>16</v>
      </c>
      <c r="BT53" s="6" t="s">
        <v>16</v>
      </c>
      <c r="BU53" s="6" t="s">
        <v>16</v>
      </c>
      <c r="BV53" s="6" t="s">
        <v>16</v>
      </c>
      <c r="BW53" s="6" t="s">
        <v>16</v>
      </c>
      <c r="BX53" s="6" t="s">
        <v>16</v>
      </c>
      <c r="BY53" s="6" t="s">
        <v>16</v>
      </c>
      <c r="BZ53" s="6" t="s">
        <v>16</v>
      </c>
      <c r="CA53" s="6" t="s">
        <v>16</v>
      </c>
      <c r="CB53" s="6" t="s">
        <v>16</v>
      </c>
      <c r="CC53" s="6" t="s">
        <v>16</v>
      </c>
      <c r="CD53" s="6" t="s">
        <v>16</v>
      </c>
      <c r="CE53" s="6" t="s">
        <v>16</v>
      </c>
      <c r="CF53" s="6" t="s">
        <v>16</v>
      </c>
      <c r="CH53" s="6" t="s">
        <v>6</v>
      </c>
      <c r="CI53" s="6" t="s">
        <v>6</v>
      </c>
      <c r="CJ53" s="6" t="s">
        <v>6</v>
      </c>
      <c r="CK53" s="6" t="s">
        <v>6</v>
      </c>
      <c r="CL53" s="6" t="s">
        <v>6</v>
      </c>
      <c r="CM53" s="6" t="s">
        <v>6</v>
      </c>
      <c r="CN53" s="6" t="s">
        <v>6</v>
      </c>
      <c r="CO53" s="6" t="s">
        <v>6</v>
      </c>
      <c r="CP53" s="6" t="s">
        <v>6</v>
      </c>
      <c r="CQ53" s="6" t="s">
        <v>6</v>
      </c>
      <c r="CR53" s="6" t="s">
        <v>6</v>
      </c>
      <c r="CS53" s="6" t="s">
        <v>6</v>
      </c>
      <c r="CT53" s="6" t="s">
        <v>6</v>
      </c>
      <c r="CU53" s="6" t="s">
        <v>6</v>
      </c>
      <c r="CV53" s="6" t="s">
        <v>6</v>
      </c>
      <c r="CW53" s="6" t="s">
        <v>6</v>
      </c>
      <c r="CX53" s="6" t="s">
        <v>6</v>
      </c>
      <c r="CY53" s="6" t="s">
        <v>6</v>
      </c>
      <c r="CZ53" s="6" t="s">
        <v>6</v>
      </c>
      <c r="DA53" s="6" t="s">
        <v>6</v>
      </c>
      <c r="DB53" s="6" t="s">
        <v>6</v>
      </c>
      <c r="DC53" s="6" t="s">
        <v>6</v>
      </c>
      <c r="DD53" s="6" t="s">
        <v>6</v>
      </c>
      <c r="DE53" s="6" t="s">
        <v>6</v>
      </c>
      <c r="DF53" s="6" t="s">
        <v>6</v>
      </c>
      <c r="DG53" s="6" t="s">
        <v>6</v>
      </c>
      <c r="DH53" s="6" t="s">
        <v>6</v>
      </c>
      <c r="DJ53" s="6" t="s">
        <v>17</v>
      </c>
      <c r="DK53" s="6" t="s">
        <v>17</v>
      </c>
      <c r="DL53" s="6" t="s">
        <v>17</v>
      </c>
      <c r="DM53" s="6" t="s">
        <v>17</v>
      </c>
      <c r="DN53" s="6" t="s">
        <v>17</v>
      </c>
      <c r="DO53" s="6" t="s">
        <v>17</v>
      </c>
      <c r="DP53" s="6" t="s">
        <v>17</v>
      </c>
      <c r="DQ53" s="6" t="s">
        <v>17</v>
      </c>
      <c r="DR53" s="6" t="s">
        <v>17</v>
      </c>
      <c r="DS53" s="6" t="s">
        <v>17</v>
      </c>
      <c r="DT53" s="6" t="s">
        <v>17</v>
      </c>
      <c r="DU53" s="6" t="s">
        <v>17</v>
      </c>
      <c r="DV53" s="6" t="s">
        <v>17</v>
      </c>
      <c r="DW53" s="6" t="s">
        <v>17</v>
      </c>
      <c r="DX53" s="6" t="s">
        <v>17</v>
      </c>
      <c r="DY53" s="6" t="s">
        <v>17</v>
      </c>
      <c r="DZ53" s="6" t="s">
        <v>17</v>
      </c>
      <c r="EA53" s="6" t="s">
        <v>17</v>
      </c>
      <c r="EB53" s="6" t="s">
        <v>17</v>
      </c>
      <c r="EC53" s="6" t="s">
        <v>17</v>
      </c>
      <c r="ED53" s="6" t="s">
        <v>17</v>
      </c>
      <c r="EE53" s="6" t="s">
        <v>17</v>
      </c>
      <c r="EF53" s="6" t="s">
        <v>17</v>
      </c>
      <c r="EG53" s="6" t="s">
        <v>17</v>
      </c>
      <c r="EH53" s="6" t="s">
        <v>17</v>
      </c>
      <c r="EI53" s="6" t="s">
        <v>17</v>
      </c>
      <c r="EJ53" s="6" t="s">
        <v>17</v>
      </c>
    </row>
    <row r="54" spans="2:140" ht="15" thickBot="1" x14ac:dyDescent="0.25"/>
    <row r="55" spans="2:140" ht="15" thickBot="1" x14ac:dyDescent="0.25">
      <c r="B55" s="7"/>
      <c r="C55" s="8" t="s">
        <v>6</v>
      </c>
      <c r="D55" s="8" t="s">
        <v>7</v>
      </c>
      <c r="E55" s="8" t="s">
        <v>8</v>
      </c>
      <c r="F55" s="8" t="s">
        <v>9</v>
      </c>
      <c r="G55" s="8" t="s">
        <v>10</v>
      </c>
      <c r="H55" s="9"/>
      <c r="I55" s="10"/>
      <c r="J55" s="11" t="s">
        <v>11</v>
      </c>
      <c r="K55" s="12" t="s">
        <v>6</v>
      </c>
      <c r="L55" s="12" t="s">
        <v>7</v>
      </c>
      <c r="M55" s="12" t="s">
        <v>8</v>
      </c>
      <c r="N55" s="12" t="s">
        <v>9</v>
      </c>
      <c r="O55" s="13" t="s">
        <v>10</v>
      </c>
      <c r="P55" s="10"/>
      <c r="W55" s="204" t="s">
        <v>37</v>
      </c>
      <c r="X55" s="835" t="s">
        <v>55</v>
      </c>
      <c r="Y55" s="836"/>
      <c r="Z55" s="836"/>
      <c r="AA55" s="836"/>
      <c r="AB55" s="837"/>
      <c r="AD55" s="7"/>
      <c r="AE55" s="8" t="s">
        <v>6</v>
      </c>
      <c r="AF55" s="8" t="s">
        <v>7</v>
      </c>
      <c r="AG55" s="8" t="s">
        <v>8</v>
      </c>
      <c r="AH55" s="8" t="s">
        <v>9</v>
      </c>
      <c r="AI55" s="8" t="s">
        <v>10</v>
      </c>
      <c r="AJ55" s="9"/>
      <c r="AK55" s="10"/>
      <c r="AL55" s="11" t="s">
        <v>11</v>
      </c>
      <c r="AM55" s="12" t="s">
        <v>6</v>
      </c>
      <c r="AN55" s="12" t="s">
        <v>7</v>
      </c>
      <c r="AO55" s="12" t="s">
        <v>8</v>
      </c>
      <c r="AP55" s="12" t="s">
        <v>9</v>
      </c>
      <c r="AQ55" s="13" t="s">
        <v>10</v>
      </c>
      <c r="AR55" s="10"/>
      <c r="AY55" s="204" t="s">
        <v>37</v>
      </c>
      <c r="AZ55" s="835" t="s">
        <v>67</v>
      </c>
      <c r="BA55" s="836"/>
      <c r="BB55" s="836"/>
      <c r="BC55" s="836"/>
      <c r="BD55" s="837"/>
      <c r="BF55" s="7"/>
      <c r="BG55" s="8" t="s">
        <v>6</v>
      </c>
      <c r="BH55" s="8" t="s">
        <v>7</v>
      </c>
      <c r="BI55" s="8" t="s">
        <v>8</v>
      </c>
      <c r="BJ55" s="8" t="s">
        <v>9</v>
      </c>
      <c r="BK55" s="8" t="s">
        <v>10</v>
      </c>
      <c r="BL55" s="9"/>
      <c r="BM55" s="10"/>
      <c r="BN55" s="11" t="s">
        <v>11</v>
      </c>
      <c r="BO55" s="12" t="s">
        <v>6</v>
      </c>
      <c r="BP55" s="12" t="s">
        <v>7</v>
      </c>
      <c r="BQ55" s="12" t="s">
        <v>8</v>
      </c>
      <c r="BR55" s="12" t="s">
        <v>9</v>
      </c>
      <c r="BS55" s="13" t="s">
        <v>10</v>
      </c>
      <c r="BT55" s="10"/>
      <c r="CA55" s="204" t="s">
        <v>37</v>
      </c>
      <c r="CB55" s="835" t="s">
        <v>85</v>
      </c>
      <c r="CC55" s="836"/>
      <c r="CD55" s="836"/>
      <c r="CE55" s="836"/>
      <c r="CF55" s="837"/>
      <c r="CH55" s="7"/>
      <c r="CI55" s="8" t="s">
        <v>6</v>
      </c>
      <c r="CJ55" s="8" t="s">
        <v>7</v>
      </c>
      <c r="CK55" s="8" t="s">
        <v>8</v>
      </c>
      <c r="CL55" s="8" t="s">
        <v>9</v>
      </c>
      <c r="CM55" s="8" t="s">
        <v>10</v>
      </c>
      <c r="CN55" s="9"/>
      <c r="CO55" s="10"/>
      <c r="CP55" s="11" t="s">
        <v>11</v>
      </c>
      <c r="CQ55" s="12" t="s">
        <v>6</v>
      </c>
      <c r="CR55" s="12" t="s">
        <v>7</v>
      </c>
      <c r="CS55" s="12" t="s">
        <v>8</v>
      </c>
      <c r="CT55" s="12" t="s">
        <v>9</v>
      </c>
      <c r="CU55" s="13" t="s">
        <v>10</v>
      </c>
      <c r="CV55" s="10"/>
      <c r="DC55" s="204" t="s">
        <v>37</v>
      </c>
      <c r="DD55" s="835" t="s">
        <v>100</v>
      </c>
      <c r="DE55" s="836"/>
      <c r="DF55" s="836"/>
      <c r="DG55" s="836"/>
      <c r="DH55" s="837"/>
      <c r="DJ55" s="7"/>
      <c r="DK55" s="8" t="s">
        <v>6</v>
      </c>
      <c r="DL55" s="8" t="s">
        <v>7</v>
      </c>
      <c r="DM55" s="8" t="s">
        <v>8</v>
      </c>
      <c r="DN55" s="8" t="s">
        <v>9</v>
      </c>
      <c r="DO55" s="8" t="s">
        <v>10</v>
      </c>
      <c r="DP55" s="9"/>
      <c r="DQ55" s="10"/>
      <c r="DR55" s="11" t="s">
        <v>11</v>
      </c>
      <c r="DS55" s="12" t="s">
        <v>6</v>
      </c>
      <c r="DT55" s="12" t="s">
        <v>7</v>
      </c>
      <c r="DU55" s="12" t="s">
        <v>8</v>
      </c>
      <c r="DV55" s="12" t="s">
        <v>9</v>
      </c>
      <c r="DW55" s="13" t="s">
        <v>10</v>
      </c>
      <c r="DX55" s="10"/>
      <c r="EE55" s="204" t="s">
        <v>37</v>
      </c>
      <c r="EF55" s="835" t="s">
        <v>115</v>
      </c>
      <c r="EG55" s="836"/>
      <c r="EH55" s="836"/>
      <c r="EI55" s="836"/>
      <c r="EJ55" s="837"/>
    </row>
    <row r="56" spans="2:140" x14ac:dyDescent="0.2">
      <c r="B56" s="14" t="s">
        <v>13</v>
      </c>
      <c r="C56" s="120">
        <f>K88</f>
        <v>16</v>
      </c>
      <c r="D56" s="16">
        <f>K94</f>
        <v>22</v>
      </c>
      <c r="E56" s="16">
        <f>K76</f>
        <v>4</v>
      </c>
      <c r="F56" s="16">
        <f>K89</f>
        <v>17</v>
      </c>
      <c r="G56" s="17">
        <f>K91</f>
        <v>19</v>
      </c>
      <c r="H56" s="18">
        <f>SUM(C56:G56)</f>
        <v>78</v>
      </c>
      <c r="I56" s="10"/>
      <c r="J56" s="19" t="s">
        <v>13</v>
      </c>
      <c r="K56" s="20">
        <f>C56/C61</f>
        <v>0.21621621621621623</v>
      </c>
      <c r="L56" s="21">
        <f>D56/D61</f>
        <v>0.2391304347826087</v>
      </c>
      <c r="M56" s="21">
        <f>E56/E61</f>
        <v>8.6956521739130432E-2</v>
      </c>
      <c r="N56" s="21">
        <f>F56/F61</f>
        <v>0.35416666666666669</v>
      </c>
      <c r="O56" s="22">
        <f>G56/G61</f>
        <v>0.29230769230769232</v>
      </c>
      <c r="P56" s="23"/>
      <c r="W56" s="206">
        <v>1</v>
      </c>
      <c r="X56" s="24">
        <f t="shared" ref="X56:AB67" si="65">X72+X87</f>
        <v>45.356690090520871</v>
      </c>
      <c r="Y56" s="25">
        <f t="shared" si="65"/>
        <v>41.767906676942886</v>
      </c>
      <c r="Z56" s="25">
        <f t="shared" si="65"/>
        <v>31.750697150278857</v>
      </c>
      <c r="AA56" s="25">
        <f t="shared" si="65"/>
        <v>35.580275245802405</v>
      </c>
      <c r="AB56" s="26">
        <f t="shared" si="65"/>
        <v>33.30315987407343</v>
      </c>
      <c r="AD56" s="14" t="s">
        <v>13</v>
      </c>
      <c r="AE56" s="120">
        <f>AM88</f>
        <v>23</v>
      </c>
      <c r="AF56" s="16">
        <f>AM94</f>
        <v>4</v>
      </c>
      <c r="AG56" s="16">
        <f>AM76</f>
        <v>11</v>
      </c>
      <c r="AH56" s="16">
        <f>AM89</f>
        <v>24</v>
      </c>
      <c r="AI56" s="17">
        <f>AM91</f>
        <v>1</v>
      </c>
      <c r="AJ56" s="18">
        <f>SUM(AE56:AI56)</f>
        <v>63</v>
      </c>
      <c r="AK56" s="10"/>
      <c r="AL56" s="19" t="s">
        <v>13</v>
      </c>
      <c r="AM56" s="28">
        <f>AE56/AE61</f>
        <v>0.38983050847457629</v>
      </c>
      <c r="AN56" s="29">
        <f>AF56/AF61</f>
        <v>7.6923076923076927E-2</v>
      </c>
      <c r="AO56" s="21">
        <f>AG56/AG61</f>
        <v>0.19642857142857142</v>
      </c>
      <c r="AP56" s="21">
        <f>AH56/AH61</f>
        <v>0.28915662650602408</v>
      </c>
      <c r="AQ56" s="22">
        <f>AI56/AI61</f>
        <v>1.3333333333333334E-2</v>
      </c>
      <c r="AR56" s="23"/>
      <c r="AY56" s="206">
        <v>1</v>
      </c>
      <c r="AZ56" s="24">
        <f t="shared" ref="AZ56:BD67" si="66">AZ72+AZ87</f>
        <v>40.826204417658161</v>
      </c>
      <c r="BA56" s="25">
        <f t="shared" si="66"/>
        <v>46.751567971501885</v>
      </c>
      <c r="BB56" s="25">
        <f t="shared" si="66"/>
        <v>38.775156696950106</v>
      </c>
      <c r="BC56" s="25">
        <f t="shared" si="66"/>
        <v>39.152100073694548</v>
      </c>
      <c r="BD56" s="26">
        <f t="shared" si="66"/>
        <v>40.983128365299194</v>
      </c>
      <c r="BF56" s="14" t="s">
        <v>13</v>
      </c>
      <c r="BG56" s="120">
        <f>BO88</f>
        <v>13</v>
      </c>
      <c r="BH56" s="16">
        <f>BO94</f>
        <v>19</v>
      </c>
      <c r="BI56" s="16">
        <f>BO76</f>
        <v>1</v>
      </c>
      <c r="BJ56" s="16">
        <f>BO89</f>
        <v>14</v>
      </c>
      <c r="BK56" s="17">
        <f>BO91</f>
        <v>16</v>
      </c>
      <c r="BL56" s="18">
        <f>SUM(BG56:BK56)</f>
        <v>63</v>
      </c>
      <c r="BM56" s="10"/>
      <c r="BN56" s="19" t="s">
        <v>13</v>
      </c>
      <c r="BO56" s="28">
        <f>BG56/BG61</f>
        <v>0.15476190476190477</v>
      </c>
      <c r="BP56" s="21">
        <f>BH56/BH61</f>
        <v>0.24675324675324675</v>
      </c>
      <c r="BQ56" s="29">
        <f>BI56/BI61</f>
        <v>1.7857142857142856E-2</v>
      </c>
      <c r="BR56" s="21">
        <f>BJ56/BJ61</f>
        <v>0.2413793103448276</v>
      </c>
      <c r="BS56" s="22">
        <f>BK56/BK61</f>
        <v>0.32</v>
      </c>
      <c r="BT56" s="23"/>
      <c r="CA56" s="206">
        <v>1</v>
      </c>
      <c r="CB56" s="24">
        <f t="shared" ref="CB56:CF67" si="67">CB72+CB87</f>
        <v>41.633850292158051</v>
      </c>
      <c r="CC56" s="25">
        <f t="shared" si="67"/>
        <v>39.327887765352529</v>
      </c>
      <c r="CD56" s="25">
        <f t="shared" si="67"/>
        <v>45.013623971644854</v>
      </c>
      <c r="CE56" s="25">
        <f t="shared" si="67"/>
        <v>34.666880104755137</v>
      </c>
      <c r="CF56" s="26">
        <f t="shared" si="67"/>
        <v>32.965451148058605</v>
      </c>
      <c r="CH56" s="14" t="s">
        <v>13</v>
      </c>
      <c r="CI56" s="120">
        <f>CQ88</f>
        <v>11</v>
      </c>
      <c r="CJ56" s="16">
        <f>CQ94</f>
        <v>17</v>
      </c>
      <c r="CK56" s="16">
        <f>CQ76</f>
        <v>24</v>
      </c>
      <c r="CL56" s="16">
        <f>CQ89</f>
        <v>12</v>
      </c>
      <c r="CM56" s="17">
        <f>CQ91</f>
        <v>14</v>
      </c>
      <c r="CN56" s="18">
        <f>SUM(CI56:CM56)</f>
        <v>78</v>
      </c>
      <c r="CO56" s="10"/>
      <c r="CP56" s="19" t="s">
        <v>13</v>
      </c>
      <c r="CQ56" s="28">
        <f>CI56/CI61</f>
        <v>0.14864864864864866</v>
      </c>
      <c r="CR56" s="21">
        <f>CJ56/CJ61</f>
        <v>0.2537313432835821</v>
      </c>
      <c r="CS56" s="21">
        <f>CK56/CK61</f>
        <v>0.3380281690140845</v>
      </c>
      <c r="CT56" s="29">
        <f>CL56/CL61</f>
        <v>0.16438356164383561</v>
      </c>
      <c r="CU56" s="22">
        <f>CM56/CM61</f>
        <v>0.35</v>
      </c>
      <c r="CV56" s="23"/>
      <c r="DC56" s="206">
        <v>1</v>
      </c>
      <c r="DD56" s="24">
        <f t="shared" ref="DD56:DH67" si="68">DD72+DD87</f>
        <v>46.916807375898529</v>
      </c>
      <c r="DE56" s="25">
        <f t="shared" si="68"/>
        <v>45.101374421499813</v>
      </c>
      <c r="DF56" s="25">
        <f t="shared" si="68"/>
        <v>50.252882182350859</v>
      </c>
      <c r="DG56" s="25">
        <f t="shared" si="68"/>
        <v>50.86740894440284</v>
      </c>
      <c r="DH56" s="26">
        <f t="shared" si="68"/>
        <v>38.522912915982694</v>
      </c>
      <c r="DJ56" s="14" t="s">
        <v>13</v>
      </c>
      <c r="DK56" s="120">
        <f>DS88</f>
        <v>10</v>
      </c>
      <c r="DL56" s="16">
        <f>DS94</f>
        <v>16</v>
      </c>
      <c r="DM56" s="16">
        <f>DS76</f>
        <v>23</v>
      </c>
      <c r="DN56" s="16">
        <f>DS89</f>
        <v>11</v>
      </c>
      <c r="DO56" s="17">
        <f>DS91</f>
        <v>13</v>
      </c>
      <c r="DP56" s="18">
        <f>SUM(DK56:DO56)</f>
        <v>73</v>
      </c>
      <c r="DQ56" s="10"/>
      <c r="DR56" s="19" t="s">
        <v>13</v>
      </c>
      <c r="DS56" s="28">
        <f>DK56/DK61</f>
        <v>0.14492753623188406</v>
      </c>
      <c r="DT56" s="21">
        <f>DL56/DL61</f>
        <v>0.25806451612903225</v>
      </c>
      <c r="DU56" s="21">
        <f>DM56/DM61</f>
        <v>0.34848484848484851</v>
      </c>
      <c r="DV56" s="21">
        <f>DN56/DN61</f>
        <v>0.16176470588235295</v>
      </c>
      <c r="DW56" s="31">
        <f>DO56/DO61</f>
        <v>0.21666666666666667</v>
      </c>
      <c r="DX56" s="23"/>
      <c r="EE56" s="206">
        <v>1</v>
      </c>
      <c r="EF56" s="24">
        <f t="shared" ref="EF56:EJ67" si="69">EF72+EF87</f>
        <v>41.223814969259863</v>
      </c>
      <c r="EG56" s="25">
        <f t="shared" si="69"/>
        <v>40.694930364933875</v>
      </c>
      <c r="EH56" s="25">
        <f t="shared" si="69"/>
        <v>44.065338327217276</v>
      </c>
      <c r="EI56" s="25">
        <f t="shared" si="69"/>
        <v>44.158328399961405</v>
      </c>
      <c r="EJ56" s="26">
        <f t="shared" si="69"/>
        <v>42.146474503449568</v>
      </c>
    </row>
    <row r="57" spans="2:140" x14ac:dyDescent="0.2">
      <c r="B57" s="14" t="s">
        <v>3</v>
      </c>
      <c r="C57" s="121">
        <f>K72</f>
        <v>25</v>
      </c>
      <c r="D57" s="33">
        <f>K90</f>
        <v>18</v>
      </c>
      <c r="E57" s="33">
        <f>K75</f>
        <v>3</v>
      </c>
      <c r="F57" s="33">
        <f>K77</f>
        <v>5</v>
      </c>
      <c r="G57" s="34">
        <f>K78</f>
        <v>6</v>
      </c>
      <c r="H57" s="18">
        <f t="shared" ref="H57:H60" si="70">SUM(C57:G57)</f>
        <v>57</v>
      </c>
      <c r="I57" s="10"/>
      <c r="J57" s="19" t="s">
        <v>3</v>
      </c>
      <c r="K57" s="35">
        <f>C57/C61</f>
        <v>0.33783783783783783</v>
      </c>
      <c r="L57" s="36">
        <f>D57/D61</f>
        <v>0.19565217391304349</v>
      </c>
      <c r="M57" s="36">
        <f>E57/E61</f>
        <v>6.5217391304347824E-2</v>
      </c>
      <c r="N57" s="36">
        <f>F57/F61</f>
        <v>0.10416666666666667</v>
      </c>
      <c r="O57" s="37">
        <f>G57/G61</f>
        <v>9.2307692307692313E-2</v>
      </c>
      <c r="P57" s="23"/>
      <c r="W57" s="98">
        <v>2</v>
      </c>
      <c r="X57" s="32">
        <f t="shared" si="65"/>
        <v>53.017968826153052</v>
      </c>
      <c r="Y57" s="38">
        <f t="shared" si="65"/>
        <v>48.704392809857595</v>
      </c>
      <c r="Z57" s="38">
        <f t="shared" si="65"/>
        <v>36.986808261389967</v>
      </c>
      <c r="AA57" s="38">
        <f t="shared" si="65"/>
        <v>41.390403450930613</v>
      </c>
      <c r="AB57" s="39">
        <f t="shared" si="65"/>
        <v>38.802245329150985</v>
      </c>
      <c r="AD57" s="14" t="s">
        <v>3</v>
      </c>
      <c r="AE57" s="32">
        <f>AM72</f>
        <v>7</v>
      </c>
      <c r="AF57" s="122">
        <f>AM90</f>
        <v>25</v>
      </c>
      <c r="AG57" s="33">
        <f>AM75</f>
        <v>10</v>
      </c>
      <c r="AH57" s="33">
        <f>AM77</f>
        <v>12</v>
      </c>
      <c r="AI57" s="34">
        <f>AM78</f>
        <v>13</v>
      </c>
      <c r="AJ57" s="18">
        <f t="shared" ref="AJ57:AJ60" si="71">SUM(AE57:AI57)</f>
        <v>67</v>
      </c>
      <c r="AK57" s="10"/>
      <c r="AL57" s="19" t="s">
        <v>3</v>
      </c>
      <c r="AM57" s="40">
        <f>AE57/AE61</f>
        <v>0.11864406779661017</v>
      </c>
      <c r="AN57" s="41">
        <f>AF57/AF61</f>
        <v>0.48076923076923078</v>
      </c>
      <c r="AO57" s="36">
        <f>AG57/AG61</f>
        <v>0.17857142857142858</v>
      </c>
      <c r="AP57" s="36">
        <f>AH57/AH61</f>
        <v>0.14457831325301204</v>
      </c>
      <c r="AQ57" s="37">
        <f>AI57/AI61</f>
        <v>0.17333333333333334</v>
      </c>
      <c r="AR57" s="23"/>
      <c r="AY57" s="98">
        <v>2</v>
      </c>
      <c r="AZ57" s="32">
        <f t="shared" si="66"/>
        <v>41.273426639880384</v>
      </c>
      <c r="BA57" s="38">
        <f t="shared" si="66"/>
        <v>45.737373832307753</v>
      </c>
      <c r="BB57" s="38">
        <f t="shared" si="66"/>
        <v>38.645946170634318</v>
      </c>
      <c r="BC57" s="38">
        <f t="shared" si="66"/>
        <v>38.870610651167389</v>
      </c>
      <c r="BD57" s="39">
        <f t="shared" si="66"/>
        <v>40.854424661595488</v>
      </c>
      <c r="BF57" s="14" t="s">
        <v>3</v>
      </c>
      <c r="BG57" s="32">
        <f>BO72</f>
        <v>22</v>
      </c>
      <c r="BH57" s="38">
        <f>BO90</f>
        <v>15</v>
      </c>
      <c r="BI57" s="122">
        <f>BO75</f>
        <v>25</v>
      </c>
      <c r="BJ57" s="33">
        <f>BO77</f>
        <v>2</v>
      </c>
      <c r="BK57" s="34">
        <f>BO78</f>
        <v>3</v>
      </c>
      <c r="BL57" s="18">
        <f t="shared" ref="BL57:BL60" si="72">SUM(BG57:BK57)</f>
        <v>67</v>
      </c>
      <c r="BM57" s="10"/>
      <c r="BN57" s="19" t="s">
        <v>3</v>
      </c>
      <c r="BO57" s="40">
        <f>BG57/BG61</f>
        <v>0.26190476190476192</v>
      </c>
      <c r="BP57" s="36">
        <f>BH57/BH61</f>
        <v>0.19480519480519481</v>
      </c>
      <c r="BQ57" s="41">
        <f>BI57/BI61</f>
        <v>0.44642857142857145</v>
      </c>
      <c r="BR57" s="36">
        <f>BJ57/BJ61</f>
        <v>3.4482758620689655E-2</v>
      </c>
      <c r="BS57" s="37">
        <f>BK57/BK61</f>
        <v>0.06</v>
      </c>
      <c r="BT57" s="23"/>
      <c r="CA57" s="98">
        <v>2</v>
      </c>
      <c r="CB57" s="32">
        <f t="shared" si="67"/>
        <v>52.791948883707349</v>
      </c>
      <c r="CC57" s="38">
        <f t="shared" si="67"/>
        <v>49.455162372465836</v>
      </c>
      <c r="CD57" s="38">
        <f t="shared" si="67"/>
        <v>57.026719209740101</v>
      </c>
      <c r="CE57" s="38">
        <f t="shared" si="67"/>
        <v>43.226495489370521</v>
      </c>
      <c r="CF57" s="39">
        <f t="shared" si="67"/>
        <v>41.338367814725274</v>
      </c>
      <c r="CH57" s="14" t="s">
        <v>3</v>
      </c>
      <c r="CI57" s="32">
        <f>CQ72</f>
        <v>20</v>
      </c>
      <c r="CJ57" s="38">
        <f>CQ90</f>
        <v>13</v>
      </c>
      <c r="CK57" s="38">
        <f>CQ75</f>
        <v>23</v>
      </c>
      <c r="CL57" s="122">
        <f>CQ77</f>
        <v>25</v>
      </c>
      <c r="CM57" s="34">
        <f>CQ78</f>
        <v>1</v>
      </c>
      <c r="CN57" s="18">
        <f t="shared" ref="CN57:CN60" si="73">SUM(CI57:CM57)</f>
        <v>82</v>
      </c>
      <c r="CO57" s="10"/>
      <c r="CP57" s="19" t="s">
        <v>3</v>
      </c>
      <c r="CQ57" s="40">
        <f>CI57/CI61</f>
        <v>0.27027027027027029</v>
      </c>
      <c r="CR57" s="36">
        <f>CJ57/CJ61</f>
        <v>0.19402985074626866</v>
      </c>
      <c r="CS57" s="36">
        <f>CK57/CK61</f>
        <v>0.323943661971831</v>
      </c>
      <c r="CT57" s="41">
        <f>CL57/CL61</f>
        <v>0.34246575342465752</v>
      </c>
      <c r="CU57" s="37">
        <f>CM57/CM61</f>
        <v>2.5000000000000001E-2</v>
      </c>
      <c r="CV57" s="23"/>
      <c r="DC57" s="98">
        <v>2</v>
      </c>
      <c r="DD57" s="32">
        <f t="shared" si="68"/>
        <v>45.165335281684499</v>
      </c>
      <c r="DE57" s="38">
        <f t="shared" si="68"/>
        <v>43.948194067232507</v>
      </c>
      <c r="DF57" s="38">
        <f t="shared" si="68"/>
        <v>48.548134246670713</v>
      </c>
      <c r="DG57" s="38">
        <f t="shared" si="68"/>
        <v>48.938740682839835</v>
      </c>
      <c r="DH57" s="39">
        <f t="shared" si="68"/>
        <v>37.555320323390092</v>
      </c>
      <c r="DJ57" s="14" t="s">
        <v>3</v>
      </c>
      <c r="DK57" s="32">
        <f>DS72</f>
        <v>19</v>
      </c>
      <c r="DL57" s="38">
        <f>DS90</f>
        <v>12</v>
      </c>
      <c r="DM57" s="38">
        <f>DS75</f>
        <v>22</v>
      </c>
      <c r="DN57" s="38">
        <f>DS77</f>
        <v>24</v>
      </c>
      <c r="DO57" s="117">
        <f>DS78</f>
        <v>25</v>
      </c>
      <c r="DP57" s="18">
        <f t="shared" ref="DP57:DP60" si="74">SUM(DK57:DO57)</f>
        <v>102</v>
      </c>
      <c r="DQ57" s="10"/>
      <c r="DR57" s="19" t="s">
        <v>3</v>
      </c>
      <c r="DS57" s="40">
        <f>DK57/DK61</f>
        <v>0.27536231884057971</v>
      </c>
      <c r="DT57" s="36">
        <f>DL57/DL61</f>
        <v>0.19354838709677419</v>
      </c>
      <c r="DU57" s="36">
        <f>DM57/DM61</f>
        <v>0.33333333333333331</v>
      </c>
      <c r="DV57" s="36">
        <f>DN57/DN61</f>
        <v>0.35294117647058826</v>
      </c>
      <c r="DW57" s="42">
        <f>DO57/DO61</f>
        <v>0.41666666666666669</v>
      </c>
      <c r="DX57" s="23"/>
      <c r="EE57" s="98">
        <v>2</v>
      </c>
      <c r="EF57" s="32">
        <f t="shared" si="69"/>
        <v>45.892804486651457</v>
      </c>
      <c r="EG57" s="38">
        <f t="shared" si="69"/>
        <v>45.3832636982672</v>
      </c>
      <c r="EH57" s="38">
        <f t="shared" si="69"/>
        <v>49.094504993883938</v>
      </c>
      <c r="EI57" s="38">
        <f t="shared" si="69"/>
        <v>49.168320858483277</v>
      </c>
      <c r="EJ57" s="39">
        <f t="shared" si="69"/>
        <v>46.852197701819833</v>
      </c>
    </row>
    <row r="58" spans="2:140" x14ac:dyDescent="0.2">
      <c r="B58" s="14" t="s">
        <v>14</v>
      </c>
      <c r="C58" s="123">
        <f>K74</f>
        <v>2</v>
      </c>
      <c r="D58" s="33">
        <f>K95</f>
        <v>23</v>
      </c>
      <c r="E58" s="33">
        <f>K93</f>
        <v>21</v>
      </c>
      <c r="F58" s="33">
        <f>K73</f>
        <v>1</v>
      </c>
      <c r="G58" s="34">
        <f>K85</f>
        <v>13</v>
      </c>
      <c r="H58" s="18">
        <f t="shared" si="70"/>
        <v>60</v>
      </c>
      <c r="I58" s="10"/>
      <c r="J58" s="19" t="s">
        <v>14</v>
      </c>
      <c r="K58" s="35">
        <f>C58/C61</f>
        <v>2.7027027027027029E-2</v>
      </c>
      <c r="L58" s="36">
        <f>D58/D61</f>
        <v>0.25</v>
      </c>
      <c r="M58" s="36">
        <f>E58/E61</f>
        <v>0.45652173913043476</v>
      </c>
      <c r="N58" s="36">
        <f>F58/F61</f>
        <v>2.0833333333333332E-2</v>
      </c>
      <c r="O58" s="37">
        <f>G58/G61</f>
        <v>0.2</v>
      </c>
      <c r="P58" s="23"/>
      <c r="W58" s="98">
        <v>3</v>
      </c>
      <c r="X58" s="32">
        <f t="shared" si="65"/>
        <v>51.772997561785232</v>
      </c>
      <c r="Y58" s="38">
        <f t="shared" si="65"/>
        <v>48.333186635079983</v>
      </c>
      <c r="Z58" s="38">
        <f t="shared" si="65"/>
        <v>36.945141594723303</v>
      </c>
      <c r="AA58" s="38">
        <f t="shared" si="65"/>
        <v>41.719762425289588</v>
      </c>
      <c r="AB58" s="39">
        <f t="shared" si="65"/>
        <v>38.713095490110895</v>
      </c>
      <c r="AD58" s="14" t="s">
        <v>14</v>
      </c>
      <c r="AE58" s="123">
        <f>AM74</f>
        <v>9</v>
      </c>
      <c r="AF58" s="33">
        <f>AM95</f>
        <v>5</v>
      </c>
      <c r="AG58" s="33">
        <f>AM93</f>
        <v>3</v>
      </c>
      <c r="AH58" s="33">
        <f>AM73</f>
        <v>8</v>
      </c>
      <c r="AI58" s="34">
        <f>AM85</f>
        <v>20</v>
      </c>
      <c r="AJ58" s="18">
        <f t="shared" si="71"/>
        <v>45</v>
      </c>
      <c r="AK58" s="10"/>
      <c r="AL58" s="19" t="s">
        <v>14</v>
      </c>
      <c r="AM58" s="40">
        <f>AE58/AE61</f>
        <v>0.15254237288135594</v>
      </c>
      <c r="AN58" s="41">
        <f>AF58/AF61</f>
        <v>9.6153846153846159E-2</v>
      </c>
      <c r="AO58" s="36">
        <f>AG58/AG61</f>
        <v>5.3571428571428568E-2</v>
      </c>
      <c r="AP58" s="36">
        <f>AH58/AH61</f>
        <v>9.6385542168674704E-2</v>
      </c>
      <c r="AQ58" s="37">
        <f>AI58/AI61</f>
        <v>0.26666666666666666</v>
      </c>
      <c r="AR58" s="23"/>
      <c r="AY58" s="98">
        <v>3</v>
      </c>
      <c r="AZ58" s="32">
        <f t="shared" si="66"/>
        <v>50.653982195435937</v>
      </c>
      <c r="BA58" s="38">
        <f t="shared" si="66"/>
        <v>57.485084455018374</v>
      </c>
      <c r="BB58" s="38">
        <f t="shared" si="66"/>
        <v>47.920244416248352</v>
      </c>
      <c r="BC58" s="38">
        <f t="shared" si="66"/>
        <v>48.334575774094773</v>
      </c>
      <c r="BD58" s="39">
        <f t="shared" si="66"/>
        <v>50.651646883817705</v>
      </c>
      <c r="BF58" s="14" t="s">
        <v>14</v>
      </c>
      <c r="BG58" s="123">
        <f>BO74</f>
        <v>24</v>
      </c>
      <c r="BH58" s="33">
        <f>BO95</f>
        <v>20</v>
      </c>
      <c r="BI58" s="33">
        <f>BO93</f>
        <v>18</v>
      </c>
      <c r="BJ58" s="33">
        <f>BO73</f>
        <v>23</v>
      </c>
      <c r="BK58" s="34">
        <f>BO85</f>
        <v>10</v>
      </c>
      <c r="BL58" s="18">
        <f t="shared" si="72"/>
        <v>95</v>
      </c>
      <c r="BM58" s="10"/>
      <c r="BN58" s="19" t="s">
        <v>14</v>
      </c>
      <c r="BO58" s="40">
        <f>BG58/BG61</f>
        <v>0.2857142857142857</v>
      </c>
      <c r="BP58" s="36">
        <f>BH58/BH61</f>
        <v>0.25974025974025972</v>
      </c>
      <c r="BQ58" s="41">
        <f>BI58/BI61</f>
        <v>0.32142857142857145</v>
      </c>
      <c r="BR58" s="36">
        <f>BJ58/BJ61</f>
        <v>0.39655172413793105</v>
      </c>
      <c r="BS58" s="37">
        <f>BK58/BK61</f>
        <v>0.2</v>
      </c>
      <c r="BT58" s="23"/>
      <c r="CA58" s="98">
        <v>3</v>
      </c>
      <c r="CB58" s="32">
        <f t="shared" si="67"/>
        <v>50.550047475256648</v>
      </c>
      <c r="CC58" s="38">
        <f t="shared" si="67"/>
        <v>47.986283133425317</v>
      </c>
      <c r="CD58" s="38">
        <f t="shared" si="67"/>
        <v>54.682671590692479</v>
      </c>
      <c r="CE58" s="38">
        <f t="shared" si="67"/>
        <v>42.509187797062829</v>
      </c>
      <c r="CF58" s="39">
        <f t="shared" si="67"/>
        <v>40.289409481391942</v>
      </c>
      <c r="CH58" s="14" t="s">
        <v>14</v>
      </c>
      <c r="CI58" s="123">
        <f>CQ74</f>
        <v>22</v>
      </c>
      <c r="CJ58" s="33">
        <f>CQ95</f>
        <v>18</v>
      </c>
      <c r="CK58" s="33">
        <f>CQ93</f>
        <v>16</v>
      </c>
      <c r="CL58" s="33">
        <f>CQ73</f>
        <v>21</v>
      </c>
      <c r="CM58" s="34">
        <f>CQ85</f>
        <v>8</v>
      </c>
      <c r="CN58" s="18">
        <f t="shared" si="73"/>
        <v>85</v>
      </c>
      <c r="CO58" s="10"/>
      <c r="CP58" s="19" t="s">
        <v>14</v>
      </c>
      <c r="CQ58" s="40">
        <f>CI58/CI61</f>
        <v>0.29729729729729731</v>
      </c>
      <c r="CR58" s="36">
        <f>CJ58/CJ61</f>
        <v>0.26865671641791045</v>
      </c>
      <c r="CS58" s="36">
        <f>CK58/CK61</f>
        <v>0.22535211267605634</v>
      </c>
      <c r="CT58" s="41">
        <f>CL58/CL61</f>
        <v>0.28767123287671231</v>
      </c>
      <c r="CU58" s="37">
        <f>CM58/CM61</f>
        <v>0.2</v>
      </c>
      <c r="CV58" s="23"/>
      <c r="DC58" s="98">
        <v>3</v>
      </c>
      <c r="DD58" s="32">
        <f t="shared" si="68"/>
        <v>50.026766413276924</v>
      </c>
      <c r="DE58" s="38">
        <f t="shared" si="68"/>
        <v>48.737042698472436</v>
      </c>
      <c r="DF58" s="38">
        <f t="shared" si="68"/>
        <v>53.792538853363467</v>
      </c>
      <c r="DG58" s="38">
        <f t="shared" si="68"/>
        <v>54.203054877417195</v>
      </c>
      <c r="DH58" s="39">
        <f t="shared" si="68"/>
        <v>41.649456125859238</v>
      </c>
      <c r="DJ58" s="14" t="s">
        <v>14</v>
      </c>
      <c r="DK58" s="123">
        <f>DS74</f>
        <v>21</v>
      </c>
      <c r="DL58" s="33">
        <f>DS95</f>
        <v>17</v>
      </c>
      <c r="DM58" s="33">
        <f>DS93</f>
        <v>15</v>
      </c>
      <c r="DN58" s="33">
        <f>DS73</f>
        <v>20</v>
      </c>
      <c r="DO58" s="34">
        <f>DS85</f>
        <v>7</v>
      </c>
      <c r="DP58" s="18">
        <f t="shared" si="74"/>
        <v>80</v>
      </c>
      <c r="DQ58" s="10"/>
      <c r="DR58" s="19" t="s">
        <v>14</v>
      </c>
      <c r="DS58" s="40">
        <f>DK58/DK61</f>
        <v>0.30434782608695654</v>
      </c>
      <c r="DT58" s="36">
        <f>DL58/DL61</f>
        <v>0.27419354838709675</v>
      </c>
      <c r="DU58" s="36">
        <f>DM58/DM61</f>
        <v>0.22727272727272727</v>
      </c>
      <c r="DV58" s="36">
        <f>DN58/DN61</f>
        <v>0.29411764705882354</v>
      </c>
      <c r="DW58" s="42">
        <f>DO58/DO61</f>
        <v>0.11666666666666667</v>
      </c>
      <c r="DX58" s="23"/>
      <c r="EE58" s="98">
        <v>3</v>
      </c>
      <c r="EF58" s="32">
        <f t="shared" si="69"/>
        <v>40.730468702838238</v>
      </c>
      <c r="EG58" s="38">
        <f t="shared" si="69"/>
        <v>41.00493036493387</v>
      </c>
      <c r="EH58" s="38">
        <f t="shared" si="69"/>
        <v>43.923671660550603</v>
      </c>
      <c r="EI58" s="38">
        <f t="shared" si="69"/>
        <v>43.716774855466682</v>
      </c>
      <c r="EJ58" s="39">
        <f t="shared" si="69"/>
        <v>40.960518302787492</v>
      </c>
    </row>
    <row r="59" spans="2:140" x14ac:dyDescent="0.2">
      <c r="B59" s="14" t="s">
        <v>8</v>
      </c>
      <c r="C59" s="123">
        <f>K96</f>
        <v>24</v>
      </c>
      <c r="D59" s="33">
        <f>K92</f>
        <v>20</v>
      </c>
      <c r="E59" s="33">
        <f>K80</f>
        <v>8</v>
      </c>
      <c r="F59" s="33">
        <f>K86</f>
        <v>14</v>
      </c>
      <c r="G59" s="34">
        <f>K87</f>
        <v>15</v>
      </c>
      <c r="H59" s="18">
        <f t="shared" si="70"/>
        <v>81</v>
      </c>
      <c r="I59" s="10"/>
      <c r="J59" s="19" t="s">
        <v>8</v>
      </c>
      <c r="K59" s="35">
        <f>C59/C61</f>
        <v>0.32432432432432434</v>
      </c>
      <c r="L59" s="36">
        <f>D59/D61</f>
        <v>0.21739130434782608</v>
      </c>
      <c r="M59" s="36">
        <f>E59/E61</f>
        <v>0.17391304347826086</v>
      </c>
      <c r="N59" s="36">
        <f>F59/F61</f>
        <v>0.29166666666666669</v>
      </c>
      <c r="O59" s="37">
        <f>G59/G61</f>
        <v>0.23076923076923078</v>
      </c>
      <c r="P59" s="23"/>
      <c r="W59" s="98">
        <v>4</v>
      </c>
      <c r="X59" s="32">
        <f t="shared" si="65"/>
        <v>62.460497561785232</v>
      </c>
      <c r="Y59" s="38">
        <f t="shared" si="65"/>
        <v>57.102417404310756</v>
      </c>
      <c r="Z59" s="38">
        <f t="shared" si="65"/>
        <v>43.278474928056639</v>
      </c>
      <c r="AA59" s="38">
        <f t="shared" si="65"/>
        <v>48.296685502212668</v>
      </c>
      <c r="AB59" s="39">
        <f t="shared" si="65"/>
        <v>45.418977843052076</v>
      </c>
      <c r="AD59" s="14" t="s">
        <v>8</v>
      </c>
      <c r="AE59" s="123">
        <f>AM96</f>
        <v>6</v>
      </c>
      <c r="AF59" s="33">
        <f>AM92</f>
        <v>2</v>
      </c>
      <c r="AG59" s="33">
        <f>AM80</f>
        <v>15</v>
      </c>
      <c r="AH59" s="33">
        <f>AM86</f>
        <v>21</v>
      </c>
      <c r="AI59" s="34">
        <f>AM87</f>
        <v>22</v>
      </c>
      <c r="AJ59" s="18">
        <f t="shared" si="71"/>
        <v>66</v>
      </c>
      <c r="AK59" s="10"/>
      <c r="AL59" s="19" t="s">
        <v>8</v>
      </c>
      <c r="AM59" s="40">
        <f>AE59/AE61</f>
        <v>0.10169491525423729</v>
      </c>
      <c r="AN59" s="41">
        <f>AF59/AF61</f>
        <v>3.8461538461538464E-2</v>
      </c>
      <c r="AO59" s="36">
        <f>AG59/AG61</f>
        <v>0.26785714285714285</v>
      </c>
      <c r="AP59" s="36">
        <f>AH59/AH61</f>
        <v>0.25301204819277107</v>
      </c>
      <c r="AQ59" s="37">
        <f>AI59/AI61</f>
        <v>0.29333333333333333</v>
      </c>
      <c r="AR59" s="23"/>
      <c r="AY59" s="98">
        <v>4</v>
      </c>
      <c r="AZ59" s="32">
        <f t="shared" si="66"/>
        <v>47.303982195435935</v>
      </c>
      <c r="BA59" s="38">
        <f t="shared" si="66"/>
        <v>52.699370169304082</v>
      </c>
      <c r="BB59" s="38">
        <f t="shared" si="66"/>
        <v>44.393928626774674</v>
      </c>
      <c r="BC59" s="38">
        <f t="shared" si="66"/>
        <v>44.680030319549324</v>
      </c>
      <c r="BD59" s="39">
        <f t="shared" si="66"/>
        <v>46.92942466159549</v>
      </c>
      <c r="BF59" s="14" t="s">
        <v>8</v>
      </c>
      <c r="BG59" s="123">
        <f>BO96</f>
        <v>21</v>
      </c>
      <c r="BH59" s="33">
        <f>BO92</f>
        <v>17</v>
      </c>
      <c r="BI59" s="33">
        <f>BO80</f>
        <v>5</v>
      </c>
      <c r="BJ59" s="33">
        <f>BO86</f>
        <v>11</v>
      </c>
      <c r="BK59" s="34">
        <f>BO87</f>
        <v>12</v>
      </c>
      <c r="BL59" s="18">
        <f t="shared" si="72"/>
        <v>66</v>
      </c>
      <c r="BM59" s="10"/>
      <c r="BN59" s="19" t="s">
        <v>8</v>
      </c>
      <c r="BO59" s="40">
        <f>BG59/BG61</f>
        <v>0.25</v>
      </c>
      <c r="BP59" s="36">
        <f>BH59/BH61</f>
        <v>0.22077922077922077</v>
      </c>
      <c r="BQ59" s="41">
        <f>BI59/BI61</f>
        <v>8.9285714285714288E-2</v>
      </c>
      <c r="BR59" s="36">
        <f>BJ59/BJ61</f>
        <v>0.18965517241379309</v>
      </c>
      <c r="BS59" s="37">
        <f>BK59/BK61</f>
        <v>0.24</v>
      </c>
      <c r="BT59" s="23"/>
      <c r="CA59" s="98">
        <v>4</v>
      </c>
      <c r="CB59" s="32">
        <f t="shared" si="67"/>
        <v>53.527825253034422</v>
      </c>
      <c r="CC59" s="38">
        <f t="shared" si="67"/>
        <v>50.56320621034839</v>
      </c>
      <c r="CD59" s="38">
        <f t="shared" si="67"/>
        <v>57.873147781168669</v>
      </c>
      <c r="CE59" s="38">
        <f t="shared" si="67"/>
        <v>44.570726258601297</v>
      </c>
      <c r="CF59" s="39">
        <f t="shared" si="67"/>
        <v>42.383159481391942</v>
      </c>
      <c r="CH59" s="14" t="s">
        <v>8</v>
      </c>
      <c r="CI59" s="123">
        <f>CQ96</f>
        <v>19</v>
      </c>
      <c r="CJ59" s="33">
        <f>CQ92</f>
        <v>15</v>
      </c>
      <c r="CK59" s="33">
        <f>CQ80</f>
        <v>3</v>
      </c>
      <c r="CL59" s="33">
        <f>CQ86</f>
        <v>9</v>
      </c>
      <c r="CM59" s="34">
        <f>CQ87</f>
        <v>10</v>
      </c>
      <c r="CN59" s="18">
        <f t="shared" si="73"/>
        <v>56</v>
      </c>
      <c r="CO59" s="10"/>
      <c r="CP59" s="19" t="s">
        <v>8</v>
      </c>
      <c r="CQ59" s="40">
        <f>CI59/CI61</f>
        <v>0.25675675675675674</v>
      </c>
      <c r="CR59" s="36">
        <f>CJ59/CJ61</f>
        <v>0.22388059701492538</v>
      </c>
      <c r="CS59" s="36">
        <f>CK59/CK61</f>
        <v>4.2253521126760563E-2</v>
      </c>
      <c r="CT59" s="41">
        <f>CL59/CL61</f>
        <v>0.12328767123287671</v>
      </c>
      <c r="CU59" s="37">
        <f>CM59/CM61</f>
        <v>0.25</v>
      </c>
      <c r="CV59" s="23"/>
      <c r="DC59" s="98">
        <v>4</v>
      </c>
      <c r="DD59" s="32">
        <f t="shared" si="68"/>
        <v>42.09128254230918</v>
      </c>
      <c r="DE59" s="38">
        <f t="shared" si="68"/>
        <v>41.606607915863741</v>
      </c>
      <c r="DF59" s="38">
        <f t="shared" si="68"/>
        <v>45.453555802516007</v>
      </c>
      <c r="DG59" s="38">
        <f t="shared" si="68"/>
        <v>45.57147593004877</v>
      </c>
      <c r="DH59" s="39">
        <f t="shared" si="68"/>
        <v>35.575382051785155</v>
      </c>
      <c r="DJ59" s="14" t="s">
        <v>8</v>
      </c>
      <c r="DK59" s="123">
        <f>DS96</f>
        <v>18</v>
      </c>
      <c r="DL59" s="33">
        <f>DS92</f>
        <v>14</v>
      </c>
      <c r="DM59" s="33">
        <f>DS80</f>
        <v>2</v>
      </c>
      <c r="DN59" s="33">
        <f>DS86</f>
        <v>8</v>
      </c>
      <c r="DO59" s="34">
        <f>DS87</f>
        <v>9</v>
      </c>
      <c r="DP59" s="18">
        <f t="shared" si="74"/>
        <v>51</v>
      </c>
      <c r="DQ59" s="10"/>
      <c r="DR59" s="19" t="s">
        <v>8</v>
      </c>
      <c r="DS59" s="40">
        <f>DK59/DK61</f>
        <v>0.2608695652173913</v>
      </c>
      <c r="DT59" s="36">
        <f>DL59/DL61</f>
        <v>0.22580645161290322</v>
      </c>
      <c r="DU59" s="36">
        <f>DM59/DM61</f>
        <v>3.0303030303030304E-2</v>
      </c>
      <c r="DV59" s="36">
        <f>DN59/DN61</f>
        <v>0.11764705882352941</v>
      </c>
      <c r="DW59" s="42">
        <f>DO59/DO61</f>
        <v>0.15</v>
      </c>
      <c r="DX59" s="23"/>
      <c r="EE59" s="98">
        <v>4</v>
      </c>
      <c r="EF59" s="32">
        <f t="shared" si="69"/>
        <v>44.417215690790044</v>
      </c>
      <c r="EG59" s="38">
        <f t="shared" si="69"/>
        <v>44.404930364933868</v>
      </c>
      <c r="EH59" s="38">
        <f t="shared" si="69"/>
        <v>47.748671660550606</v>
      </c>
      <c r="EI59" s="38">
        <f t="shared" si="69"/>
        <v>47.639851778543601</v>
      </c>
      <c r="EJ59" s="39">
        <f t="shared" si="69"/>
        <v>44.934544276813469</v>
      </c>
    </row>
    <row r="60" spans="2:140" ht="15" thickBot="1" x14ac:dyDescent="0.25">
      <c r="B60" s="14" t="s">
        <v>3</v>
      </c>
      <c r="C60" s="124">
        <f>K79</f>
        <v>7</v>
      </c>
      <c r="D60" s="44">
        <f>K81</f>
        <v>9</v>
      </c>
      <c r="E60" s="44">
        <f>K82</f>
        <v>10</v>
      </c>
      <c r="F60" s="44">
        <f>K83</f>
        <v>11</v>
      </c>
      <c r="G60" s="45">
        <f>K84</f>
        <v>12</v>
      </c>
      <c r="H60" s="18">
        <f t="shared" si="70"/>
        <v>49</v>
      </c>
      <c r="I60" s="10"/>
      <c r="J60" s="46" t="s">
        <v>3</v>
      </c>
      <c r="K60" s="47">
        <f>C60/C61</f>
        <v>9.45945945945946E-2</v>
      </c>
      <c r="L60" s="48">
        <f>D60/D61</f>
        <v>9.7826086956521743E-2</v>
      </c>
      <c r="M60" s="48">
        <f>E60/E61</f>
        <v>0.21739130434782608</v>
      </c>
      <c r="N60" s="48">
        <f>F60/F61</f>
        <v>0.22916666666666666</v>
      </c>
      <c r="O60" s="49">
        <f>G60/G61</f>
        <v>0.18461538461538463</v>
      </c>
      <c r="P60" s="23"/>
      <c r="W60" s="98">
        <v>5</v>
      </c>
      <c r="X60" s="32">
        <f t="shared" si="65"/>
        <v>54.799218826153052</v>
      </c>
      <c r="Y60" s="38">
        <f t="shared" si="65"/>
        <v>50.165931271396047</v>
      </c>
      <c r="Z60" s="38">
        <f t="shared" si="65"/>
        <v>38.042363816945524</v>
      </c>
      <c r="AA60" s="38">
        <f t="shared" si="65"/>
        <v>42.48655729708446</v>
      </c>
      <c r="AB60" s="39">
        <f t="shared" si="65"/>
        <v>39.919892387974514</v>
      </c>
      <c r="AD60" s="14" t="s">
        <v>3</v>
      </c>
      <c r="AE60" s="124">
        <f>AM79</f>
        <v>14</v>
      </c>
      <c r="AF60" s="44">
        <f>AM81</f>
        <v>16</v>
      </c>
      <c r="AG60" s="44">
        <f>AM82</f>
        <v>17</v>
      </c>
      <c r="AH60" s="44">
        <f>AM83</f>
        <v>18</v>
      </c>
      <c r="AI60" s="45">
        <f>AM84</f>
        <v>19</v>
      </c>
      <c r="AJ60" s="18">
        <f t="shared" si="71"/>
        <v>84</v>
      </c>
      <c r="AK60" s="10"/>
      <c r="AL60" s="46" t="s">
        <v>3</v>
      </c>
      <c r="AM60" s="50">
        <f>AE60/AE61</f>
        <v>0.23728813559322035</v>
      </c>
      <c r="AN60" s="51">
        <f>AF60/AF61</f>
        <v>0.30769230769230771</v>
      </c>
      <c r="AO60" s="48">
        <f>AG60/AG61</f>
        <v>0.30357142857142855</v>
      </c>
      <c r="AP60" s="48">
        <f>AH60/AH61</f>
        <v>0.21686746987951808</v>
      </c>
      <c r="AQ60" s="49">
        <f>AI60/AI61</f>
        <v>0.25333333333333335</v>
      </c>
      <c r="AR60" s="23"/>
      <c r="AY60" s="98">
        <v>5</v>
      </c>
      <c r="AZ60" s="32">
        <f t="shared" si="66"/>
        <v>46.85675997321372</v>
      </c>
      <c r="BA60" s="38">
        <f t="shared" si="66"/>
        <v>53.713564308498228</v>
      </c>
      <c r="BB60" s="38">
        <f t="shared" si="66"/>
        <v>44.523139153090462</v>
      </c>
      <c r="BC60" s="38">
        <f t="shared" si="66"/>
        <v>44.961519742076483</v>
      </c>
      <c r="BD60" s="39">
        <f t="shared" si="66"/>
        <v>47.05812836529919</v>
      </c>
      <c r="BF60" s="14" t="s">
        <v>3</v>
      </c>
      <c r="BG60" s="124">
        <f>BO79</f>
        <v>4</v>
      </c>
      <c r="BH60" s="44">
        <f>BO81</f>
        <v>6</v>
      </c>
      <c r="BI60" s="44">
        <f>BO82</f>
        <v>7</v>
      </c>
      <c r="BJ60" s="44">
        <f>BO83</f>
        <v>8</v>
      </c>
      <c r="BK60" s="45">
        <f>BO84</f>
        <v>9</v>
      </c>
      <c r="BL60" s="18">
        <f t="shared" si="72"/>
        <v>34</v>
      </c>
      <c r="BM60" s="10"/>
      <c r="BN60" s="46" t="s">
        <v>3</v>
      </c>
      <c r="BO60" s="50">
        <f>BG60/BG61</f>
        <v>4.7619047619047616E-2</v>
      </c>
      <c r="BP60" s="48">
        <f>BH60/BH61</f>
        <v>7.792207792207792E-2</v>
      </c>
      <c r="BQ60" s="51">
        <f>BI60/BI61</f>
        <v>0.125</v>
      </c>
      <c r="BR60" s="48">
        <f>BJ60/BJ61</f>
        <v>0.13793103448275862</v>
      </c>
      <c r="BS60" s="49">
        <f>BK60/BK61</f>
        <v>0.18</v>
      </c>
      <c r="BT60" s="23"/>
      <c r="CA60" s="98">
        <v>5</v>
      </c>
      <c r="CB60" s="32">
        <f t="shared" si="67"/>
        <v>42.369726661485124</v>
      </c>
      <c r="CC60" s="38">
        <f t="shared" si="67"/>
        <v>40.435931603235069</v>
      </c>
      <c r="CD60" s="38">
        <f t="shared" si="67"/>
        <v>45.860052543073436</v>
      </c>
      <c r="CE60" s="38">
        <f t="shared" si="67"/>
        <v>36.011110873985906</v>
      </c>
      <c r="CF60" s="39">
        <f t="shared" si="67"/>
        <v>34.010242814725274</v>
      </c>
      <c r="CH60" s="14" t="s">
        <v>3</v>
      </c>
      <c r="CI60" s="124">
        <f>CQ79</f>
        <v>2</v>
      </c>
      <c r="CJ60" s="44">
        <f>CQ81</f>
        <v>4</v>
      </c>
      <c r="CK60" s="44">
        <f>CQ82</f>
        <v>5</v>
      </c>
      <c r="CL60" s="44">
        <f>CQ83</f>
        <v>6</v>
      </c>
      <c r="CM60" s="45">
        <f>CQ84</f>
        <v>7</v>
      </c>
      <c r="CN60" s="18">
        <f t="shared" si="73"/>
        <v>24</v>
      </c>
      <c r="CO60" s="10"/>
      <c r="CP60" s="46" t="s">
        <v>3</v>
      </c>
      <c r="CQ60" s="50">
        <f>CI60/CI61</f>
        <v>2.7027027027027029E-2</v>
      </c>
      <c r="CR60" s="48">
        <f>CJ60/CJ61</f>
        <v>5.9701492537313432E-2</v>
      </c>
      <c r="CS60" s="48">
        <f>CK60/CK61</f>
        <v>7.0422535211267609E-2</v>
      </c>
      <c r="CT60" s="51">
        <f>CL60/CL61</f>
        <v>8.2191780821917804E-2</v>
      </c>
      <c r="CU60" s="49">
        <f>CM60/CM61</f>
        <v>0.17499999999999999</v>
      </c>
      <c r="CV60" s="23"/>
      <c r="DC60" s="98">
        <v>5</v>
      </c>
      <c r="DD60" s="32">
        <f t="shared" si="68"/>
        <v>43.842754636523217</v>
      </c>
      <c r="DE60" s="38">
        <f t="shared" si="68"/>
        <v>42.759788270131054</v>
      </c>
      <c r="DF60" s="38">
        <f t="shared" si="68"/>
        <v>47.158303738196146</v>
      </c>
      <c r="DG60" s="38">
        <f t="shared" si="68"/>
        <v>47.500144191611774</v>
      </c>
      <c r="DH60" s="39">
        <f t="shared" si="68"/>
        <v>36.54297464437775</v>
      </c>
      <c r="DJ60" s="14" t="s">
        <v>3</v>
      </c>
      <c r="DK60" s="124">
        <f>DS79</f>
        <v>1</v>
      </c>
      <c r="DL60" s="44">
        <f>DS81</f>
        <v>3</v>
      </c>
      <c r="DM60" s="44">
        <f>DS82</f>
        <v>4</v>
      </c>
      <c r="DN60" s="44">
        <f>DS83</f>
        <v>5</v>
      </c>
      <c r="DO60" s="45">
        <f>DS84</f>
        <v>6</v>
      </c>
      <c r="DP60" s="18">
        <f t="shared" si="74"/>
        <v>19</v>
      </c>
      <c r="DQ60" s="10"/>
      <c r="DR60" s="46" t="s">
        <v>3</v>
      </c>
      <c r="DS60" s="50">
        <f>DK60/DK61</f>
        <v>1.4492753623188406E-2</v>
      </c>
      <c r="DT60" s="48">
        <f>DL60/DL61</f>
        <v>4.8387096774193547E-2</v>
      </c>
      <c r="DU60" s="48">
        <f>DM60/DM61</f>
        <v>6.0606060606060608E-2</v>
      </c>
      <c r="DV60" s="48">
        <f>DN60/DN61</f>
        <v>7.3529411764705885E-2</v>
      </c>
      <c r="DW60" s="52">
        <f>DO60/DO61</f>
        <v>0.1</v>
      </c>
      <c r="DX60" s="23"/>
      <c r="EE60" s="98">
        <v>5</v>
      </c>
      <c r="EF60" s="32">
        <f t="shared" si="69"/>
        <v>39.748226173398443</v>
      </c>
      <c r="EG60" s="38">
        <f t="shared" si="69"/>
        <v>39.716597031600536</v>
      </c>
      <c r="EH60" s="38">
        <f t="shared" si="69"/>
        <v>42.719504993883938</v>
      </c>
      <c r="EI60" s="38">
        <f t="shared" si="69"/>
        <v>42.629859320021737</v>
      </c>
      <c r="EJ60" s="39">
        <f t="shared" si="69"/>
        <v>40.228821078443204</v>
      </c>
    </row>
    <row r="61" spans="2:140" ht="15" thickBot="1" x14ac:dyDescent="0.25">
      <c r="B61" s="53"/>
      <c r="C61" s="55">
        <f>SUM(C56:C60)</f>
        <v>74</v>
      </c>
      <c r="D61" s="55">
        <f t="shared" ref="D61:G61" si="75">SUM(D56:D60)</f>
        <v>92</v>
      </c>
      <c r="E61" s="55">
        <f t="shared" si="75"/>
        <v>46</v>
      </c>
      <c r="F61" s="55">
        <f t="shared" si="75"/>
        <v>48</v>
      </c>
      <c r="G61" s="55">
        <f t="shared" si="75"/>
        <v>65</v>
      </c>
      <c r="H61" s="56"/>
      <c r="I61" s="10"/>
      <c r="K61" s="57"/>
      <c r="L61" s="57"/>
      <c r="M61" s="57"/>
      <c r="N61" s="57"/>
      <c r="O61" s="57"/>
      <c r="P61" s="57"/>
      <c r="W61" s="98">
        <v>6</v>
      </c>
      <c r="X61" s="32">
        <f t="shared" si="65"/>
        <v>56.044190090520871</v>
      </c>
      <c r="Y61" s="38">
        <f t="shared" si="65"/>
        <v>50.537137446173659</v>
      </c>
      <c r="Z61" s="38">
        <f t="shared" si="65"/>
        <v>38.084030483612189</v>
      </c>
      <c r="AA61" s="38">
        <f t="shared" si="65"/>
        <v>42.157198322725485</v>
      </c>
      <c r="AB61" s="39">
        <f t="shared" si="65"/>
        <v>40.009042227014611</v>
      </c>
      <c r="AD61" s="53"/>
      <c r="AE61" s="55">
        <f>SUM(AE56:AE60)</f>
        <v>59</v>
      </c>
      <c r="AF61" s="55">
        <f t="shared" ref="AF61:AI61" si="76">SUM(AF56:AF60)</f>
        <v>52</v>
      </c>
      <c r="AG61" s="55">
        <f t="shared" si="76"/>
        <v>56</v>
      </c>
      <c r="AH61" s="55">
        <f t="shared" si="76"/>
        <v>83</v>
      </c>
      <c r="AI61" s="55">
        <f t="shared" si="76"/>
        <v>75</v>
      </c>
      <c r="AJ61" s="56"/>
      <c r="AK61" s="10"/>
      <c r="AM61" s="57"/>
      <c r="AN61" s="57"/>
      <c r="AO61" s="57"/>
      <c r="AP61" s="57"/>
      <c r="AQ61" s="57"/>
      <c r="AR61" s="57"/>
      <c r="AY61" s="98">
        <v>6</v>
      </c>
      <c r="AZ61" s="32">
        <f t="shared" si="66"/>
        <v>37.47620441765816</v>
      </c>
      <c r="BA61" s="38">
        <f t="shared" si="66"/>
        <v>41.9658536857876</v>
      </c>
      <c r="BB61" s="38">
        <f t="shared" si="66"/>
        <v>35.248840907476421</v>
      </c>
      <c r="BC61" s="38">
        <f t="shared" si="66"/>
        <v>35.497554619149092</v>
      </c>
      <c r="BD61" s="39">
        <f t="shared" si="66"/>
        <v>37.260906143076966</v>
      </c>
      <c r="BF61" s="53"/>
      <c r="BG61" s="55">
        <f>SUM(BG56:BG60)</f>
        <v>84</v>
      </c>
      <c r="BH61" s="55">
        <f t="shared" ref="BH61:BK61" si="77">SUM(BH56:BH60)</f>
        <v>77</v>
      </c>
      <c r="BI61" s="55">
        <f t="shared" si="77"/>
        <v>56</v>
      </c>
      <c r="BJ61" s="55">
        <f t="shared" si="77"/>
        <v>58</v>
      </c>
      <c r="BK61" s="55">
        <f t="shared" si="77"/>
        <v>50</v>
      </c>
      <c r="BL61" s="56"/>
      <c r="BM61" s="10"/>
      <c r="BO61" s="57"/>
      <c r="BP61" s="57"/>
      <c r="BQ61" s="57"/>
      <c r="BR61" s="57"/>
      <c r="BS61" s="57"/>
      <c r="BT61" s="57"/>
      <c r="CA61" s="98">
        <v>6</v>
      </c>
      <c r="CB61" s="32">
        <f t="shared" si="67"/>
        <v>44.611628069935826</v>
      </c>
      <c r="CC61" s="38">
        <f t="shared" si="67"/>
        <v>41.904810842275602</v>
      </c>
      <c r="CD61" s="38">
        <f t="shared" si="67"/>
        <v>48.204100162121051</v>
      </c>
      <c r="CE61" s="38">
        <f t="shared" si="67"/>
        <v>36.728418566293598</v>
      </c>
      <c r="CF61" s="39">
        <f t="shared" si="67"/>
        <v>35.059201148058605</v>
      </c>
      <c r="CH61" s="53"/>
      <c r="CI61" s="55">
        <f>SUM(CI56:CI60)</f>
        <v>74</v>
      </c>
      <c r="CJ61" s="55">
        <f t="shared" ref="CJ61:CM61" si="78">SUM(CJ56:CJ60)</f>
        <v>67</v>
      </c>
      <c r="CK61" s="55">
        <f t="shared" si="78"/>
        <v>71</v>
      </c>
      <c r="CL61" s="55">
        <f t="shared" si="78"/>
        <v>73</v>
      </c>
      <c r="CM61" s="55">
        <f t="shared" si="78"/>
        <v>40</v>
      </c>
      <c r="CN61" s="56"/>
      <c r="CO61" s="10"/>
      <c r="CQ61" s="57"/>
      <c r="CR61" s="57"/>
      <c r="CS61" s="57"/>
      <c r="CT61" s="57"/>
      <c r="CU61" s="57"/>
      <c r="CV61" s="57"/>
      <c r="DC61" s="98">
        <v>6</v>
      </c>
      <c r="DD61" s="32">
        <f t="shared" si="68"/>
        <v>38.981323504930792</v>
      </c>
      <c r="DE61" s="38">
        <f t="shared" si="68"/>
        <v>37.97093963889111</v>
      </c>
      <c r="DF61" s="38">
        <f t="shared" si="68"/>
        <v>41.913899131503406</v>
      </c>
      <c r="DG61" s="38">
        <f t="shared" si="68"/>
        <v>42.235829997034415</v>
      </c>
      <c r="DH61" s="39">
        <f t="shared" si="68"/>
        <v>32.448838841908618</v>
      </c>
      <c r="DJ61" s="53"/>
      <c r="DK61" s="55">
        <f>SUM(DK56:DK60)</f>
        <v>69</v>
      </c>
      <c r="DL61" s="55">
        <f t="shared" ref="DL61:DO61" si="79">SUM(DL56:DL60)</f>
        <v>62</v>
      </c>
      <c r="DM61" s="55">
        <f t="shared" si="79"/>
        <v>66</v>
      </c>
      <c r="DN61" s="55">
        <f t="shared" si="79"/>
        <v>68</v>
      </c>
      <c r="DO61" s="55">
        <f t="shared" si="79"/>
        <v>60</v>
      </c>
      <c r="DP61" s="56"/>
      <c r="DQ61" s="10"/>
      <c r="DS61" s="57"/>
      <c r="DT61" s="57"/>
      <c r="DU61" s="57"/>
      <c r="DV61" s="57"/>
      <c r="DW61" s="57"/>
      <c r="DX61" s="57"/>
      <c r="EE61" s="98">
        <v>6</v>
      </c>
      <c r="EF61" s="32">
        <f t="shared" si="69"/>
        <v>44.910561957211662</v>
      </c>
      <c r="EG61" s="38">
        <f t="shared" si="69"/>
        <v>44.094930364933873</v>
      </c>
      <c r="EH61" s="38">
        <f t="shared" si="69"/>
        <v>47.890338327217272</v>
      </c>
      <c r="EI61" s="38">
        <f t="shared" si="69"/>
        <v>48.081405323038325</v>
      </c>
      <c r="EJ61" s="39">
        <f t="shared" si="69"/>
        <v>46.120500477475545</v>
      </c>
    </row>
    <row r="62" spans="2:140" ht="15" thickBot="1" x14ac:dyDescent="0.25">
      <c r="B62" s="10"/>
      <c r="H62" s="10"/>
      <c r="I62" s="10"/>
      <c r="K62" s="57"/>
      <c r="L62" s="57"/>
      <c r="M62" s="57"/>
      <c r="N62" s="57"/>
      <c r="O62" s="57"/>
      <c r="P62" s="57"/>
      <c r="W62" s="98">
        <v>7</v>
      </c>
      <c r="X62" s="32">
        <f t="shared" si="65"/>
        <v>45.356690090520871</v>
      </c>
      <c r="Y62" s="38">
        <f t="shared" si="65"/>
        <v>41.767906676942886</v>
      </c>
      <c r="Z62" s="38">
        <f t="shared" si="65"/>
        <v>31.750697150278857</v>
      </c>
      <c r="AA62" s="38">
        <f t="shared" si="65"/>
        <v>35.580275245802405</v>
      </c>
      <c r="AB62" s="39">
        <f t="shared" si="65"/>
        <v>33.30315987407343</v>
      </c>
      <c r="AD62" s="10"/>
      <c r="AJ62" s="10"/>
      <c r="AK62" s="10"/>
      <c r="AM62" s="57"/>
      <c r="AN62" s="57"/>
      <c r="AO62" s="57"/>
      <c r="AP62" s="57"/>
      <c r="AQ62" s="57"/>
      <c r="AR62" s="57"/>
      <c r="AY62" s="98">
        <v>7</v>
      </c>
      <c r="AZ62" s="32">
        <f t="shared" si="66"/>
        <v>40.826204417658161</v>
      </c>
      <c r="BA62" s="38">
        <f t="shared" si="66"/>
        <v>46.751567971501885</v>
      </c>
      <c r="BB62" s="38">
        <f t="shared" si="66"/>
        <v>38.775156696950106</v>
      </c>
      <c r="BC62" s="38">
        <f t="shared" si="66"/>
        <v>39.152100073694548</v>
      </c>
      <c r="BD62" s="39">
        <f t="shared" si="66"/>
        <v>40.983128365299194</v>
      </c>
      <c r="BF62" s="10"/>
      <c r="BL62" s="10"/>
      <c r="BM62" s="10"/>
      <c r="BO62" s="57"/>
      <c r="BP62" s="57"/>
      <c r="BQ62" s="57"/>
      <c r="BR62" s="57"/>
      <c r="BS62" s="57"/>
      <c r="BT62" s="57"/>
      <c r="CA62" s="98">
        <v>7</v>
      </c>
      <c r="CB62" s="32">
        <f t="shared" si="67"/>
        <v>41.633850292158051</v>
      </c>
      <c r="CC62" s="38">
        <f t="shared" si="67"/>
        <v>39.327887765352529</v>
      </c>
      <c r="CD62" s="38">
        <f t="shared" si="67"/>
        <v>45.013623971644854</v>
      </c>
      <c r="CE62" s="38">
        <f t="shared" si="67"/>
        <v>34.666880104755137</v>
      </c>
      <c r="CF62" s="39">
        <f t="shared" si="67"/>
        <v>32.965451148058605</v>
      </c>
      <c r="CH62" s="10"/>
      <c r="CN62" s="10"/>
      <c r="CO62" s="10"/>
      <c r="CQ62" s="57"/>
      <c r="CR62" s="57"/>
      <c r="CS62" s="57"/>
      <c r="CT62" s="57"/>
      <c r="CU62" s="57"/>
      <c r="CV62" s="57"/>
      <c r="DC62" s="98">
        <v>7</v>
      </c>
      <c r="DD62" s="32">
        <f t="shared" si="68"/>
        <v>46.916807375898529</v>
      </c>
      <c r="DE62" s="38">
        <f t="shared" si="68"/>
        <v>45.101374421499813</v>
      </c>
      <c r="DF62" s="38">
        <f t="shared" si="68"/>
        <v>50.252882182350859</v>
      </c>
      <c r="DG62" s="38">
        <f t="shared" si="68"/>
        <v>50.86740894440284</v>
      </c>
      <c r="DH62" s="39">
        <f t="shared" si="68"/>
        <v>38.522912915982694</v>
      </c>
      <c r="DJ62" s="10"/>
      <c r="DP62" s="10"/>
      <c r="DQ62" s="10"/>
      <c r="DS62" s="57"/>
      <c r="DT62" s="57"/>
      <c r="DU62" s="57"/>
      <c r="DV62" s="57"/>
      <c r="DW62" s="57"/>
      <c r="DX62" s="57"/>
      <c r="EE62" s="98">
        <v>7</v>
      </c>
      <c r="EF62" s="32">
        <f t="shared" si="69"/>
        <v>41.223814969259863</v>
      </c>
      <c r="EG62" s="38">
        <f t="shared" si="69"/>
        <v>40.694930364933875</v>
      </c>
      <c r="EH62" s="38">
        <f t="shared" si="69"/>
        <v>44.065338327217276</v>
      </c>
      <c r="EI62" s="38">
        <f t="shared" si="69"/>
        <v>44.158328399961405</v>
      </c>
      <c r="EJ62" s="39">
        <f t="shared" si="69"/>
        <v>42.146474503449568</v>
      </c>
    </row>
    <row r="63" spans="2:140" ht="15" thickBot="1" x14ac:dyDescent="0.25">
      <c r="B63" s="58"/>
      <c r="C63" s="60" t="s">
        <v>6</v>
      </c>
      <c r="D63" s="60" t="s">
        <v>7</v>
      </c>
      <c r="E63" s="60" t="s">
        <v>8</v>
      </c>
      <c r="F63" s="60" t="s">
        <v>9</v>
      </c>
      <c r="G63" s="60" t="s">
        <v>10</v>
      </c>
      <c r="H63" s="61"/>
      <c r="I63" s="10"/>
      <c r="J63" s="11" t="s">
        <v>15</v>
      </c>
      <c r="K63" s="62" t="s">
        <v>6</v>
      </c>
      <c r="L63" s="62" t="s">
        <v>7</v>
      </c>
      <c r="M63" s="62" t="s">
        <v>8</v>
      </c>
      <c r="N63" s="62" t="s">
        <v>9</v>
      </c>
      <c r="O63" s="63" t="s">
        <v>10</v>
      </c>
      <c r="P63" s="23"/>
      <c r="W63" s="98">
        <v>8</v>
      </c>
      <c r="X63" s="32">
        <f t="shared" si="65"/>
        <v>53.017968826153052</v>
      </c>
      <c r="Y63" s="38">
        <f t="shared" si="65"/>
        <v>48.704392809857595</v>
      </c>
      <c r="Z63" s="38">
        <f t="shared" si="65"/>
        <v>36.986808261389967</v>
      </c>
      <c r="AA63" s="38">
        <f t="shared" si="65"/>
        <v>41.390403450930613</v>
      </c>
      <c r="AB63" s="39">
        <f t="shared" si="65"/>
        <v>38.802245329150985</v>
      </c>
      <c r="AD63" s="58"/>
      <c r="AE63" s="60" t="s">
        <v>6</v>
      </c>
      <c r="AF63" s="60" t="s">
        <v>7</v>
      </c>
      <c r="AG63" s="60" t="s">
        <v>8</v>
      </c>
      <c r="AH63" s="60" t="s">
        <v>9</v>
      </c>
      <c r="AI63" s="60" t="s">
        <v>10</v>
      </c>
      <c r="AJ63" s="61"/>
      <c r="AK63" s="10"/>
      <c r="AL63" s="11" t="s">
        <v>15</v>
      </c>
      <c r="AM63" s="62" t="s">
        <v>6</v>
      </c>
      <c r="AN63" s="62" t="s">
        <v>7</v>
      </c>
      <c r="AO63" s="62" t="s">
        <v>8</v>
      </c>
      <c r="AP63" s="62" t="s">
        <v>9</v>
      </c>
      <c r="AQ63" s="63" t="s">
        <v>10</v>
      </c>
      <c r="AR63" s="23"/>
      <c r="AY63" s="98">
        <v>8</v>
      </c>
      <c r="AZ63" s="32">
        <f t="shared" si="66"/>
        <v>41.273426639880384</v>
      </c>
      <c r="BA63" s="38">
        <f t="shared" si="66"/>
        <v>45.737373832307753</v>
      </c>
      <c r="BB63" s="38">
        <f t="shared" si="66"/>
        <v>38.645946170634318</v>
      </c>
      <c r="BC63" s="38">
        <f t="shared" si="66"/>
        <v>38.870610651167389</v>
      </c>
      <c r="BD63" s="39">
        <f t="shared" si="66"/>
        <v>40.854424661595488</v>
      </c>
      <c r="BF63" s="58"/>
      <c r="BG63" s="60" t="s">
        <v>6</v>
      </c>
      <c r="BH63" s="60" t="s">
        <v>7</v>
      </c>
      <c r="BI63" s="60" t="s">
        <v>8</v>
      </c>
      <c r="BJ63" s="60" t="s">
        <v>9</v>
      </c>
      <c r="BK63" s="60" t="s">
        <v>10</v>
      </c>
      <c r="BL63" s="61"/>
      <c r="BM63" s="10"/>
      <c r="BN63" s="11" t="s">
        <v>15</v>
      </c>
      <c r="BO63" s="62" t="s">
        <v>6</v>
      </c>
      <c r="BP63" s="62" t="s">
        <v>7</v>
      </c>
      <c r="BQ63" s="62" t="s">
        <v>8</v>
      </c>
      <c r="BR63" s="62" t="s">
        <v>9</v>
      </c>
      <c r="BS63" s="63" t="s">
        <v>10</v>
      </c>
      <c r="BT63" s="23"/>
      <c r="CA63" s="98">
        <v>8</v>
      </c>
      <c r="CB63" s="32">
        <f t="shared" si="67"/>
        <v>52.791948883707349</v>
      </c>
      <c r="CC63" s="38">
        <f t="shared" si="67"/>
        <v>49.455162372465836</v>
      </c>
      <c r="CD63" s="38">
        <f t="shared" si="67"/>
        <v>57.026719209740101</v>
      </c>
      <c r="CE63" s="38">
        <f t="shared" si="67"/>
        <v>43.226495489370521</v>
      </c>
      <c r="CF63" s="39">
        <f t="shared" si="67"/>
        <v>41.338367814725274</v>
      </c>
      <c r="CH63" s="58"/>
      <c r="CI63" s="60" t="s">
        <v>6</v>
      </c>
      <c r="CJ63" s="60" t="s">
        <v>7</v>
      </c>
      <c r="CK63" s="60" t="s">
        <v>8</v>
      </c>
      <c r="CL63" s="60" t="s">
        <v>9</v>
      </c>
      <c r="CM63" s="60" t="s">
        <v>10</v>
      </c>
      <c r="CN63" s="61"/>
      <c r="CO63" s="10"/>
      <c r="CP63" s="11" t="s">
        <v>15</v>
      </c>
      <c r="CQ63" s="62" t="s">
        <v>6</v>
      </c>
      <c r="CR63" s="62" t="s">
        <v>7</v>
      </c>
      <c r="CS63" s="62" t="s">
        <v>8</v>
      </c>
      <c r="CT63" s="62" t="s">
        <v>9</v>
      </c>
      <c r="CU63" s="63" t="s">
        <v>10</v>
      </c>
      <c r="CV63" s="23"/>
      <c r="DC63" s="98">
        <v>8</v>
      </c>
      <c r="DD63" s="32">
        <f t="shared" si="68"/>
        <v>45.165335281684499</v>
      </c>
      <c r="DE63" s="38">
        <f t="shared" si="68"/>
        <v>43.948194067232507</v>
      </c>
      <c r="DF63" s="38">
        <f t="shared" si="68"/>
        <v>48.548134246670713</v>
      </c>
      <c r="DG63" s="38">
        <f t="shared" si="68"/>
        <v>48.938740682839835</v>
      </c>
      <c r="DH63" s="39">
        <f t="shared" si="68"/>
        <v>37.555320323390092</v>
      </c>
      <c r="DJ63" s="58"/>
      <c r="DK63" s="60" t="s">
        <v>6</v>
      </c>
      <c r="DL63" s="60" t="s">
        <v>7</v>
      </c>
      <c r="DM63" s="60" t="s">
        <v>8</v>
      </c>
      <c r="DN63" s="60" t="s">
        <v>9</v>
      </c>
      <c r="DO63" s="60" t="s">
        <v>10</v>
      </c>
      <c r="DP63" s="61"/>
      <c r="DQ63" s="10"/>
      <c r="DR63" s="11" t="s">
        <v>15</v>
      </c>
      <c r="DS63" s="62" t="s">
        <v>6</v>
      </c>
      <c r="DT63" s="62" t="s">
        <v>7</v>
      </c>
      <c r="DU63" s="62" t="s">
        <v>8</v>
      </c>
      <c r="DV63" s="62" t="s">
        <v>9</v>
      </c>
      <c r="DW63" s="63" t="s">
        <v>10</v>
      </c>
      <c r="DX63" s="23"/>
      <c r="EE63" s="98">
        <v>8</v>
      </c>
      <c r="EF63" s="32">
        <f t="shared" si="69"/>
        <v>45.892804486651457</v>
      </c>
      <c r="EG63" s="38">
        <f t="shared" si="69"/>
        <v>45.3832636982672</v>
      </c>
      <c r="EH63" s="38">
        <f t="shared" si="69"/>
        <v>49.094504993883938</v>
      </c>
      <c r="EI63" s="38">
        <f t="shared" si="69"/>
        <v>49.168320858483277</v>
      </c>
      <c r="EJ63" s="39">
        <f t="shared" si="69"/>
        <v>46.852197701819833</v>
      </c>
    </row>
    <row r="64" spans="2:140" x14ac:dyDescent="0.2">
      <c r="B64" s="64" t="s">
        <v>13</v>
      </c>
      <c r="C64" s="24" t="s">
        <v>1</v>
      </c>
      <c r="D64" s="25" t="s">
        <v>2</v>
      </c>
      <c r="E64" s="25" t="s">
        <v>3</v>
      </c>
      <c r="F64" s="25" t="s">
        <v>4</v>
      </c>
      <c r="G64" s="26" t="s">
        <v>5</v>
      </c>
      <c r="H64" s="65"/>
      <c r="I64" s="10"/>
      <c r="J64" s="66" t="s">
        <v>13</v>
      </c>
      <c r="K64" s="125">
        <f>C56/H56</f>
        <v>0.20512820512820512</v>
      </c>
      <c r="L64" s="126">
        <f>D56/H56</f>
        <v>0.28205128205128205</v>
      </c>
      <c r="M64" s="126">
        <f>E56/H56</f>
        <v>5.128205128205128E-2</v>
      </c>
      <c r="N64" s="126">
        <f>F56/H56</f>
        <v>0.21794871794871795</v>
      </c>
      <c r="O64" s="127">
        <f>G56/H56</f>
        <v>0.24358974358974358</v>
      </c>
      <c r="P64" s="23"/>
      <c r="W64" s="98">
        <v>9</v>
      </c>
      <c r="X64" s="32">
        <f t="shared" si="65"/>
        <v>51.772997561785232</v>
      </c>
      <c r="Y64" s="38">
        <f t="shared" si="65"/>
        <v>48.333186635079983</v>
      </c>
      <c r="Z64" s="38">
        <f t="shared" si="65"/>
        <v>36.945141594723303</v>
      </c>
      <c r="AA64" s="38">
        <f t="shared" si="65"/>
        <v>41.719762425289588</v>
      </c>
      <c r="AB64" s="39">
        <f t="shared" si="65"/>
        <v>38.713095490110895</v>
      </c>
      <c r="AD64" s="64" t="s">
        <v>13</v>
      </c>
      <c r="AE64" s="24" t="s">
        <v>1</v>
      </c>
      <c r="AF64" s="25" t="s">
        <v>2</v>
      </c>
      <c r="AG64" s="25" t="s">
        <v>3</v>
      </c>
      <c r="AH64" s="25" t="s">
        <v>4</v>
      </c>
      <c r="AI64" s="26" t="s">
        <v>5</v>
      </c>
      <c r="AJ64" s="65"/>
      <c r="AK64" s="10"/>
      <c r="AL64" s="66" t="s">
        <v>13</v>
      </c>
      <c r="AM64" s="125">
        <f>AE56/AJ56</f>
        <v>0.36507936507936506</v>
      </c>
      <c r="AN64" s="126">
        <f>AF56/AJ56</f>
        <v>6.3492063492063489E-2</v>
      </c>
      <c r="AO64" s="126">
        <f>AG56/AJ56</f>
        <v>0.17460317460317459</v>
      </c>
      <c r="AP64" s="126">
        <f>AH56/AJ56</f>
        <v>0.38095238095238093</v>
      </c>
      <c r="AQ64" s="127">
        <f>AI56/AJ56</f>
        <v>1.5873015873015872E-2</v>
      </c>
      <c r="AR64" s="23"/>
      <c r="AY64" s="98">
        <v>9</v>
      </c>
      <c r="AZ64" s="32">
        <f t="shared" si="66"/>
        <v>50.653982195435937</v>
      </c>
      <c r="BA64" s="38">
        <f t="shared" si="66"/>
        <v>57.485084455018374</v>
      </c>
      <c r="BB64" s="38">
        <f t="shared" si="66"/>
        <v>47.920244416248352</v>
      </c>
      <c r="BC64" s="38">
        <f t="shared" si="66"/>
        <v>48.334575774094773</v>
      </c>
      <c r="BD64" s="39">
        <f t="shared" si="66"/>
        <v>50.651646883817705</v>
      </c>
      <c r="BF64" s="64" t="s">
        <v>13</v>
      </c>
      <c r="BG64" s="24" t="s">
        <v>1</v>
      </c>
      <c r="BH64" s="25" t="s">
        <v>2</v>
      </c>
      <c r="BI64" s="25" t="s">
        <v>3</v>
      </c>
      <c r="BJ64" s="25" t="s">
        <v>4</v>
      </c>
      <c r="BK64" s="26" t="s">
        <v>5</v>
      </c>
      <c r="BL64" s="65"/>
      <c r="BM64" s="10"/>
      <c r="BN64" s="66" t="s">
        <v>13</v>
      </c>
      <c r="BO64" s="125">
        <f>BG56/BL56</f>
        <v>0.20634920634920634</v>
      </c>
      <c r="BP64" s="126">
        <f>BH56/BL56</f>
        <v>0.30158730158730157</v>
      </c>
      <c r="BQ64" s="126">
        <f>BI56/BL56</f>
        <v>1.5873015873015872E-2</v>
      </c>
      <c r="BR64" s="126">
        <f>BJ56/BL56</f>
        <v>0.22222222222222221</v>
      </c>
      <c r="BS64" s="127">
        <f>BK56/BL56</f>
        <v>0.25396825396825395</v>
      </c>
      <c r="BT64" s="23"/>
      <c r="CA64" s="98">
        <v>9</v>
      </c>
      <c r="CB64" s="32">
        <f t="shared" si="67"/>
        <v>50.550047475256648</v>
      </c>
      <c r="CC64" s="38">
        <f t="shared" si="67"/>
        <v>47.986283133425317</v>
      </c>
      <c r="CD64" s="38">
        <f t="shared" si="67"/>
        <v>54.682671590692479</v>
      </c>
      <c r="CE64" s="38">
        <f t="shared" si="67"/>
        <v>42.509187797062829</v>
      </c>
      <c r="CF64" s="39">
        <f t="shared" si="67"/>
        <v>40.289409481391942</v>
      </c>
      <c r="CH64" s="64" t="s">
        <v>13</v>
      </c>
      <c r="CI64" s="24" t="s">
        <v>1</v>
      </c>
      <c r="CJ64" s="25" t="s">
        <v>2</v>
      </c>
      <c r="CK64" s="25" t="s">
        <v>3</v>
      </c>
      <c r="CL64" s="25" t="s">
        <v>4</v>
      </c>
      <c r="CM64" s="26" t="s">
        <v>5</v>
      </c>
      <c r="CN64" s="65"/>
      <c r="CO64" s="10"/>
      <c r="CP64" s="66" t="s">
        <v>13</v>
      </c>
      <c r="CQ64" s="125">
        <f>CI56/CN56</f>
        <v>0.14102564102564102</v>
      </c>
      <c r="CR64" s="126">
        <f>CJ56/CN56</f>
        <v>0.21794871794871795</v>
      </c>
      <c r="CS64" s="126">
        <f>CK56/CN56</f>
        <v>0.30769230769230771</v>
      </c>
      <c r="CT64" s="126">
        <f>CL56/CN56</f>
        <v>0.15384615384615385</v>
      </c>
      <c r="CU64" s="127">
        <f>CM56/CN56</f>
        <v>0.17948717948717949</v>
      </c>
      <c r="CV64" s="23"/>
      <c r="DC64" s="98">
        <v>9</v>
      </c>
      <c r="DD64" s="32">
        <f t="shared" si="68"/>
        <v>50.026766413276924</v>
      </c>
      <c r="DE64" s="38">
        <f t="shared" si="68"/>
        <v>48.737042698472436</v>
      </c>
      <c r="DF64" s="38">
        <f t="shared" si="68"/>
        <v>53.792538853363467</v>
      </c>
      <c r="DG64" s="38">
        <f t="shared" si="68"/>
        <v>54.203054877417195</v>
      </c>
      <c r="DH64" s="39">
        <f t="shared" si="68"/>
        <v>41.649456125859238</v>
      </c>
      <c r="DJ64" s="64" t="s">
        <v>13</v>
      </c>
      <c r="DK64" s="24" t="s">
        <v>1</v>
      </c>
      <c r="DL64" s="25" t="s">
        <v>2</v>
      </c>
      <c r="DM64" s="25" t="s">
        <v>3</v>
      </c>
      <c r="DN64" s="25" t="s">
        <v>4</v>
      </c>
      <c r="DO64" s="26" t="s">
        <v>5</v>
      </c>
      <c r="DP64" s="65"/>
      <c r="DQ64" s="10"/>
      <c r="DR64" s="66" t="s">
        <v>13</v>
      </c>
      <c r="DS64" s="125">
        <f>DK56/DP56</f>
        <v>0.13698630136986301</v>
      </c>
      <c r="DT64" s="126">
        <f>DL56/DP56</f>
        <v>0.21917808219178081</v>
      </c>
      <c r="DU64" s="126">
        <f>DM56/DP56</f>
        <v>0.31506849315068491</v>
      </c>
      <c r="DV64" s="126">
        <f>DN56/DP56</f>
        <v>0.15068493150684931</v>
      </c>
      <c r="DW64" s="127">
        <f>DO56/DP56</f>
        <v>0.17808219178082191</v>
      </c>
      <c r="DX64" s="23"/>
      <c r="EE64" s="98">
        <v>9</v>
      </c>
      <c r="EF64" s="32">
        <f t="shared" si="69"/>
        <v>40.730468702838238</v>
      </c>
      <c r="EG64" s="38">
        <f t="shared" si="69"/>
        <v>41.00493036493387</v>
      </c>
      <c r="EH64" s="38">
        <f t="shared" si="69"/>
        <v>43.923671660550603</v>
      </c>
      <c r="EI64" s="38">
        <f t="shared" si="69"/>
        <v>43.716774855466682</v>
      </c>
      <c r="EJ64" s="39">
        <f t="shared" si="69"/>
        <v>40.960518302787492</v>
      </c>
    </row>
    <row r="65" spans="2:140" x14ac:dyDescent="0.2">
      <c r="B65" s="64" t="s">
        <v>3</v>
      </c>
      <c r="C65" s="121" t="s">
        <v>14</v>
      </c>
      <c r="D65" s="38" t="s">
        <v>10</v>
      </c>
      <c r="E65" s="38" t="s">
        <v>16</v>
      </c>
      <c r="F65" s="38" t="s">
        <v>6</v>
      </c>
      <c r="G65" s="39" t="s">
        <v>17</v>
      </c>
      <c r="H65" s="65"/>
      <c r="I65" s="10"/>
      <c r="J65" s="66" t="s">
        <v>3</v>
      </c>
      <c r="K65" s="128">
        <f>C57/H57</f>
        <v>0.43859649122807015</v>
      </c>
      <c r="L65" s="129">
        <f>D57/H57</f>
        <v>0.31578947368421051</v>
      </c>
      <c r="M65" s="129">
        <f>E57/H57</f>
        <v>5.2631578947368418E-2</v>
      </c>
      <c r="N65" s="129">
        <f>F57/H57</f>
        <v>8.771929824561403E-2</v>
      </c>
      <c r="O65" s="130">
        <f>G57/H57</f>
        <v>0.10526315789473684</v>
      </c>
      <c r="P65" s="23"/>
      <c r="W65" s="98">
        <v>10</v>
      </c>
      <c r="X65" s="32">
        <f t="shared" si="65"/>
        <v>62.460497561785232</v>
      </c>
      <c r="Y65" s="38">
        <f t="shared" si="65"/>
        <v>57.102417404310756</v>
      </c>
      <c r="Z65" s="38">
        <f t="shared" si="65"/>
        <v>43.278474928056639</v>
      </c>
      <c r="AA65" s="38">
        <f t="shared" si="65"/>
        <v>48.296685502212668</v>
      </c>
      <c r="AB65" s="39">
        <f t="shared" si="65"/>
        <v>45.418977843052076</v>
      </c>
      <c r="AD65" s="64" t="s">
        <v>3</v>
      </c>
      <c r="AE65" s="32" t="s">
        <v>14</v>
      </c>
      <c r="AF65" s="122" t="s">
        <v>10</v>
      </c>
      <c r="AG65" s="38" t="s">
        <v>16</v>
      </c>
      <c r="AH65" s="38" t="s">
        <v>6</v>
      </c>
      <c r="AI65" s="39" t="s">
        <v>17</v>
      </c>
      <c r="AJ65" s="65"/>
      <c r="AK65" s="10"/>
      <c r="AL65" s="66" t="s">
        <v>3</v>
      </c>
      <c r="AM65" s="128">
        <f>AE57/AJ57</f>
        <v>0.1044776119402985</v>
      </c>
      <c r="AN65" s="129">
        <f>AF57/AJ57</f>
        <v>0.37313432835820898</v>
      </c>
      <c r="AO65" s="129">
        <f>AG57/AJ57</f>
        <v>0.14925373134328357</v>
      </c>
      <c r="AP65" s="129">
        <f>AH57/AJ57</f>
        <v>0.17910447761194029</v>
      </c>
      <c r="AQ65" s="130">
        <f>AI57/AJ57</f>
        <v>0.19402985074626866</v>
      </c>
      <c r="AR65" s="23"/>
      <c r="AY65" s="98">
        <v>10</v>
      </c>
      <c r="AZ65" s="32">
        <f t="shared" si="66"/>
        <v>47.303982195435935</v>
      </c>
      <c r="BA65" s="38">
        <f t="shared" si="66"/>
        <v>52.699370169304082</v>
      </c>
      <c r="BB65" s="38">
        <f t="shared" si="66"/>
        <v>44.393928626774674</v>
      </c>
      <c r="BC65" s="38">
        <f t="shared" si="66"/>
        <v>44.680030319549324</v>
      </c>
      <c r="BD65" s="39">
        <f t="shared" si="66"/>
        <v>46.92942466159549</v>
      </c>
      <c r="BF65" s="64" t="s">
        <v>3</v>
      </c>
      <c r="BG65" s="32" t="s">
        <v>14</v>
      </c>
      <c r="BH65" s="38" t="s">
        <v>10</v>
      </c>
      <c r="BI65" s="122" t="s">
        <v>16</v>
      </c>
      <c r="BJ65" s="38" t="s">
        <v>6</v>
      </c>
      <c r="BK65" s="39" t="s">
        <v>17</v>
      </c>
      <c r="BL65" s="65"/>
      <c r="BM65" s="10"/>
      <c r="BN65" s="66" t="s">
        <v>3</v>
      </c>
      <c r="BO65" s="128">
        <f>BG57/BL57</f>
        <v>0.32835820895522388</v>
      </c>
      <c r="BP65" s="129">
        <f>BH57/BL57</f>
        <v>0.22388059701492538</v>
      </c>
      <c r="BQ65" s="129">
        <f>BI57/BL57</f>
        <v>0.37313432835820898</v>
      </c>
      <c r="BR65" s="129">
        <f>BJ57/BL57</f>
        <v>2.9850746268656716E-2</v>
      </c>
      <c r="BS65" s="130">
        <f>BK57/BL57</f>
        <v>4.4776119402985072E-2</v>
      </c>
      <c r="BT65" s="23"/>
      <c r="CA65" s="98">
        <v>10</v>
      </c>
      <c r="CB65" s="32">
        <f t="shared" si="67"/>
        <v>53.527825253034422</v>
      </c>
      <c r="CC65" s="38">
        <f t="shared" si="67"/>
        <v>50.56320621034839</v>
      </c>
      <c r="CD65" s="38">
        <f t="shared" si="67"/>
        <v>57.873147781168669</v>
      </c>
      <c r="CE65" s="38">
        <f t="shared" si="67"/>
        <v>44.570726258601297</v>
      </c>
      <c r="CF65" s="39">
        <f t="shared" si="67"/>
        <v>42.383159481391942</v>
      </c>
      <c r="CH65" s="64" t="s">
        <v>3</v>
      </c>
      <c r="CI65" s="32" t="s">
        <v>14</v>
      </c>
      <c r="CJ65" s="38" t="s">
        <v>10</v>
      </c>
      <c r="CK65" s="38" t="s">
        <v>16</v>
      </c>
      <c r="CL65" s="122" t="s">
        <v>6</v>
      </c>
      <c r="CM65" s="39" t="s">
        <v>17</v>
      </c>
      <c r="CN65" s="65"/>
      <c r="CO65" s="10"/>
      <c r="CP65" s="66" t="s">
        <v>3</v>
      </c>
      <c r="CQ65" s="128">
        <f>CI57/CN57</f>
        <v>0.24390243902439024</v>
      </c>
      <c r="CR65" s="129">
        <f>CJ57/CN57</f>
        <v>0.15853658536585366</v>
      </c>
      <c r="CS65" s="129">
        <f>CK57/CN57</f>
        <v>0.28048780487804881</v>
      </c>
      <c r="CT65" s="129">
        <f>CL57/CN57</f>
        <v>0.3048780487804878</v>
      </c>
      <c r="CU65" s="130">
        <f>CM57/CN57</f>
        <v>1.2195121951219513E-2</v>
      </c>
      <c r="CV65" s="23"/>
      <c r="DC65" s="98">
        <v>10</v>
      </c>
      <c r="DD65" s="32">
        <f t="shared" si="68"/>
        <v>42.09128254230918</v>
      </c>
      <c r="DE65" s="38">
        <f t="shared" si="68"/>
        <v>41.606607915863741</v>
      </c>
      <c r="DF65" s="38">
        <f t="shared" si="68"/>
        <v>45.453555802516007</v>
      </c>
      <c r="DG65" s="38">
        <f t="shared" si="68"/>
        <v>45.57147593004877</v>
      </c>
      <c r="DH65" s="39">
        <f t="shared" si="68"/>
        <v>35.575382051785155</v>
      </c>
      <c r="DJ65" s="64" t="s">
        <v>3</v>
      </c>
      <c r="DK65" s="32" t="s">
        <v>14</v>
      </c>
      <c r="DL65" s="38" t="s">
        <v>10</v>
      </c>
      <c r="DM65" s="38" t="s">
        <v>16</v>
      </c>
      <c r="DN65" s="38" t="s">
        <v>6</v>
      </c>
      <c r="DO65" s="117" t="s">
        <v>17</v>
      </c>
      <c r="DP65" s="65"/>
      <c r="DQ65" s="10"/>
      <c r="DR65" s="66" t="s">
        <v>3</v>
      </c>
      <c r="DS65" s="128">
        <f>DK57/DP57</f>
        <v>0.18627450980392157</v>
      </c>
      <c r="DT65" s="129">
        <f>DL57/DP57</f>
        <v>0.11764705882352941</v>
      </c>
      <c r="DU65" s="129">
        <f>DM57/DP57</f>
        <v>0.21568627450980393</v>
      </c>
      <c r="DV65" s="129">
        <f>DN57/DP57</f>
        <v>0.23529411764705882</v>
      </c>
      <c r="DW65" s="130">
        <f>DO57/DP57</f>
        <v>0.24509803921568626</v>
      </c>
      <c r="DX65" s="23"/>
      <c r="EE65" s="98">
        <v>10</v>
      </c>
      <c r="EF65" s="32">
        <f t="shared" si="69"/>
        <v>44.417215690790044</v>
      </c>
      <c r="EG65" s="38">
        <f t="shared" si="69"/>
        <v>44.404930364933868</v>
      </c>
      <c r="EH65" s="38">
        <f t="shared" si="69"/>
        <v>47.748671660550606</v>
      </c>
      <c r="EI65" s="38">
        <f t="shared" si="69"/>
        <v>47.639851778543601</v>
      </c>
      <c r="EJ65" s="39">
        <f t="shared" si="69"/>
        <v>44.934544276813469</v>
      </c>
    </row>
    <row r="66" spans="2:140" x14ac:dyDescent="0.2">
      <c r="B66" s="64" t="s">
        <v>14</v>
      </c>
      <c r="C66" s="32" t="s">
        <v>8</v>
      </c>
      <c r="D66" s="38" t="s">
        <v>18</v>
      </c>
      <c r="E66" s="38" t="s">
        <v>19</v>
      </c>
      <c r="F66" s="38" t="s">
        <v>20</v>
      </c>
      <c r="G66" s="39" t="s">
        <v>21</v>
      </c>
      <c r="H66" s="65"/>
      <c r="I66" s="10"/>
      <c r="J66" s="66" t="s">
        <v>14</v>
      </c>
      <c r="K66" s="40">
        <f>C58/H58</f>
        <v>3.3333333333333333E-2</v>
      </c>
      <c r="L66" s="36">
        <f>D58/H58</f>
        <v>0.38333333333333336</v>
      </c>
      <c r="M66" s="36">
        <f>E58/H58</f>
        <v>0.35</v>
      </c>
      <c r="N66" s="36">
        <f>F58/H58</f>
        <v>1.6666666666666666E-2</v>
      </c>
      <c r="O66" s="37">
        <f>G58/H58</f>
        <v>0.21666666666666667</v>
      </c>
      <c r="P66" s="23"/>
      <c r="W66" s="98">
        <v>11</v>
      </c>
      <c r="X66" s="32">
        <f t="shared" si="65"/>
        <v>54.799218826153052</v>
      </c>
      <c r="Y66" s="38">
        <f t="shared" si="65"/>
        <v>50.165931271396047</v>
      </c>
      <c r="Z66" s="38">
        <f t="shared" si="65"/>
        <v>38.042363816945524</v>
      </c>
      <c r="AA66" s="38">
        <f t="shared" si="65"/>
        <v>42.48655729708446</v>
      </c>
      <c r="AB66" s="39">
        <f t="shared" si="65"/>
        <v>39.919892387974514</v>
      </c>
      <c r="AD66" s="64" t="s">
        <v>14</v>
      </c>
      <c r="AE66" s="32" t="s">
        <v>8</v>
      </c>
      <c r="AF66" s="38" t="s">
        <v>18</v>
      </c>
      <c r="AG66" s="38" t="s">
        <v>19</v>
      </c>
      <c r="AH66" s="38" t="s">
        <v>20</v>
      </c>
      <c r="AI66" s="39" t="s">
        <v>21</v>
      </c>
      <c r="AJ66" s="65"/>
      <c r="AK66" s="10"/>
      <c r="AL66" s="66" t="s">
        <v>14</v>
      </c>
      <c r="AM66" s="40">
        <f>AE58/AJ58</f>
        <v>0.2</v>
      </c>
      <c r="AN66" s="36">
        <f>AF58/AJ58</f>
        <v>0.1111111111111111</v>
      </c>
      <c r="AO66" s="36">
        <f>AG58/AJ58</f>
        <v>6.6666666666666666E-2</v>
      </c>
      <c r="AP66" s="36">
        <f>AH58/AJ58</f>
        <v>0.17777777777777778</v>
      </c>
      <c r="AQ66" s="37">
        <f>AI58/AJ58</f>
        <v>0.44444444444444442</v>
      </c>
      <c r="AR66" s="23"/>
      <c r="AY66" s="98">
        <v>11</v>
      </c>
      <c r="AZ66" s="32">
        <f t="shared" si="66"/>
        <v>46.85675997321372</v>
      </c>
      <c r="BA66" s="38">
        <f t="shared" si="66"/>
        <v>53.713564308498228</v>
      </c>
      <c r="BB66" s="38">
        <f t="shared" si="66"/>
        <v>44.523139153090462</v>
      </c>
      <c r="BC66" s="38">
        <f t="shared" si="66"/>
        <v>44.961519742076483</v>
      </c>
      <c r="BD66" s="39">
        <f t="shared" si="66"/>
        <v>47.05812836529919</v>
      </c>
      <c r="BF66" s="64" t="s">
        <v>14</v>
      </c>
      <c r="BG66" s="32" t="s">
        <v>8</v>
      </c>
      <c r="BH66" s="38" t="s">
        <v>18</v>
      </c>
      <c r="BI66" s="38" t="s">
        <v>19</v>
      </c>
      <c r="BJ66" s="38" t="s">
        <v>20</v>
      </c>
      <c r="BK66" s="39" t="s">
        <v>21</v>
      </c>
      <c r="BL66" s="65"/>
      <c r="BM66" s="10"/>
      <c r="BN66" s="66" t="s">
        <v>14</v>
      </c>
      <c r="BO66" s="40">
        <f>BG58/BL58</f>
        <v>0.25263157894736843</v>
      </c>
      <c r="BP66" s="36">
        <f>BH58/BL58</f>
        <v>0.21052631578947367</v>
      </c>
      <c r="BQ66" s="36">
        <f>BI58/BL58</f>
        <v>0.18947368421052632</v>
      </c>
      <c r="BR66" s="36">
        <f>BJ58/BL58</f>
        <v>0.24210526315789474</v>
      </c>
      <c r="BS66" s="37">
        <f>BK58/BL58</f>
        <v>0.10526315789473684</v>
      </c>
      <c r="BT66" s="23"/>
      <c r="CA66" s="98">
        <v>11</v>
      </c>
      <c r="CB66" s="32">
        <f t="shared" si="67"/>
        <v>42.369726661485124</v>
      </c>
      <c r="CC66" s="38">
        <f t="shared" si="67"/>
        <v>40.435931603235069</v>
      </c>
      <c r="CD66" s="38">
        <f t="shared" si="67"/>
        <v>45.860052543073436</v>
      </c>
      <c r="CE66" s="38">
        <f t="shared" si="67"/>
        <v>36.011110873985906</v>
      </c>
      <c r="CF66" s="39">
        <f t="shared" si="67"/>
        <v>34.010242814725274</v>
      </c>
      <c r="CH66" s="64" t="s">
        <v>14</v>
      </c>
      <c r="CI66" s="32" t="s">
        <v>8</v>
      </c>
      <c r="CJ66" s="38" t="s">
        <v>18</v>
      </c>
      <c r="CK66" s="38" t="s">
        <v>19</v>
      </c>
      <c r="CL66" s="38" t="s">
        <v>20</v>
      </c>
      <c r="CM66" s="39" t="s">
        <v>21</v>
      </c>
      <c r="CN66" s="65"/>
      <c r="CO66" s="10"/>
      <c r="CP66" s="66" t="s">
        <v>14</v>
      </c>
      <c r="CQ66" s="40">
        <f>CI58/CN58</f>
        <v>0.25882352941176473</v>
      </c>
      <c r="CR66" s="36">
        <f>CJ58/CN58</f>
        <v>0.21176470588235294</v>
      </c>
      <c r="CS66" s="36">
        <f>CK58/CN58</f>
        <v>0.18823529411764706</v>
      </c>
      <c r="CT66" s="36">
        <f>CL58/CN58</f>
        <v>0.24705882352941178</v>
      </c>
      <c r="CU66" s="37">
        <f>CM58/CN58</f>
        <v>9.4117647058823528E-2</v>
      </c>
      <c r="CV66" s="23"/>
      <c r="DC66" s="98">
        <v>11</v>
      </c>
      <c r="DD66" s="32">
        <f t="shared" si="68"/>
        <v>43.842754636523217</v>
      </c>
      <c r="DE66" s="38">
        <f t="shared" si="68"/>
        <v>42.759788270131054</v>
      </c>
      <c r="DF66" s="38">
        <f t="shared" si="68"/>
        <v>47.158303738196146</v>
      </c>
      <c r="DG66" s="38">
        <f t="shared" si="68"/>
        <v>47.500144191611774</v>
      </c>
      <c r="DH66" s="39">
        <f t="shared" si="68"/>
        <v>36.54297464437775</v>
      </c>
      <c r="DJ66" s="64" t="s">
        <v>14</v>
      </c>
      <c r="DK66" s="32" t="s">
        <v>8</v>
      </c>
      <c r="DL66" s="38" t="s">
        <v>18</v>
      </c>
      <c r="DM66" s="38" t="s">
        <v>19</v>
      </c>
      <c r="DN66" s="38" t="s">
        <v>20</v>
      </c>
      <c r="DO66" s="39" t="s">
        <v>21</v>
      </c>
      <c r="DP66" s="65"/>
      <c r="DQ66" s="10"/>
      <c r="DR66" s="66" t="s">
        <v>14</v>
      </c>
      <c r="DS66" s="40">
        <f>DK58/DP58</f>
        <v>0.26250000000000001</v>
      </c>
      <c r="DT66" s="36">
        <f>DL58/DP58</f>
        <v>0.21249999999999999</v>
      </c>
      <c r="DU66" s="36">
        <f>DM58/DP58</f>
        <v>0.1875</v>
      </c>
      <c r="DV66" s="36">
        <f>DN58/DP58</f>
        <v>0.25</v>
      </c>
      <c r="DW66" s="37">
        <f>DO58/DP58</f>
        <v>8.7499999999999994E-2</v>
      </c>
      <c r="DX66" s="23"/>
      <c r="EE66" s="98">
        <v>11</v>
      </c>
      <c r="EF66" s="32">
        <f t="shared" si="69"/>
        <v>39.748226173398443</v>
      </c>
      <c r="EG66" s="38">
        <f t="shared" si="69"/>
        <v>39.716597031600536</v>
      </c>
      <c r="EH66" s="38">
        <f t="shared" si="69"/>
        <v>42.719504993883938</v>
      </c>
      <c r="EI66" s="38">
        <f t="shared" si="69"/>
        <v>42.629859320021737</v>
      </c>
      <c r="EJ66" s="39">
        <f t="shared" si="69"/>
        <v>40.228821078443204</v>
      </c>
    </row>
    <row r="67" spans="2:140" ht="15" thickBot="1" x14ac:dyDescent="0.25">
      <c r="B67" s="64" t="s">
        <v>8</v>
      </c>
      <c r="C67" s="32" t="s">
        <v>22</v>
      </c>
      <c r="D67" s="38" t="s">
        <v>9</v>
      </c>
      <c r="E67" s="38" t="s">
        <v>23</v>
      </c>
      <c r="F67" s="38" t="s">
        <v>7</v>
      </c>
      <c r="G67" s="39" t="s">
        <v>13</v>
      </c>
      <c r="H67" s="65"/>
      <c r="I67" s="10"/>
      <c r="J67" s="66" t="s">
        <v>8</v>
      </c>
      <c r="K67" s="40">
        <f>C59/H59</f>
        <v>0.29629629629629628</v>
      </c>
      <c r="L67" s="36">
        <f>D59/H59</f>
        <v>0.24691358024691357</v>
      </c>
      <c r="M67" s="36">
        <f>E59/H59</f>
        <v>9.8765432098765427E-2</v>
      </c>
      <c r="N67" s="36">
        <f>F59/H59</f>
        <v>0.1728395061728395</v>
      </c>
      <c r="O67" s="37">
        <f>G59/H59</f>
        <v>0.18518518518518517</v>
      </c>
      <c r="P67" s="23"/>
      <c r="W67" s="108">
        <v>12</v>
      </c>
      <c r="X67" s="43">
        <f t="shared" si="65"/>
        <v>56.044190090520871</v>
      </c>
      <c r="Y67" s="70">
        <f t="shared" si="65"/>
        <v>50.537137446173659</v>
      </c>
      <c r="Z67" s="70">
        <f t="shared" si="65"/>
        <v>38.084030483612189</v>
      </c>
      <c r="AA67" s="70">
        <f t="shared" si="65"/>
        <v>42.157198322725485</v>
      </c>
      <c r="AB67" s="71">
        <f t="shared" si="65"/>
        <v>40.009042227014611</v>
      </c>
      <c r="AD67" s="64" t="s">
        <v>8</v>
      </c>
      <c r="AE67" s="32" t="s">
        <v>22</v>
      </c>
      <c r="AF67" s="38" t="s">
        <v>9</v>
      </c>
      <c r="AG67" s="38" t="s">
        <v>23</v>
      </c>
      <c r="AH67" s="38" t="s">
        <v>7</v>
      </c>
      <c r="AI67" s="39" t="s">
        <v>13</v>
      </c>
      <c r="AJ67" s="65"/>
      <c r="AK67" s="10"/>
      <c r="AL67" s="66" t="s">
        <v>8</v>
      </c>
      <c r="AM67" s="40">
        <f>AE59/AJ59</f>
        <v>9.0909090909090912E-2</v>
      </c>
      <c r="AN67" s="36">
        <f>AF59/AJ59</f>
        <v>3.0303030303030304E-2</v>
      </c>
      <c r="AO67" s="36">
        <f>AG59/AJ59</f>
        <v>0.22727272727272727</v>
      </c>
      <c r="AP67" s="36">
        <f>AH59/AJ59</f>
        <v>0.31818181818181818</v>
      </c>
      <c r="AQ67" s="37">
        <f>AI59/AJ59</f>
        <v>0.33333333333333331</v>
      </c>
      <c r="AR67" s="23"/>
      <c r="AY67" s="108">
        <v>12</v>
      </c>
      <c r="AZ67" s="43">
        <f t="shared" si="66"/>
        <v>37.47620441765816</v>
      </c>
      <c r="BA67" s="70">
        <f t="shared" si="66"/>
        <v>41.9658536857876</v>
      </c>
      <c r="BB67" s="70">
        <f t="shared" si="66"/>
        <v>35.248840907476421</v>
      </c>
      <c r="BC67" s="70">
        <f t="shared" si="66"/>
        <v>35.497554619149092</v>
      </c>
      <c r="BD67" s="71">
        <f t="shared" si="66"/>
        <v>37.260906143076966</v>
      </c>
      <c r="BF67" s="64" t="s">
        <v>8</v>
      </c>
      <c r="BG67" s="32" t="s">
        <v>22</v>
      </c>
      <c r="BH67" s="38" t="s">
        <v>9</v>
      </c>
      <c r="BI67" s="38" t="s">
        <v>23</v>
      </c>
      <c r="BJ67" s="38" t="s">
        <v>7</v>
      </c>
      <c r="BK67" s="39" t="s">
        <v>13</v>
      </c>
      <c r="BL67" s="65"/>
      <c r="BM67" s="10"/>
      <c r="BN67" s="66" t="s">
        <v>8</v>
      </c>
      <c r="BO67" s="40">
        <f>BG59/BL59</f>
        <v>0.31818181818181818</v>
      </c>
      <c r="BP67" s="36">
        <f>BH59/BL59</f>
        <v>0.25757575757575757</v>
      </c>
      <c r="BQ67" s="36">
        <f>BI59/BL59</f>
        <v>7.575757575757576E-2</v>
      </c>
      <c r="BR67" s="36">
        <f>BJ59/BL59</f>
        <v>0.16666666666666666</v>
      </c>
      <c r="BS67" s="37">
        <f>BK59/BL59</f>
        <v>0.18181818181818182</v>
      </c>
      <c r="BT67" s="23"/>
      <c r="CA67" s="108">
        <v>12</v>
      </c>
      <c r="CB67" s="43">
        <f t="shared" si="67"/>
        <v>44.611628069935826</v>
      </c>
      <c r="CC67" s="70">
        <f t="shared" si="67"/>
        <v>41.904810842275602</v>
      </c>
      <c r="CD67" s="70">
        <f t="shared" si="67"/>
        <v>48.204100162121051</v>
      </c>
      <c r="CE67" s="70">
        <f t="shared" si="67"/>
        <v>36.728418566293598</v>
      </c>
      <c r="CF67" s="71">
        <f t="shared" si="67"/>
        <v>35.059201148058605</v>
      </c>
      <c r="CH67" s="64" t="s">
        <v>8</v>
      </c>
      <c r="CI67" s="32" t="s">
        <v>22</v>
      </c>
      <c r="CJ67" s="38" t="s">
        <v>9</v>
      </c>
      <c r="CK67" s="38" t="s">
        <v>23</v>
      </c>
      <c r="CL67" s="38" t="s">
        <v>7</v>
      </c>
      <c r="CM67" s="39" t="s">
        <v>13</v>
      </c>
      <c r="CN67" s="65"/>
      <c r="CO67" s="10"/>
      <c r="CP67" s="66" t="s">
        <v>8</v>
      </c>
      <c r="CQ67" s="40">
        <f>CI59/CN59</f>
        <v>0.3392857142857143</v>
      </c>
      <c r="CR67" s="36">
        <f>CJ59/CN59</f>
        <v>0.26785714285714285</v>
      </c>
      <c r="CS67" s="36">
        <f>CK59/CN59</f>
        <v>5.3571428571428568E-2</v>
      </c>
      <c r="CT67" s="36">
        <f>CL59/CN59</f>
        <v>0.16071428571428573</v>
      </c>
      <c r="CU67" s="37">
        <f>CM59/CN59</f>
        <v>0.17857142857142858</v>
      </c>
      <c r="CV67" s="23"/>
      <c r="DC67" s="108">
        <v>12</v>
      </c>
      <c r="DD67" s="43">
        <f t="shared" si="68"/>
        <v>38.981323504930792</v>
      </c>
      <c r="DE67" s="70">
        <f t="shared" si="68"/>
        <v>37.97093963889111</v>
      </c>
      <c r="DF67" s="70">
        <f t="shared" si="68"/>
        <v>41.913899131503406</v>
      </c>
      <c r="DG67" s="70">
        <f t="shared" si="68"/>
        <v>42.235829997034415</v>
      </c>
      <c r="DH67" s="71">
        <f t="shared" si="68"/>
        <v>32.448838841908618</v>
      </c>
      <c r="DJ67" s="64" t="s">
        <v>8</v>
      </c>
      <c r="DK67" s="32" t="s">
        <v>22</v>
      </c>
      <c r="DL67" s="38" t="s">
        <v>9</v>
      </c>
      <c r="DM67" s="38" t="s">
        <v>23</v>
      </c>
      <c r="DN67" s="38" t="s">
        <v>7</v>
      </c>
      <c r="DO67" s="39" t="s">
        <v>13</v>
      </c>
      <c r="DP67" s="65"/>
      <c r="DQ67" s="10"/>
      <c r="DR67" s="66" t="s">
        <v>8</v>
      </c>
      <c r="DS67" s="40">
        <f>DK59/DP59</f>
        <v>0.35294117647058826</v>
      </c>
      <c r="DT67" s="36">
        <f>DL59/DP59</f>
        <v>0.27450980392156865</v>
      </c>
      <c r="DU67" s="36">
        <f>DM59/DP59</f>
        <v>3.9215686274509803E-2</v>
      </c>
      <c r="DV67" s="36">
        <f>DN59/DP59</f>
        <v>0.15686274509803921</v>
      </c>
      <c r="DW67" s="37">
        <f>DO59/DP59</f>
        <v>0.17647058823529413</v>
      </c>
      <c r="DX67" s="23"/>
      <c r="EE67" s="108">
        <v>12</v>
      </c>
      <c r="EF67" s="43">
        <f t="shared" si="69"/>
        <v>44.910561957211662</v>
      </c>
      <c r="EG67" s="70">
        <f t="shared" si="69"/>
        <v>44.094930364933873</v>
      </c>
      <c r="EH67" s="70">
        <f t="shared" si="69"/>
        <v>47.890338327217272</v>
      </c>
      <c r="EI67" s="70">
        <f t="shared" si="69"/>
        <v>48.081405323038325</v>
      </c>
      <c r="EJ67" s="71">
        <f t="shared" si="69"/>
        <v>46.120500477475545</v>
      </c>
    </row>
    <row r="68" spans="2:140" ht="15" thickBot="1" x14ac:dyDescent="0.25">
      <c r="B68" s="64" t="s">
        <v>3</v>
      </c>
      <c r="C68" s="43" t="s">
        <v>24</v>
      </c>
      <c r="D68" s="70" t="s">
        <v>25</v>
      </c>
      <c r="E68" s="70" t="s">
        <v>26</v>
      </c>
      <c r="F68" s="70" t="s">
        <v>27</v>
      </c>
      <c r="G68" s="71" t="s">
        <v>28</v>
      </c>
      <c r="H68" s="65"/>
      <c r="I68" s="10"/>
      <c r="J68" s="72" t="s">
        <v>3</v>
      </c>
      <c r="K68" s="50">
        <f>C60/H60</f>
        <v>0.14285714285714285</v>
      </c>
      <c r="L68" s="48">
        <f>D60/H60</f>
        <v>0.18367346938775511</v>
      </c>
      <c r="M68" s="48">
        <f>E60/H60</f>
        <v>0.20408163265306123</v>
      </c>
      <c r="N68" s="48">
        <f>F60/H60</f>
        <v>0.22448979591836735</v>
      </c>
      <c r="O68" s="49">
        <f>G60/H60</f>
        <v>0.24489795918367346</v>
      </c>
      <c r="P68" s="23"/>
      <c r="AD68" s="64" t="s">
        <v>3</v>
      </c>
      <c r="AE68" s="43" t="s">
        <v>24</v>
      </c>
      <c r="AF68" s="70" t="s">
        <v>25</v>
      </c>
      <c r="AG68" s="70" t="s">
        <v>26</v>
      </c>
      <c r="AH68" s="70" t="s">
        <v>27</v>
      </c>
      <c r="AI68" s="71" t="s">
        <v>28</v>
      </c>
      <c r="AJ68" s="65"/>
      <c r="AK68" s="10"/>
      <c r="AL68" s="72" t="s">
        <v>3</v>
      </c>
      <c r="AM68" s="50">
        <f>AE60/AJ60</f>
        <v>0.16666666666666666</v>
      </c>
      <c r="AN68" s="48">
        <f>AF60/AJ60</f>
        <v>0.19047619047619047</v>
      </c>
      <c r="AO68" s="48">
        <f>AG60/AJ60</f>
        <v>0.20238095238095238</v>
      </c>
      <c r="AP68" s="48">
        <f>AH60/AJ60</f>
        <v>0.21428571428571427</v>
      </c>
      <c r="AQ68" s="49">
        <f>AI60/AJ60</f>
        <v>0.22619047619047619</v>
      </c>
      <c r="AR68" s="23"/>
      <c r="BF68" s="64" t="s">
        <v>3</v>
      </c>
      <c r="BG68" s="43" t="s">
        <v>24</v>
      </c>
      <c r="BH68" s="70" t="s">
        <v>25</v>
      </c>
      <c r="BI68" s="70" t="s">
        <v>26</v>
      </c>
      <c r="BJ68" s="70" t="s">
        <v>27</v>
      </c>
      <c r="BK68" s="71" t="s">
        <v>28</v>
      </c>
      <c r="BL68" s="65"/>
      <c r="BM68" s="10"/>
      <c r="BN68" s="72" t="s">
        <v>3</v>
      </c>
      <c r="BO68" s="50">
        <f>BG60/BL60</f>
        <v>0.11764705882352941</v>
      </c>
      <c r="BP68" s="48">
        <f>BH60/BL60</f>
        <v>0.17647058823529413</v>
      </c>
      <c r="BQ68" s="48">
        <f>BI60/BL60</f>
        <v>0.20588235294117646</v>
      </c>
      <c r="BR68" s="48">
        <f>BJ60/BL60</f>
        <v>0.23529411764705882</v>
      </c>
      <c r="BS68" s="49">
        <f>BK60/BL60</f>
        <v>0.26470588235294118</v>
      </c>
      <c r="BT68" s="23"/>
      <c r="CH68" s="64" t="s">
        <v>3</v>
      </c>
      <c r="CI68" s="43" t="s">
        <v>24</v>
      </c>
      <c r="CJ68" s="70" t="s">
        <v>25</v>
      </c>
      <c r="CK68" s="70" t="s">
        <v>26</v>
      </c>
      <c r="CL68" s="70" t="s">
        <v>27</v>
      </c>
      <c r="CM68" s="71" t="s">
        <v>28</v>
      </c>
      <c r="CN68" s="65"/>
      <c r="CO68" s="10"/>
      <c r="CP68" s="72" t="s">
        <v>3</v>
      </c>
      <c r="CQ68" s="50">
        <f>CI60/CN60</f>
        <v>8.3333333333333329E-2</v>
      </c>
      <c r="CR68" s="48">
        <f>CJ60/CN60</f>
        <v>0.16666666666666666</v>
      </c>
      <c r="CS68" s="48">
        <f>CK60/CN60</f>
        <v>0.20833333333333334</v>
      </c>
      <c r="CT68" s="48">
        <f>CL60/CN60</f>
        <v>0.25</v>
      </c>
      <c r="CU68" s="49">
        <f>CM60/CN60</f>
        <v>0.29166666666666669</v>
      </c>
      <c r="CV68" s="23"/>
      <c r="DJ68" s="64" t="s">
        <v>3</v>
      </c>
      <c r="DK68" s="43" t="s">
        <v>24</v>
      </c>
      <c r="DL68" s="70" t="s">
        <v>25</v>
      </c>
      <c r="DM68" s="70" t="s">
        <v>26</v>
      </c>
      <c r="DN68" s="70" t="s">
        <v>27</v>
      </c>
      <c r="DO68" s="71" t="s">
        <v>28</v>
      </c>
      <c r="DP68" s="65"/>
      <c r="DQ68" s="10"/>
      <c r="DR68" s="72" t="s">
        <v>3</v>
      </c>
      <c r="DS68" s="50">
        <f>DK60/DP60</f>
        <v>5.2631578947368418E-2</v>
      </c>
      <c r="DT68" s="48">
        <f>DL60/DP60</f>
        <v>0.15789473684210525</v>
      </c>
      <c r="DU68" s="48">
        <f>DM60/DP60</f>
        <v>0.21052631578947367</v>
      </c>
      <c r="DV68" s="48">
        <f>DN60/DP60</f>
        <v>0.26315789473684209</v>
      </c>
      <c r="DW68" s="49">
        <f>DO60/DP60</f>
        <v>0.31578947368421051</v>
      </c>
      <c r="DX68" s="23"/>
    </row>
    <row r="69" spans="2:140" ht="15" thickBot="1" x14ac:dyDescent="0.25">
      <c r="B69" s="73"/>
      <c r="C69" s="74"/>
      <c r="D69" s="74"/>
      <c r="E69" s="74"/>
      <c r="F69" s="74"/>
      <c r="G69" s="74"/>
      <c r="H69" s="75"/>
      <c r="I69" s="10"/>
      <c r="AD69" s="73"/>
      <c r="AE69" s="74"/>
      <c r="AF69" s="74"/>
      <c r="AG69" s="74"/>
      <c r="AH69" s="74"/>
      <c r="AI69" s="74"/>
      <c r="AJ69" s="75"/>
      <c r="AK69" s="10"/>
      <c r="BF69" s="73"/>
      <c r="BG69" s="74"/>
      <c r="BH69" s="74"/>
      <c r="BI69" s="74"/>
      <c r="BJ69" s="74"/>
      <c r="BK69" s="74"/>
      <c r="BL69" s="75"/>
      <c r="BM69" s="10"/>
      <c r="CH69" s="73"/>
      <c r="CI69" s="74"/>
      <c r="CJ69" s="74"/>
      <c r="CK69" s="74"/>
      <c r="CL69" s="74"/>
      <c r="CM69" s="74"/>
      <c r="CN69" s="75"/>
      <c r="CO69" s="10"/>
      <c r="DJ69" s="73"/>
      <c r="DK69" s="74"/>
      <c r="DL69" s="74"/>
      <c r="DM69" s="74"/>
      <c r="DN69" s="74"/>
      <c r="DO69" s="74"/>
      <c r="DP69" s="75"/>
      <c r="DQ69" s="10"/>
    </row>
    <row r="70" spans="2:140" ht="15" thickBot="1" x14ac:dyDescent="0.25">
      <c r="B70" s="10"/>
      <c r="C70" s="10"/>
      <c r="D70" s="10"/>
      <c r="E70" s="10"/>
      <c r="F70" s="10"/>
      <c r="G70" s="10"/>
      <c r="H70" s="10"/>
      <c r="I70" s="10"/>
      <c r="K70" s="10"/>
      <c r="L70" s="10"/>
      <c r="M70" s="10"/>
      <c r="N70" s="10"/>
      <c r="O70" s="10" t="s">
        <v>580</v>
      </c>
      <c r="P70" s="10"/>
      <c r="Q70" s="76" t="s">
        <v>30</v>
      </c>
      <c r="R70" s="76" t="s">
        <v>31</v>
      </c>
      <c r="S70" s="76" t="s">
        <v>32</v>
      </c>
      <c r="T70" s="76" t="s">
        <v>33</v>
      </c>
      <c r="U70" s="76" t="s">
        <v>34</v>
      </c>
      <c r="W70" s="170" t="s">
        <v>56</v>
      </c>
      <c r="X70" s="171"/>
      <c r="Y70" s="171"/>
      <c r="Z70" s="171"/>
      <c r="AA70" s="171"/>
      <c r="AB70" s="171"/>
      <c r="AD70" s="10"/>
      <c r="AE70" s="10"/>
      <c r="AF70" s="10"/>
      <c r="AG70" s="10"/>
      <c r="AH70" s="10"/>
      <c r="AI70" s="10"/>
      <c r="AJ70" s="10"/>
      <c r="AK70" s="10"/>
      <c r="AM70" s="10"/>
      <c r="AN70" s="10"/>
      <c r="AO70" s="10"/>
      <c r="AP70" s="10"/>
      <c r="AQ70" s="10" t="s">
        <v>580</v>
      </c>
      <c r="AR70" s="10"/>
      <c r="AS70" s="76" t="s">
        <v>30</v>
      </c>
      <c r="AT70" s="76" t="s">
        <v>31</v>
      </c>
      <c r="AU70" s="76" t="s">
        <v>32</v>
      </c>
      <c r="AV70" s="76" t="s">
        <v>33</v>
      </c>
      <c r="AW70" s="76" t="s">
        <v>34</v>
      </c>
      <c r="AY70" s="170" t="s">
        <v>68</v>
      </c>
      <c r="AZ70" s="171"/>
      <c r="BA70" s="171"/>
      <c r="BB70" s="171"/>
      <c r="BC70" s="171"/>
      <c r="BD70" s="171"/>
      <c r="BF70" s="10"/>
      <c r="BG70" s="10"/>
      <c r="BH70" s="10"/>
      <c r="BI70" s="10"/>
      <c r="BJ70" s="10"/>
      <c r="BK70" s="10"/>
      <c r="BL70" s="10"/>
      <c r="BM70" s="10"/>
      <c r="BO70" s="10"/>
      <c r="BP70" s="10"/>
      <c r="BQ70" s="10"/>
      <c r="BR70" s="10"/>
      <c r="BS70" s="10" t="s">
        <v>580</v>
      </c>
      <c r="BT70" s="10"/>
      <c r="BU70" s="76" t="s">
        <v>30</v>
      </c>
      <c r="BV70" s="76" t="s">
        <v>31</v>
      </c>
      <c r="BW70" s="76" t="s">
        <v>32</v>
      </c>
      <c r="BX70" s="76" t="s">
        <v>33</v>
      </c>
      <c r="BY70" s="76" t="s">
        <v>34</v>
      </c>
      <c r="CA70" s="170" t="s">
        <v>86</v>
      </c>
      <c r="CB70" s="171"/>
      <c r="CC70" s="171"/>
      <c r="CD70" s="171"/>
      <c r="CE70" s="171"/>
      <c r="CF70" s="171"/>
      <c r="CH70" s="10"/>
      <c r="CI70" s="10"/>
      <c r="CJ70" s="10"/>
      <c r="CK70" s="10"/>
      <c r="CL70" s="10"/>
      <c r="CM70" s="10"/>
      <c r="CN70" s="10"/>
      <c r="CO70" s="10"/>
      <c r="CQ70" s="10"/>
      <c r="CR70" s="10"/>
      <c r="CS70" s="10"/>
      <c r="CT70" s="10"/>
      <c r="CU70" s="10" t="s">
        <v>580</v>
      </c>
      <c r="CV70" s="10"/>
      <c r="CW70" s="76" t="s">
        <v>30</v>
      </c>
      <c r="CX70" s="76" t="s">
        <v>31</v>
      </c>
      <c r="CY70" s="76" t="s">
        <v>32</v>
      </c>
      <c r="CZ70" s="76" t="s">
        <v>33</v>
      </c>
      <c r="DA70" s="76" t="s">
        <v>34</v>
      </c>
      <c r="DC70" s="170" t="s">
        <v>101</v>
      </c>
      <c r="DD70" s="171"/>
      <c r="DE70" s="171"/>
      <c r="DF70" s="171"/>
      <c r="DG70" s="171"/>
      <c r="DH70" s="171"/>
      <c r="DJ70" s="10"/>
      <c r="DK70" s="10"/>
      <c r="DL70" s="10"/>
      <c r="DM70" s="10"/>
      <c r="DN70" s="10"/>
      <c r="DO70" s="10"/>
      <c r="DP70" s="10"/>
      <c r="DQ70" s="10"/>
      <c r="DS70" s="10"/>
      <c r="DT70" s="10"/>
      <c r="DU70" s="10"/>
      <c r="DV70" s="10"/>
      <c r="DW70" s="10" t="s">
        <v>580</v>
      </c>
      <c r="DX70" s="10"/>
      <c r="DY70" s="76" t="s">
        <v>30</v>
      </c>
      <c r="DZ70" s="76" t="s">
        <v>31</v>
      </c>
      <c r="EA70" s="76" t="s">
        <v>32</v>
      </c>
      <c r="EB70" s="76" t="s">
        <v>33</v>
      </c>
      <c r="EC70" s="76" t="s">
        <v>34</v>
      </c>
      <c r="EE70" s="170" t="s">
        <v>116</v>
      </c>
      <c r="EF70" s="171"/>
      <c r="EG70" s="171"/>
      <c r="EH70" s="171"/>
      <c r="EI70" s="171"/>
      <c r="EJ70" s="171"/>
    </row>
    <row r="71" spans="2:140" ht="15" thickBot="1" x14ac:dyDescent="0.25">
      <c r="B71" s="10"/>
      <c r="C71" s="10"/>
      <c r="D71" s="10"/>
      <c r="E71" s="10"/>
      <c r="F71" s="10"/>
      <c r="G71" s="10"/>
      <c r="H71" s="10"/>
      <c r="I71" s="10"/>
      <c r="J71" s="838" t="s">
        <v>35</v>
      </c>
      <c r="K71" s="839"/>
      <c r="L71" s="77" t="s">
        <v>36</v>
      </c>
      <c r="M71" s="78" t="s">
        <v>11</v>
      </c>
      <c r="N71" s="79" t="s">
        <v>37</v>
      </c>
      <c r="O71" s="80" t="s">
        <v>38</v>
      </c>
      <c r="P71" s="10"/>
      <c r="Q71" s="81">
        <f>K56</f>
        <v>0.21621621621621623</v>
      </c>
      <c r="R71" s="82">
        <f>K57</f>
        <v>0.33783783783783783</v>
      </c>
      <c r="S71" s="82">
        <f>K58</f>
        <v>2.7027027027027029E-2</v>
      </c>
      <c r="T71" s="82">
        <f>K59</f>
        <v>0.32432432432432434</v>
      </c>
      <c r="U71" s="83">
        <f>K60</f>
        <v>9.45945945945946E-2</v>
      </c>
      <c r="V71" s="84">
        <f>SUM(Q71:U71)</f>
        <v>1</v>
      </c>
      <c r="W71" s="165" t="s">
        <v>37</v>
      </c>
      <c r="X71" s="197" t="s">
        <v>30</v>
      </c>
      <c r="Y71" s="174" t="s">
        <v>31</v>
      </c>
      <c r="Z71" s="174" t="s">
        <v>32</v>
      </c>
      <c r="AA71" s="174" t="s">
        <v>33</v>
      </c>
      <c r="AB71" s="175" t="s">
        <v>34</v>
      </c>
      <c r="AD71" s="10"/>
      <c r="AE71" s="10"/>
      <c r="AF71" s="10"/>
      <c r="AG71" s="10"/>
      <c r="AH71" s="10"/>
      <c r="AI71" s="10"/>
      <c r="AJ71" s="10"/>
      <c r="AK71" s="10"/>
      <c r="AL71" s="838" t="s">
        <v>35</v>
      </c>
      <c r="AM71" s="839"/>
      <c r="AN71" s="77" t="s">
        <v>36</v>
      </c>
      <c r="AO71" s="78" t="s">
        <v>11</v>
      </c>
      <c r="AP71" s="79" t="s">
        <v>37</v>
      </c>
      <c r="AQ71" s="80" t="s">
        <v>38</v>
      </c>
      <c r="AR71" s="10"/>
      <c r="AS71" s="81">
        <f>AM56</f>
        <v>0.38983050847457629</v>
      </c>
      <c r="AT71" s="82">
        <f>AM57</f>
        <v>0.11864406779661017</v>
      </c>
      <c r="AU71" s="82">
        <f>AM58</f>
        <v>0.15254237288135594</v>
      </c>
      <c r="AV71" s="82">
        <f>AM59</f>
        <v>0.10169491525423729</v>
      </c>
      <c r="AW71" s="83">
        <f>AM60</f>
        <v>0.23728813559322035</v>
      </c>
      <c r="AX71" s="84">
        <f>SUM(AS71:AW71)</f>
        <v>1</v>
      </c>
      <c r="AY71" s="198" t="s">
        <v>37</v>
      </c>
      <c r="AZ71" s="194" t="s">
        <v>30</v>
      </c>
      <c r="BA71" s="195" t="s">
        <v>31</v>
      </c>
      <c r="BB71" s="195" t="s">
        <v>32</v>
      </c>
      <c r="BC71" s="195" t="s">
        <v>33</v>
      </c>
      <c r="BD71" s="196" t="s">
        <v>34</v>
      </c>
      <c r="BF71" s="10"/>
      <c r="BG71" s="10"/>
      <c r="BH71" s="10"/>
      <c r="BI71" s="10"/>
      <c r="BJ71" s="10"/>
      <c r="BK71" s="10"/>
      <c r="BL71" s="10"/>
      <c r="BM71" s="10"/>
      <c r="BN71" s="838" t="s">
        <v>35</v>
      </c>
      <c r="BO71" s="839"/>
      <c r="BP71" s="77" t="s">
        <v>36</v>
      </c>
      <c r="BQ71" s="78" t="s">
        <v>11</v>
      </c>
      <c r="BR71" s="79" t="s">
        <v>37</v>
      </c>
      <c r="BS71" s="80" t="s">
        <v>38</v>
      </c>
      <c r="BT71" s="10"/>
      <c r="BU71" s="81">
        <f>BO56</f>
        <v>0.15476190476190477</v>
      </c>
      <c r="BV71" s="82">
        <f>BO57</f>
        <v>0.26190476190476192</v>
      </c>
      <c r="BW71" s="82">
        <f>BO58</f>
        <v>0.2857142857142857</v>
      </c>
      <c r="BX71" s="82">
        <f>BO59</f>
        <v>0.25</v>
      </c>
      <c r="BY71" s="83">
        <f>BO60</f>
        <v>4.7619047619047616E-2</v>
      </c>
      <c r="BZ71" s="84">
        <f>SUM(BU71:BY71)</f>
        <v>1</v>
      </c>
      <c r="CA71" s="198" t="s">
        <v>37</v>
      </c>
      <c r="CB71" s="194" t="s">
        <v>30</v>
      </c>
      <c r="CC71" s="195" t="s">
        <v>31</v>
      </c>
      <c r="CD71" s="195" t="s">
        <v>32</v>
      </c>
      <c r="CE71" s="195" t="s">
        <v>33</v>
      </c>
      <c r="CF71" s="196" t="s">
        <v>34</v>
      </c>
      <c r="CH71" s="10"/>
      <c r="CI71" s="10"/>
      <c r="CJ71" s="10"/>
      <c r="CK71" s="10"/>
      <c r="CL71" s="10"/>
      <c r="CM71" s="10"/>
      <c r="CN71" s="10"/>
      <c r="CO71" s="10"/>
      <c r="CP71" s="838" t="s">
        <v>35</v>
      </c>
      <c r="CQ71" s="839"/>
      <c r="CR71" s="77" t="s">
        <v>36</v>
      </c>
      <c r="CS71" s="78" t="s">
        <v>11</v>
      </c>
      <c r="CT71" s="79" t="s">
        <v>37</v>
      </c>
      <c r="CU71" s="80" t="s">
        <v>38</v>
      </c>
      <c r="CV71" s="10"/>
      <c r="CW71" s="81">
        <f>CQ56</f>
        <v>0.14864864864864866</v>
      </c>
      <c r="CX71" s="82">
        <f>CQ57</f>
        <v>0.27027027027027029</v>
      </c>
      <c r="CY71" s="82">
        <f>CQ58</f>
        <v>0.29729729729729731</v>
      </c>
      <c r="CZ71" s="82">
        <f>CQ59</f>
        <v>0.25675675675675674</v>
      </c>
      <c r="DA71" s="83">
        <f>CQ60</f>
        <v>2.7027027027027029E-2</v>
      </c>
      <c r="DB71" s="84">
        <f>SUM(CW71:DA71)</f>
        <v>1</v>
      </c>
      <c r="DC71" s="198" t="s">
        <v>37</v>
      </c>
      <c r="DD71" s="194" t="s">
        <v>30</v>
      </c>
      <c r="DE71" s="195" t="s">
        <v>31</v>
      </c>
      <c r="DF71" s="195" t="s">
        <v>32</v>
      </c>
      <c r="DG71" s="195" t="s">
        <v>33</v>
      </c>
      <c r="DH71" s="196" t="s">
        <v>34</v>
      </c>
      <c r="DJ71" s="10"/>
      <c r="DK71" s="10"/>
      <c r="DL71" s="10"/>
      <c r="DM71" s="10"/>
      <c r="DN71" s="10"/>
      <c r="DO71" s="10"/>
      <c r="DP71" s="10"/>
      <c r="DQ71" s="10"/>
      <c r="DR71" s="838" t="s">
        <v>35</v>
      </c>
      <c r="DS71" s="839"/>
      <c r="DT71" s="77" t="s">
        <v>36</v>
      </c>
      <c r="DU71" s="153" t="s">
        <v>11</v>
      </c>
      <c r="DV71" s="79" t="s">
        <v>37</v>
      </c>
      <c r="DW71" s="80" t="s">
        <v>38</v>
      </c>
      <c r="DX71" s="10"/>
      <c r="DY71" s="81">
        <f>DS56</f>
        <v>0.14492753623188406</v>
      </c>
      <c r="DZ71" s="82">
        <f>DS57</f>
        <v>0.27536231884057971</v>
      </c>
      <c r="EA71" s="82">
        <f>DS58</f>
        <v>0.30434782608695654</v>
      </c>
      <c r="EB71" s="82">
        <f>DS59</f>
        <v>0.2608695652173913</v>
      </c>
      <c r="EC71" s="83">
        <f>DS60</f>
        <v>1.4492753623188406E-2</v>
      </c>
      <c r="ED71" s="84">
        <f>SUM(DY71:EC71)</f>
        <v>0.99999999999999989</v>
      </c>
      <c r="EE71" s="198" t="s">
        <v>37</v>
      </c>
      <c r="EF71" s="194" t="s">
        <v>30</v>
      </c>
      <c r="EG71" s="195" t="s">
        <v>31</v>
      </c>
      <c r="EH71" s="195" t="s">
        <v>32</v>
      </c>
      <c r="EI71" s="195" t="s">
        <v>33</v>
      </c>
      <c r="EJ71" s="196" t="s">
        <v>34</v>
      </c>
    </row>
    <row r="72" spans="2:140" x14ac:dyDescent="0.2">
      <c r="B72" s="10"/>
      <c r="C72" s="10"/>
      <c r="D72" s="10"/>
      <c r="E72" s="86" t="s">
        <v>39</v>
      </c>
      <c r="F72" s="10"/>
      <c r="G72" s="10"/>
      <c r="H72" s="10"/>
      <c r="I72" s="10"/>
      <c r="J72" s="131" t="s">
        <v>14</v>
      </c>
      <c r="K72" s="30">
        <v>25</v>
      </c>
      <c r="L72" s="465">
        <f>L23</f>
        <v>1</v>
      </c>
      <c r="N72" s="88">
        <v>1</v>
      </c>
      <c r="O72" s="89">
        <v>7</v>
      </c>
      <c r="P72" s="90"/>
      <c r="Q72" s="91">
        <f>O72/(L72-Q71)</f>
        <v>8.931034482758621</v>
      </c>
      <c r="R72" s="92">
        <f>O72/(L72-R71)</f>
        <v>10.571428571428571</v>
      </c>
      <c r="S72" s="92">
        <f>O72/(L72-S71)</f>
        <v>7.1944444444444438</v>
      </c>
      <c r="T72" s="92">
        <f>O72/(L72-T71)</f>
        <v>10.36</v>
      </c>
      <c r="U72" s="93">
        <f>O72/(L72-U71)</f>
        <v>7.7313432835820901</v>
      </c>
      <c r="W72" s="88">
        <v>1</v>
      </c>
      <c r="X72" s="24">
        <f>(Q72/Q84*100+Q87)*$L72</f>
        <v>9.0729166666666679</v>
      </c>
      <c r="Y72" s="205">
        <f>(R72/R84*100+R87)*$L72</f>
        <v>8.753205128205126</v>
      </c>
      <c r="Z72" s="205">
        <f t="shared" ref="Z72" si="80">(S72/S84*100+S87)*$L72</f>
        <v>8.3472222222222214</v>
      </c>
      <c r="AA72" s="205">
        <f t="shared" ref="AA72" si="81">(T72/T84*100+T87)*$L72</f>
        <v>8.3878205128205128</v>
      </c>
      <c r="AB72" s="382">
        <f t="shared" ref="AB72" si="82">(U72/U84*100+U87)*$L72</f>
        <v>8.4093137254901968</v>
      </c>
      <c r="AD72" s="10"/>
      <c r="AE72" s="10"/>
      <c r="AF72" s="10"/>
      <c r="AG72" s="86" t="s">
        <v>39</v>
      </c>
      <c r="AH72" s="10"/>
      <c r="AI72" s="10"/>
      <c r="AJ72" s="10"/>
      <c r="AK72" s="10"/>
      <c r="AL72" s="87" t="s">
        <v>14</v>
      </c>
      <c r="AM72" s="26">
        <v>7</v>
      </c>
      <c r="AN72" s="465">
        <f>AN23</f>
        <v>1</v>
      </c>
      <c r="AP72" s="88">
        <v>1</v>
      </c>
      <c r="AQ72" s="89">
        <v>7</v>
      </c>
      <c r="AR72" s="90"/>
      <c r="AS72" s="91">
        <f>AQ72/(AN72-AS71)</f>
        <v>11.472222222222223</v>
      </c>
      <c r="AT72" s="92">
        <f>AQ72/(AN72-AT71)</f>
        <v>7.9423076923076925</v>
      </c>
      <c r="AU72" s="92">
        <f>AQ72/(AN72-AU71)</f>
        <v>8.26</v>
      </c>
      <c r="AV72" s="92">
        <f>AQ72/(AN72-AV71)</f>
        <v>7.7924528301886786</v>
      </c>
      <c r="AW72" s="93">
        <f>AQ72/(AN72-AW71)</f>
        <v>9.1777777777777789</v>
      </c>
      <c r="AY72" s="199">
        <v>1</v>
      </c>
      <c r="AZ72" s="24">
        <f>(AS72/AS84*100+AS87)*AN72</f>
        <v>11.758333333333333</v>
      </c>
      <c r="BA72" s="205">
        <f>(AT72/AT84*100+AT87)*AN72</f>
        <v>13.672619047619047</v>
      </c>
      <c r="BB72" s="205">
        <f>(AU72/AU84*100+AU87)*AN72</f>
        <v>11.993421052631579</v>
      </c>
      <c r="BC72" s="205">
        <f>(AV72/AV84*100+AV87)*AN72</f>
        <v>12.164393939393939</v>
      </c>
      <c r="BD72" s="382">
        <f>(AW72/AW84*100+AW87)*AN72</f>
        <v>12.25462962962963</v>
      </c>
      <c r="BF72" s="10"/>
      <c r="BG72" s="10"/>
      <c r="BH72" s="10"/>
      <c r="BI72" s="86" t="s">
        <v>39</v>
      </c>
      <c r="BJ72" s="10"/>
      <c r="BK72" s="10"/>
      <c r="BL72" s="10"/>
      <c r="BM72" s="10"/>
      <c r="BN72" s="87" t="s">
        <v>14</v>
      </c>
      <c r="BO72" s="26">
        <v>22</v>
      </c>
      <c r="BP72" s="465">
        <f>BP23</f>
        <v>1</v>
      </c>
      <c r="BR72" s="88">
        <v>1</v>
      </c>
      <c r="BS72" s="89">
        <v>7</v>
      </c>
      <c r="BT72" s="90"/>
      <c r="BU72" s="91">
        <f>BS72/(BP72-BU71)</f>
        <v>8.28169014084507</v>
      </c>
      <c r="BV72" s="92">
        <f>BS72/(BP72-BV71)</f>
        <v>9.4838709677419342</v>
      </c>
      <c r="BW72" s="92">
        <f>BS72/(BP72-BW71)</f>
        <v>9.7999999999999989</v>
      </c>
      <c r="BX72" s="92">
        <f>BS72/(BP72-BX71)</f>
        <v>9.3333333333333339</v>
      </c>
      <c r="BY72" s="93">
        <f>BS72/(BP72-BY71)</f>
        <v>7.3500000000000005</v>
      </c>
      <c r="CA72" s="207">
        <v>1</v>
      </c>
      <c r="CB72" s="24">
        <f>(BU72/BU84*100+BU87)*BP72</f>
        <v>10.269444444444444</v>
      </c>
      <c r="CC72" s="205">
        <f>(BV72/BV84*100+BV87)*BP72</f>
        <v>9.8685897435897427</v>
      </c>
      <c r="CD72" s="205">
        <f>(BW72/BW84*100+BW87)*BP72</f>
        <v>10.482142857142856</v>
      </c>
      <c r="CE72" s="205">
        <f>(BX72/BX84*100+BX87)*BP72</f>
        <v>9.3532051282051292</v>
      </c>
      <c r="CF72" s="382">
        <f>(BY72/BY84*100+BY87)*BP72</f>
        <v>9.3854166666666661</v>
      </c>
      <c r="CH72" s="10"/>
      <c r="CI72" s="10"/>
      <c r="CJ72" s="10"/>
      <c r="CK72" s="86" t="s">
        <v>39</v>
      </c>
      <c r="CL72" s="10"/>
      <c r="CM72" s="10"/>
      <c r="CN72" s="10"/>
      <c r="CO72" s="10"/>
      <c r="CP72" s="87" t="s">
        <v>14</v>
      </c>
      <c r="CQ72" s="26">
        <v>20</v>
      </c>
      <c r="CR72" s="465">
        <f>CR23</f>
        <v>1</v>
      </c>
      <c r="CT72" s="88">
        <v>1</v>
      </c>
      <c r="CU72" s="89">
        <v>7</v>
      </c>
      <c r="CV72" s="90"/>
      <c r="CW72" s="91">
        <f>CU72/(CR72-CW71)</f>
        <v>8.2222222222222232</v>
      </c>
      <c r="CX72" s="92">
        <f>CU72/(CR72-CX71)</f>
        <v>9.5925925925925934</v>
      </c>
      <c r="CY72" s="92">
        <f>CU72/(CR72-CY71)</f>
        <v>9.9615384615384617</v>
      </c>
      <c r="CZ72" s="92">
        <f>CU72/(CR72-CZ71)</f>
        <v>9.418181818181818</v>
      </c>
      <c r="DA72" s="93">
        <f>CU72/(CR72-DA71)</f>
        <v>7.1944444444444438</v>
      </c>
      <c r="DC72" s="207">
        <v>1</v>
      </c>
      <c r="DD72" s="24">
        <f>(CW72/CW84*100+CW87)*CR72</f>
        <v>17.872311827956988</v>
      </c>
      <c r="DE72" s="205">
        <f>(CX72/CX84*100+CX87)*CR72</f>
        <v>16.798913043478262</v>
      </c>
      <c r="DF72" s="205">
        <f>(CY72/CY84*100+CY87)*CR72</f>
        <v>18.410310734463277</v>
      </c>
      <c r="DG72" s="205">
        <f>(CZ72/CZ84*100+CZ87)*CR72</f>
        <v>18.80043859649123</v>
      </c>
      <c r="DH72" s="382">
        <f>(DA72/DA84*100+DA87)*CR72</f>
        <v>15.390432098765432</v>
      </c>
      <c r="DJ72" s="10"/>
      <c r="DK72" s="10"/>
      <c r="DL72" s="10"/>
      <c r="DM72" s="86" t="s">
        <v>39</v>
      </c>
      <c r="DN72" s="10"/>
      <c r="DO72" s="10"/>
      <c r="DP72" s="10"/>
      <c r="DQ72" s="10"/>
      <c r="DR72" s="87" t="s">
        <v>14</v>
      </c>
      <c r="DS72" s="26">
        <v>19</v>
      </c>
      <c r="DT72" s="465">
        <f>DT23</f>
        <v>1</v>
      </c>
      <c r="DV72" s="88">
        <v>1</v>
      </c>
      <c r="DW72" s="89">
        <v>7</v>
      </c>
      <c r="DX72" s="90"/>
      <c r="DY72" s="91">
        <f>DW72/(DT72-DY71)</f>
        <v>8.1864406779661021</v>
      </c>
      <c r="DZ72" s="92">
        <f>DW72/(DT72-DZ71)</f>
        <v>9.66</v>
      </c>
      <c r="EA72" s="92">
        <f>DW72/(DT72-EA71)</f>
        <v>10.0625</v>
      </c>
      <c r="EB72" s="92">
        <f>DW72/(DT72-EB71)</f>
        <v>9.4705882352941178</v>
      </c>
      <c r="EC72" s="93">
        <f>DW72/(DT72-EC71)</f>
        <v>7.1029411764705879</v>
      </c>
      <c r="EE72" s="207">
        <v>1</v>
      </c>
      <c r="EF72" s="24">
        <f>(DY72/DY84*100+DY87)*DT72</f>
        <v>13.436244979919678</v>
      </c>
      <c r="EG72" s="205">
        <f>(DZ72/DZ84*100+DZ87)*DT72</f>
        <v>12.958333333333334</v>
      </c>
      <c r="EH72" s="205">
        <f>(EA72/EA84*100+EA87)*DT72</f>
        <v>13.666666666666668</v>
      </c>
      <c r="EI72" s="205">
        <f>(EB72/EB84*100+EB87)*DT72</f>
        <v>13.830128205128204</v>
      </c>
      <c r="EJ72" s="382">
        <f>(EC72/EC84*100+EC87)*DT72</f>
        <v>13.91504329004329</v>
      </c>
    </row>
    <row r="73" spans="2:140" x14ac:dyDescent="0.2">
      <c r="B73" s="10"/>
      <c r="C73" s="10"/>
      <c r="D73" s="10"/>
      <c r="E73" s="86" t="s">
        <v>39</v>
      </c>
      <c r="F73" s="10"/>
      <c r="G73" s="10"/>
      <c r="H73" s="10"/>
      <c r="I73" s="10"/>
      <c r="J73" s="96" t="s">
        <v>20</v>
      </c>
      <c r="K73" s="97">
        <v>1</v>
      </c>
      <c r="L73" s="465">
        <f>L72</f>
        <v>1</v>
      </c>
      <c r="N73" s="88">
        <v>2</v>
      </c>
      <c r="O73" s="95">
        <v>8</v>
      </c>
      <c r="P73" s="90"/>
      <c r="Q73" s="99">
        <f>O73/(L73-Q71)</f>
        <v>10.206896551724139</v>
      </c>
      <c r="R73" s="100">
        <f>O73/(L73-R71)</f>
        <v>12.081632653061224</v>
      </c>
      <c r="S73" s="100">
        <f>O73/(L73-S71)</f>
        <v>8.2222222222222214</v>
      </c>
      <c r="T73" s="100">
        <f>O73/(L73-T71)</f>
        <v>11.84</v>
      </c>
      <c r="U73" s="100">
        <f>O73/(L73-U71)</f>
        <v>8.8358208955223887</v>
      </c>
      <c r="W73" s="88">
        <v>2</v>
      </c>
      <c r="X73" s="32">
        <f>(Q73/Q84*100+Q88)*$L73</f>
        <v>15.458333333333334</v>
      </c>
      <c r="Y73" s="202">
        <f>(R73/R84*100+R88)*$L73</f>
        <v>14.179487179487179</v>
      </c>
      <c r="Z73" s="202">
        <f t="shared" ref="Z73" si="83">(S73/S84*100+S88)*$L73</f>
        <v>12.555555555555554</v>
      </c>
      <c r="AA73" s="202">
        <f t="shared" ref="AA73" si="84">(T73/T84*100+T88)*$L73</f>
        <v>12.717948717948719</v>
      </c>
      <c r="AB73" s="383">
        <f t="shared" ref="AB73" si="85">(U73/U84*100+U88)*$L73</f>
        <v>12.80392156862745</v>
      </c>
      <c r="AD73" s="10"/>
      <c r="AE73" s="10"/>
      <c r="AF73" s="10"/>
      <c r="AG73" s="86" t="s">
        <v>39</v>
      </c>
      <c r="AH73" s="10"/>
      <c r="AI73" s="10"/>
      <c r="AJ73" s="10"/>
      <c r="AK73" s="10"/>
      <c r="AL73" s="96" t="s">
        <v>20</v>
      </c>
      <c r="AM73" s="97">
        <v>8</v>
      </c>
      <c r="AN73" s="465">
        <f>AN72</f>
        <v>1</v>
      </c>
      <c r="AP73" s="88">
        <v>2</v>
      </c>
      <c r="AQ73" s="95">
        <v>8</v>
      </c>
      <c r="AR73" s="90"/>
      <c r="AS73" s="99">
        <f>AQ73/(AN73-AS71)</f>
        <v>13.111111111111112</v>
      </c>
      <c r="AT73" s="100">
        <f>AQ73/(AN73-AT71)</f>
        <v>9.0769230769230766</v>
      </c>
      <c r="AU73" s="100">
        <f>AQ73/(AN73-AU71)</f>
        <v>9.4400000000000013</v>
      </c>
      <c r="AV73" s="100">
        <f>AQ73/(AN73-AV71)</f>
        <v>8.9056603773584904</v>
      </c>
      <c r="AW73" s="100">
        <f>AQ73/(AN73-AW71)</f>
        <v>10.488888888888889</v>
      </c>
      <c r="AY73" s="200">
        <v>2</v>
      </c>
      <c r="AZ73" s="32">
        <f>(AS73/AS84*100+AS88)*AN73</f>
        <v>10.566666666666666</v>
      </c>
      <c r="BA73" s="202">
        <f>(AT73/AT84*100+AT88)*AN73</f>
        <v>11.523809523809522</v>
      </c>
      <c r="BB73" s="202">
        <f>(AU73/AU84*100+AU88)*AN73</f>
        <v>10.684210526315788</v>
      </c>
      <c r="BC73" s="202">
        <f>(AV73/AV84*100+AV88)*AN73</f>
        <v>10.769696969696968</v>
      </c>
      <c r="BD73" s="383">
        <f>(AW73/AW84*100+AW88)*AN73</f>
        <v>10.814814814814813</v>
      </c>
      <c r="BF73" s="10"/>
      <c r="BG73" s="10"/>
      <c r="BH73" s="10"/>
      <c r="BI73" s="86" t="s">
        <v>39</v>
      </c>
      <c r="BJ73" s="10"/>
      <c r="BK73" s="10"/>
      <c r="BL73" s="10"/>
      <c r="BM73" s="10"/>
      <c r="BN73" s="96" t="s">
        <v>20</v>
      </c>
      <c r="BO73" s="97">
        <v>23</v>
      </c>
      <c r="BP73" s="465">
        <f>BP72</f>
        <v>1</v>
      </c>
      <c r="BR73" s="88">
        <v>2</v>
      </c>
      <c r="BS73" s="95">
        <v>8</v>
      </c>
      <c r="BT73" s="90"/>
      <c r="BU73" s="99">
        <f>BS73/(BP73-BU71)</f>
        <v>9.464788732394366</v>
      </c>
      <c r="BV73" s="100">
        <f>BS73/(BP73-BV71)</f>
        <v>10.838709677419354</v>
      </c>
      <c r="BW73" s="100">
        <f>BS73/(BP73-BW71)</f>
        <v>11.2</v>
      </c>
      <c r="BX73" s="100">
        <f>BS73/(BP73-BX71)</f>
        <v>10.666666666666666</v>
      </c>
      <c r="BY73" s="100">
        <f>BS73/(BP73-BY71)</f>
        <v>8.4</v>
      </c>
      <c r="CA73" s="208">
        <v>2</v>
      </c>
      <c r="CB73" s="32">
        <f>(BU73/BU84*100+BU88)*BP73</f>
        <v>20.244444444444444</v>
      </c>
      <c r="CC73" s="202">
        <f>(BV73/BV84*100+BV88)*BP73</f>
        <v>18.641025641025639</v>
      </c>
      <c r="CD73" s="202">
        <f>(BW73/BW84*100+BW88)*BP73</f>
        <v>21.095238095238095</v>
      </c>
      <c r="CE73" s="202">
        <f>(BX73/BX84*100+BX88)*BP73</f>
        <v>16.579487179487177</v>
      </c>
      <c r="CF73" s="383">
        <f>(BY73/BY84*100+BY88)*BP73</f>
        <v>16.708333333333332</v>
      </c>
      <c r="CH73" s="10"/>
      <c r="CI73" s="10"/>
      <c r="CJ73" s="10"/>
      <c r="CK73" s="86" t="s">
        <v>39</v>
      </c>
      <c r="CL73" s="10"/>
      <c r="CM73" s="10"/>
      <c r="CN73" s="10"/>
      <c r="CO73" s="10"/>
      <c r="CP73" s="96" t="s">
        <v>20</v>
      </c>
      <c r="CQ73" s="97">
        <v>21</v>
      </c>
      <c r="CR73" s="465">
        <f>CR72</f>
        <v>1</v>
      </c>
      <c r="CT73" s="88">
        <v>2</v>
      </c>
      <c r="CU73" s="95">
        <v>8</v>
      </c>
      <c r="CV73" s="90"/>
      <c r="CW73" s="99">
        <f>CU73/(CR73-CW71)</f>
        <v>9.3968253968253972</v>
      </c>
      <c r="CX73" s="100">
        <f>CU73/(CR73-CX71)</f>
        <v>10.962962962962964</v>
      </c>
      <c r="CY73" s="100">
        <f>CU73/(CR73-CY71)</f>
        <v>11.384615384615385</v>
      </c>
      <c r="CZ73" s="100">
        <f>CU73/(CR73-CZ71)</f>
        <v>10.763636363636364</v>
      </c>
      <c r="DA73" s="100">
        <f>CU73/(CR73-DA71)</f>
        <v>8.2222222222222214</v>
      </c>
      <c r="DC73" s="208">
        <v>2</v>
      </c>
      <c r="DD73" s="32">
        <f>(CW73/CW84*100+CW88)*CR73</f>
        <v>14.946236559139786</v>
      </c>
      <c r="DE73" s="202">
        <f>(CX73/CX84*100+CX88)*CR73</f>
        <v>14.275362318840582</v>
      </c>
      <c r="DF73" s="202">
        <f>(CY73/CY84*100+CY88)*CR73</f>
        <v>15.282485875706215</v>
      </c>
      <c r="DG73" s="202">
        <f>(CZ73/CZ84*100+CZ88)*CR73</f>
        <v>15.526315789473685</v>
      </c>
      <c r="DH73" s="383">
        <f>(DA73/DA84*100+DA88)*CR73</f>
        <v>13.39506172839506</v>
      </c>
      <c r="DJ73" s="10"/>
      <c r="DK73" s="10"/>
      <c r="DL73" s="10"/>
      <c r="DM73" s="86" t="s">
        <v>39</v>
      </c>
      <c r="DN73" s="10"/>
      <c r="DO73" s="10"/>
      <c r="DP73" s="10"/>
      <c r="DQ73" s="10"/>
      <c r="DR73" s="96" t="s">
        <v>20</v>
      </c>
      <c r="DS73" s="97">
        <v>20</v>
      </c>
      <c r="DT73" s="465">
        <f>DT72</f>
        <v>1</v>
      </c>
      <c r="DV73" s="88">
        <v>2</v>
      </c>
      <c r="DW73" s="95">
        <v>8</v>
      </c>
      <c r="DX73" s="90"/>
      <c r="DY73" s="99">
        <f>DW73/(DT73-DY71)</f>
        <v>9.3559322033898304</v>
      </c>
      <c r="DZ73" s="100">
        <f>DW73/(DT73-DZ71)</f>
        <v>11.04</v>
      </c>
      <c r="EA73" s="100">
        <f>DW73/(DT73-EA71)</f>
        <v>11.5</v>
      </c>
      <c r="EB73" s="100">
        <f>DW73/(DT73-EB71)</f>
        <v>10.823529411764707</v>
      </c>
      <c r="EC73" s="100">
        <f>DW73/(DT73-EC71)</f>
        <v>8.117647058823529</v>
      </c>
      <c r="EE73" s="208">
        <v>2</v>
      </c>
      <c r="EF73" s="32">
        <f>(DY73/DY84*100+DY88)*DT73</f>
        <v>16.935742971887549</v>
      </c>
      <c r="EG73" s="202">
        <f>(DZ73/DZ84*100+DZ88)*DT73</f>
        <v>16.266666666666666</v>
      </c>
      <c r="EH73" s="202">
        <f>(EA73/EA84*100+EA88)*DT73</f>
        <v>17.258333333333333</v>
      </c>
      <c r="EI73" s="202">
        <f>(EB73/EB84*100+EB88)*DT73</f>
        <v>17.487179487179489</v>
      </c>
      <c r="EJ73" s="383">
        <f>(EC73/EC84*100+EC88)*DT73</f>
        <v>17.606060606060606</v>
      </c>
    </row>
    <row r="74" spans="2:140" x14ac:dyDescent="0.2">
      <c r="B74" s="10"/>
      <c r="C74" s="102"/>
      <c r="D74" s="10"/>
      <c r="E74" s="86" t="s">
        <v>39</v>
      </c>
      <c r="F74" s="10"/>
      <c r="G74" s="10"/>
      <c r="H74" s="10"/>
      <c r="I74" s="10"/>
      <c r="J74" s="96" t="s">
        <v>8</v>
      </c>
      <c r="K74" s="39">
        <v>2</v>
      </c>
      <c r="L74" s="465">
        <f t="shared" ref="L74:L83" si="86">L73</f>
        <v>1</v>
      </c>
      <c r="N74" s="88">
        <v>3</v>
      </c>
      <c r="O74" s="95">
        <v>9</v>
      </c>
      <c r="P74" s="90"/>
      <c r="Q74" s="99">
        <f>O74/(L74-Q71)</f>
        <v>11.482758620689655</v>
      </c>
      <c r="R74" s="100">
        <f>O74/(L74-R71)</f>
        <v>13.591836734693878</v>
      </c>
      <c r="S74" s="100">
        <f>O74/(L74-S71)</f>
        <v>9.25</v>
      </c>
      <c r="T74" s="100">
        <f>O74/(L74-T71)</f>
        <v>13.32</v>
      </c>
      <c r="U74" s="100">
        <f>O74/(L74-U71)</f>
        <v>9.9402985074626873</v>
      </c>
      <c r="W74" s="88">
        <v>3</v>
      </c>
      <c r="X74" s="32">
        <f>(Q74/Q84*100+Q89)*$L74</f>
        <v>12.9375</v>
      </c>
      <c r="Y74" s="202">
        <f>(R74/R84*100+R89)*$L74</f>
        <v>12.298076923076922</v>
      </c>
      <c r="Z74" s="202">
        <f t="shared" ref="Z74" si="87">(S74/S84*100+S89)*$L74</f>
        <v>11.486111111111111</v>
      </c>
      <c r="AA74" s="202">
        <f t="shared" ref="AA74" si="88">(T74/T84*100+T89)*$L74</f>
        <v>11.567307692307693</v>
      </c>
      <c r="AB74" s="383">
        <f t="shared" ref="AB74" si="89">(U74/U84*100+U89)*$L74</f>
        <v>11.610294117647058</v>
      </c>
      <c r="AD74" s="10"/>
      <c r="AE74" s="102"/>
      <c r="AF74" s="10"/>
      <c r="AG74" s="86" t="s">
        <v>39</v>
      </c>
      <c r="AH74" s="10"/>
      <c r="AI74" s="10"/>
      <c r="AJ74" s="10"/>
      <c r="AK74" s="10"/>
      <c r="AL74" s="96" t="s">
        <v>8</v>
      </c>
      <c r="AM74" s="39">
        <v>9</v>
      </c>
      <c r="AN74" s="465">
        <f t="shared" ref="AN74:AN83" si="90">AN73</f>
        <v>1</v>
      </c>
      <c r="AP74" s="88">
        <v>3</v>
      </c>
      <c r="AQ74" s="95">
        <v>9</v>
      </c>
      <c r="AR74" s="90"/>
      <c r="AS74" s="99">
        <f>AQ74/(AN74-AS71)</f>
        <v>14.750000000000002</v>
      </c>
      <c r="AT74" s="100">
        <f>AQ74/(AN74-AT71)</f>
        <v>10.211538461538462</v>
      </c>
      <c r="AU74" s="100">
        <f>AQ74/(AN74-AU71)</f>
        <v>10.620000000000001</v>
      </c>
      <c r="AV74" s="100">
        <f>AQ74/(AN74-AV71)</f>
        <v>10.018867924528301</v>
      </c>
      <c r="AW74" s="100">
        <f>AQ74/(AN74-AW71)</f>
        <v>11.8</v>
      </c>
      <c r="AY74" s="200">
        <v>3</v>
      </c>
      <c r="AZ74" s="32">
        <f>(AS74/AS84*100+AS89)*AN74</f>
        <v>18.30833333333333</v>
      </c>
      <c r="BA74" s="202">
        <f>(AT74/AT84*100+AT89)*AN74</f>
        <v>22.136904761904759</v>
      </c>
      <c r="BB74" s="202">
        <f>(AU74/AU84*100+AU89)*AN74</f>
        <v>18.778508771929822</v>
      </c>
      <c r="BC74" s="202">
        <f>(AV74/AV84*100+AV89)*AN74</f>
        <v>19.120454545454542</v>
      </c>
      <c r="BD74" s="383">
        <f>(AW74/AW84*100+AW89)*AN74</f>
        <v>19.300925925925924</v>
      </c>
      <c r="BF74" s="10"/>
      <c r="BG74" s="102"/>
      <c r="BH74" s="10"/>
      <c r="BI74" s="86" t="s">
        <v>39</v>
      </c>
      <c r="BJ74" s="10"/>
      <c r="BK74" s="10"/>
      <c r="BL74" s="10"/>
      <c r="BM74" s="10"/>
      <c r="BN74" s="96" t="s">
        <v>8</v>
      </c>
      <c r="BO74" s="39">
        <v>24</v>
      </c>
      <c r="BP74" s="465">
        <f t="shared" ref="BP74:BP83" si="91">BP73</f>
        <v>1</v>
      </c>
      <c r="BR74" s="88">
        <v>3</v>
      </c>
      <c r="BS74" s="95">
        <v>9</v>
      </c>
      <c r="BT74" s="90"/>
      <c r="BU74" s="99">
        <f>BS74/(BP74-BU71)</f>
        <v>10.647887323943662</v>
      </c>
      <c r="BV74" s="100">
        <f>BS74/(BP74-BV71)</f>
        <v>12.193548387096774</v>
      </c>
      <c r="BW74" s="100">
        <f>BS74/(BP74-BW71)</f>
        <v>12.6</v>
      </c>
      <c r="BX74" s="100">
        <f>BS74/(BP74-BX71)</f>
        <v>12</v>
      </c>
      <c r="BY74" s="100">
        <f>BS74/(BP74-BY71)</f>
        <v>9.4500000000000011</v>
      </c>
      <c r="CA74" s="208">
        <v>3</v>
      </c>
      <c r="CB74" s="32">
        <f>(BU74/BU84*100+BU89)*BP74</f>
        <v>16.819444444444446</v>
      </c>
      <c r="CC74" s="202">
        <f>(BV74/BV84*100+BV89)*BP74</f>
        <v>15.817307692307693</v>
      </c>
      <c r="CD74" s="202">
        <f>(BW74/BW84*100+BW89)*BP74</f>
        <v>17.351190476190474</v>
      </c>
      <c r="CE74" s="202">
        <f>(BX74/BX84*100+BX89)*BP74</f>
        <v>14.528846153846153</v>
      </c>
      <c r="CF74" s="383">
        <f>(BY74/BY84*100+BY89)*BP74</f>
        <v>14.609375</v>
      </c>
      <c r="CH74" s="10"/>
      <c r="CI74" s="102"/>
      <c r="CJ74" s="10"/>
      <c r="CK74" s="86" t="s">
        <v>39</v>
      </c>
      <c r="CL74" s="10"/>
      <c r="CM74" s="10"/>
      <c r="CN74" s="10"/>
      <c r="CO74" s="10"/>
      <c r="CP74" s="96" t="s">
        <v>8</v>
      </c>
      <c r="CQ74" s="39">
        <v>22</v>
      </c>
      <c r="CR74" s="465">
        <f t="shared" ref="CR74:CR83" si="92">CR73</f>
        <v>1</v>
      </c>
      <c r="CT74" s="88">
        <v>3</v>
      </c>
      <c r="CU74" s="95">
        <v>9</v>
      </c>
      <c r="CV74" s="90"/>
      <c r="CW74" s="99">
        <f>CU74/(CR74-CW71)</f>
        <v>10.571428571428571</v>
      </c>
      <c r="CX74" s="100">
        <f>CU74/(CR74-CX71)</f>
        <v>12.333333333333334</v>
      </c>
      <c r="CY74" s="100">
        <f>CU74/(CR74-CY71)</f>
        <v>12.807692307692308</v>
      </c>
      <c r="CZ74" s="100">
        <f>CU74/(CR74-CZ71)</f>
        <v>12.109090909090909</v>
      </c>
      <c r="DA74" s="100">
        <f>CU74/(CR74-DA71)</f>
        <v>9.25</v>
      </c>
      <c r="DC74" s="208">
        <v>3</v>
      </c>
      <c r="DD74" s="32">
        <f>(CW74/CW84*100+CW89)*CR74</f>
        <v>18.633064516129032</v>
      </c>
      <c r="DE74" s="202">
        <f>(CX74/CX84*100+CX89)*CR74</f>
        <v>17.693840579710148</v>
      </c>
      <c r="DF74" s="202">
        <f>(CY74/CY84*100+CY89)*CR74</f>
        <v>19.103813559322035</v>
      </c>
      <c r="DG74" s="202">
        <f>(CZ74/CZ84*100+CZ89)*CR74</f>
        <v>19.445175438596493</v>
      </c>
      <c r="DH74" s="383">
        <f>(DA74/DA84*100+DA89)*CR74</f>
        <v>16.461419753086421</v>
      </c>
      <c r="DJ74" s="10"/>
      <c r="DK74" s="102"/>
      <c r="DL74" s="10"/>
      <c r="DM74" s="86" t="s">
        <v>39</v>
      </c>
      <c r="DN74" s="10"/>
      <c r="DO74" s="10"/>
      <c r="DP74" s="10"/>
      <c r="DQ74" s="10"/>
      <c r="DR74" s="96" t="s">
        <v>8</v>
      </c>
      <c r="DS74" s="39">
        <v>21</v>
      </c>
      <c r="DT74" s="465">
        <f t="shared" ref="DT74:DT83" si="93">DT73</f>
        <v>1</v>
      </c>
      <c r="DV74" s="88">
        <v>3</v>
      </c>
      <c r="DW74" s="95">
        <v>9</v>
      </c>
      <c r="DX74" s="90"/>
      <c r="DY74" s="99">
        <f>DW74/(DT74-DY71)</f>
        <v>10.525423728813559</v>
      </c>
      <c r="DZ74" s="100">
        <f>DW74/(DT74-DZ71)</f>
        <v>12.42</v>
      </c>
      <c r="EA74" s="100">
        <f>DW74/(DT74-EA71)</f>
        <v>12.9375</v>
      </c>
      <c r="EB74" s="100">
        <f>DW74/(DT74-EB71)</f>
        <v>12.176470588235295</v>
      </c>
      <c r="EC74" s="100">
        <f>DW74/(DT74-EC71)</f>
        <v>9.132352941176471</v>
      </c>
      <c r="EE74" s="208">
        <v>3</v>
      </c>
      <c r="EF74" s="32">
        <f>(DY74/DY84*100+DY89)*DT74</f>
        <v>10.603915662650602</v>
      </c>
      <c r="EG74" s="202">
        <f>(DZ74/DZ84*100+DZ89)*DT74</f>
        <v>10.508333333333333</v>
      </c>
      <c r="EH74" s="202">
        <f>(EA74/EA84*100+EA89)*DT74</f>
        <v>10.65</v>
      </c>
      <c r="EI74" s="202">
        <f>(EB74/EB84*100+EB89)*DT74</f>
        <v>10.682692307692308</v>
      </c>
      <c r="EJ74" s="383">
        <f>(EC74/EC84*100+EC89)*DT74</f>
        <v>10.699675324675324</v>
      </c>
    </row>
    <row r="75" spans="2:140" x14ac:dyDescent="0.2">
      <c r="B75" s="10"/>
      <c r="C75" s="102"/>
      <c r="D75" s="10"/>
      <c r="E75" s="86" t="s">
        <v>39</v>
      </c>
      <c r="F75" s="10"/>
      <c r="G75" s="10"/>
      <c r="H75" s="10"/>
      <c r="I75" s="10"/>
      <c r="J75" s="96" t="s">
        <v>16</v>
      </c>
      <c r="K75" s="97">
        <v>3</v>
      </c>
      <c r="L75" s="465">
        <f t="shared" si="86"/>
        <v>1</v>
      </c>
      <c r="N75" s="88">
        <v>4</v>
      </c>
      <c r="O75" s="95">
        <v>9</v>
      </c>
      <c r="P75" s="90"/>
      <c r="Q75" s="99">
        <f>O75/(L75-Q71)</f>
        <v>11.482758620689655</v>
      </c>
      <c r="R75" s="100">
        <f>O75/(L75-R71)</f>
        <v>13.591836734693878</v>
      </c>
      <c r="S75" s="100">
        <f>O75/(L75-S71)</f>
        <v>9.25</v>
      </c>
      <c r="T75" s="104">
        <f>O75/(L75-T71)</f>
        <v>13.32</v>
      </c>
      <c r="U75" s="100">
        <f>O75/(L75-U71)</f>
        <v>9.9402985074626873</v>
      </c>
      <c r="W75" s="88">
        <v>4</v>
      </c>
      <c r="X75" s="32">
        <f>(Q75/Q84*100+Q90)*$L75</f>
        <v>23.625</v>
      </c>
      <c r="Y75" s="202">
        <f>(R75/R84*100+R90)*$L75</f>
        <v>21.06730769230769</v>
      </c>
      <c r="Z75" s="202">
        <f t="shared" ref="Z75" si="94">(S75/S84*100+S90)*$L75</f>
        <v>17.819444444444443</v>
      </c>
      <c r="AA75" s="202">
        <f t="shared" ref="AA75" si="95">(T75/T84*100+T90)*$L75</f>
        <v>18.144230769230774</v>
      </c>
      <c r="AB75" s="383">
        <f t="shared" ref="AB75" si="96">(U75/U84*100+U90)*$L75</f>
        <v>18.316176470588236</v>
      </c>
      <c r="AD75" s="10"/>
      <c r="AE75" s="102"/>
      <c r="AF75" s="10"/>
      <c r="AG75" s="86" t="s">
        <v>39</v>
      </c>
      <c r="AH75" s="10"/>
      <c r="AI75" s="10"/>
      <c r="AJ75" s="10"/>
      <c r="AK75" s="10"/>
      <c r="AL75" s="96" t="s">
        <v>16</v>
      </c>
      <c r="AM75" s="97">
        <v>10</v>
      </c>
      <c r="AN75" s="465">
        <f t="shared" si="90"/>
        <v>1</v>
      </c>
      <c r="AP75" s="88">
        <v>4</v>
      </c>
      <c r="AQ75" s="95">
        <v>9</v>
      </c>
      <c r="AR75" s="90"/>
      <c r="AS75" s="99">
        <f>AQ75/(AN75-AS71)</f>
        <v>14.750000000000002</v>
      </c>
      <c r="AT75" s="100">
        <f>AQ75/(AN75-AT71)</f>
        <v>10.211538461538462</v>
      </c>
      <c r="AU75" s="100">
        <f>AQ75/(AN75-AU71)</f>
        <v>10.620000000000001</v>
      </c>
      <c r="AV75" s="104">
        <f>AQ75/(AN75-AV71)</f>
        <v>10.018867924528301</v>
      </c>
      <c r="AW75" s="100">
        <f>AQ75/(AN75-AW71)</f>
        <v>11.8</v>
      </c>
      <c r="AY75" s="200">
        <v>4</v>
      </c>
      <c r="AZ75" s="32">
        <f>(AS75/AS84*100+AS90)*AN75</f>
        <v>14.958333333333332</v>
      </c>
      <c r="BA75" s="202">
        <f>(AT75/AT84*100+AT90)*AN75</f>
        <v>17.351190476190474</v>
      </c>
      <c r="BB75" s="202">
        <f>(AU75/AU84*100+AU90)*AN75</f>
        <v>15.25219298245614</v>
      </c>
      <c r="BC75" s="202">
        <f>(AV75/AV84*100+AV90)*AN75</f>
        <v>15.46590909090909</v>
      </c>
      <c r="BD75" s="383">
        <f>(AW75/AW84*100+AW90)*AN75</f>
        <v>15.578703703703704</v>
      </c>
      <c r="BF75" s="10"/>
      <c r="BG75" s="102"/>
      <c r="BH75" s="10"/>
      <c r="BI75" s="86" t="s">
        <v>39</v>
      </c>
      <c r="BJ75" s="10"/>
      <c r="BK75" s="10"/>
      <c r="BL75" s="10"/>
      <c r="BM75" s="10"/>
      <c r="BN75" s="105" t="s">
        <v>16</v>
      </c>
      <c r="BO75" s="118">
        <v>25</v>
      </c>
      <c r="BP75" s="465">
        <f t="shared" si="91"/>
        <v>1</v>
      </c>
      <c r="BR75" s="88">
        <v>4</v>
      </c>
      <c r="BS75" s="95">
        <v>9</v>
      </c>
      <c r="BT75" s="90"/>
      <c r="BU75" s="99">
        <f>BS75/(BP75-BU71)</f>
        <v>10.647887323943662</v>
      </c>
      <c r="BV75" s="100">
        <f>BS75/(BP75-BV71)</f>
        <v>12.193548387096774</v>
      </c>
      <c r="BW75" s="100">
        <f>BS75/(BP75-BW71)</f>
        <v>12.6</v>
      </c>
      <c r="BX75" s="104">
        <f>BS75/(BP75-BX71)</f>
        <v>12</v>
      </c>
      <c r="BY75" s="100">
        <f>BS75/(BP75-BY71)</f>
        <v>9.4500000000000011</v>
      </c>
      <c r="CA75" s="208">
        <v>4</v>
      </c>
      <c r="CB75" s="32">
        <f>(BU75/BU84*100+BU90)*BP75</f>
        <v>19.797222222222224</v>
      </c>
      <c r="CC75" s="202">
        <f>(BV75/BV84*100+BV90)*BP75</f>
        <v>18.394230769230766</v>
      </c>
      <c r="CD75" s="202">
        <f>(BW75/BW84*100+BW90)*BP75</f>
        <v>20.541666666666664</v>
      </c>
      <c r="CE75" s="202">
        <f>(BX75/BX84*100+BX90)*BP75</f>
        <v>16.590384615384615</v>
      </c>
      <c r="CF75" s="383">
        <f>(BY75/BY84*100+BY90)*BP75</f>
        <v>16.703125</v>
      </c>
      <c r="CH75" s="10"/>
      <c r="CI75" s="102"/>
      <c r="CJ75" s="10"/>
      <c r="CK75" s="86" t="s">
        <v>39</v>
      </c>
      <c r="CL75" s="10"/>
      <c r="CM75" s="10"/>
      <c r="CN75" s="10"/>
      <c r="CO75" s="10"/>
      <c r="CP75" s="96" t="s">
        <v>16</v>
      </c>
      <c r="CQ75" s="97">
        <v>23</v>
      </c>
      <c r="CR75" s="465">
        <f t="shared" si="92"/>
        <v>1</v>
      </c>
      <c r="CT75" s="88">
        <v>4</v>
      </c>
      <c r="CU75" s="95">
        <v>9</v>
      </c>
      <c r="CV75" s="90"/>
      <c r="CW75" s="99">
        <f>CU75/(CR75-CW71)</f>
        <v>10.571428571428571</v>
      </c>
      <c r="CX75" s="100">
        <f>CU75/(CR75-CX71)</f>
        <v>12.333333333333334</v>
      </c>
      <c r="CY75" s="100">
        <f>CU75/(CR75-CY71)</f>
        <v>12.807692307692308</v>
      </c>
      <c r="CZ75" s="104">
        <f>CU75/(CR75-CZ71)</f>
        <v>12.109090909090909</v>
      </c>
      <c r="DA75" s="100">
        <f>CU75/(CR75-DA71)</f>
        <v>9.25</v>
      </c>
      <c r="DC75" s="208">
        <v>4</v>
      </c>
      <c r="DD75" s="32">
        <f>(CW75/CW84*100+CW90)*CR75</f>
        <v>10.69758064516129</v>
      </c>
      <c r="DE75" s="202">
        <f>(CX75/CX84*100+CX90)*CR75</f>
        <v>10.563405797101451</v>
      </c>
      <c r="DF75" s="202">
        <f>(CY75/CY84*100+CY90)*CR75</f>
        <v>10.764830508474576</v>
      </c>
      <c r="DG75" s="202">
        <f>(CZ75/CZ84*100+CZ90)*CR75</f>
        <v>10.81359649122807</v>
      </c>
      <c r="DH75" s="383">
        <f>(DA75/DA84*100+DA90)*CR75</f>
        <v>10.387345679012345</v>
      </c>
      <c r="DJ75" s="10"/>
      <c r="DK75" s="102"/>
      <c r="DL75" s="10"/>
      <c r="DM75" s="86" t="s">
        <v>39</v>
      </c>
      <c r="DN75" s="10"/>
      <c r="DO75" s="10"/>
      <c r="DP75" s="10"/>
      <c r="DQ75" s="10"/>
      <c r="DR75" s="96" t="s">
        <v>16</v>
      </c>
      <c r="DS75" s="97">
        <v>22</v>
      </c>
      <c r="DT75" s="465">
        <f t="shared" si="93"/>
        <v>1</v>
      </c>
      <c r="DV75" s="88">
        <v>4</v>
      </c>
      <c r="DW75" s="95">
        <v>9</v>
      </c>
      <c r="DX75" s="90"/>
      <c r="DY75" s="99">
        <f>DW75/(DT75-DY71)</f>
        <v>10.525423728813559</v>
      </c>
      <c r="DZ75" s="100">
        <f>DW75/(DT75-DZ71)</f>
        <v>12.42</v>
      </c>
      <c r="EA75" s="100">
        <f>DW75/(DT75-EA71)</f>
        <v>12.9375</v>
      </c>
      <c r="EB75" s="104">
        <f>DW75/(DT75-EB71)</f>
        <v>12.176470588235295</v>
      </c>
      <c r="EC75" s="100">
        <f>DW75/(DT75-EC71)</f>
        <v>9.132352941176471</v>
      </c>
      <c r="EE75" s="208">
        <v>4</v>
      </c>
      <c r="EF75" s="32">
        <f>(DY75/DY84*100+DY90)*DT75</f>
        <v>14.29066265060241</v>
      </c>
      <c r="EG75" s="202">
        <f>(DZ75/DZ84*100+DZ90)*DT75</f>
        <v>13.908333333333333</v>
      </c>
      <c r="EH75" s="202">
        <f>(EA75/EA84*100+EA90)*DT75</f>
        <v>14.475</v>
      </c>
      <c r="EI75" s="202">
        <f>(EB75/EB84*100+EB90)*DT75</f>
        <v>14.60576923076923</v>
      </c>
      <c r="EJ75" s="383">
        <f>(EC75/EC84*100+EC90)*DT75</f>
        <v>14.6737012987013</v>
      </c>
    </row>
    <row r="76" spans="2:140" x14ac:dyDescent="0.2">
      <c r="B76" s="10"/>
      <c r="C76" s="102"/>
      <c r="D76" s="10"/>
      <c r="E76" s="86" t="s">
        <v>39</v>
      </c>
      <c r="F76" s="10"/>
      <c r="G76" s="10"/>
      <c r="H76" s="10"/>
      <c r="I76" s="10"/>
      <c r="J76" s="96" t="s">
        <v>3</v>
      </c>
      <c r="K76" s="39">
        <v>4</v>
      </c>
      <c r="L76" s="465">
        <f t="shared" si="86"/>
        <v>1</v>
      </c>
      <c r="N76" s="88">
        <v>5</v>
      </c>
      <c r="O76" s="95">
        <v>8</v>
      </c>
      <c r="P76" s="90"/>
      <c r="Q76" s="99">
        <f>O76/(L76-Q71)</f>
        <v>10.206896551724139</v>
      </c>
      <c r="R76" s="100">
        <f>O76/(L76-R71)</f>
        <v>12.081632653061224</v>
      </c>
      <c r="S76" s="100">
        <f>O76/(L76-S71)</f>
        <v>8.2222222222222214</v>
      </c>
      <c r="T76" s="100">
        <f>O76/(L76-T71)</f>
        <v>11.84</v>
      </c>
      <c r="U76" s="100">
        <f>O76/(L76-U71)</f>
        <v>8.8358208955223887</v>
      </c>
      <c r="W76" s="88">
        <v>5</v>
      </c>
      <c r="X76" s="32">
        <f>(Q76/Q84*100+Q91)*$L76</f>
        <v>17.239583333333336</v>
      </c>
      <c r="Y76" s="202">
        <f>(R76/R84*100+R91)*$L76</f>
        <v>15.641025641025639</v>
      </c>
      <c r="Z76" s="202">
        <f t="shared" ref="Z76" si="97">(S76/S84*100+S91)*$L76</f>
        <v>13.611111111111111</v>
      </c>
      <c r="AA76" s="202">
        <f t="shared" ref="AA76" si="98">(T76/T84*100+T91)*$L76</f>
        <v>13.814102564102566</v>
      </c>
      <c r="AB76" s="383">
        <f t="shared" ref="AB76" si="99">(U76/U84*100+U91)*$L76</f>
        <v>13.921568627450979</v>
      </c>
      <c r="AD76" s="10"/>
      <c r="AE76" s="102"/>
      <c r="AF76" s="10"/>
      <c r="AG76" s="86" t="s">
        <v>39</v>
      </c>
      <c r="AH76" s="10"/>
      <c r="AI76" s="10"/>
      <c r="AJ76" s="10"/>
      <c r="AK76" s="10"/>
      <c r="AL76" s="96" t="s">
        <v>3</v>
      </c>
      <c r="AM76" s="39">
        <v>11</v>
      </c>
      <c r="AN76" s="465">
        <f t="shared" si="90"/>
        <v>1</v>
      </c>
      <c r="AP76" s="88">
        <v>5</v>
      </c>
      <c r="AQ76" s="95">
        <v>8</v>
      </c>
      <c r="AR76" s="90"/>
      <c r="AS76" s="99">
        <f>AQ76/(AN76-AS71)</f>
        <v>13.111111111111112</v>
      </c>
      <c r="AT76" s="100">
        <f>AQ76/(AN76-AT71)</f>
        <v>9.0769230769230766</v>
      </c>
      <c r="AU76" s="100">
        <f>AQ76/(AN76-AU71)</f>
        <v>9.4400000000000013</v>
      </c>
      <c r="AV76" s="100">
        <f>AQ76/(AN76-AV71)</f>
        <v>8.9056603773584904</v>
      </c>
      <c r="AW76" s="100">
        <f>AQ76/(AN76-AW71)</f>
        <v>10.488888888888889</v>
      </c>
      <c r="AY76" s="200">
        <v>5</v>
      </c>
      <c r="AZ76" s="32">
        <f>(AS76/AS84*100+AS91)*AN76</f>
        <v>16.149999999999999</v>
      </c>
      <c r="BA76" s="202">
        <f>(AT76/AT84*100+AT91)*AN76</f>
        <v>19.5</v>
      </c>
      <c r="BB76" s="202">
        <f>(AU76/AU84*100+AU91)*AN76</f>
        <v>16.561403508771928</v>
      </c>
      <c r="BC76" s="202">
        <f>(AV76/AV84*100+AV91)*AN76</f>
        <v>16.860606060606059</v>
      </c>
      <c r="BD76" s="383">
        <f>(AW76/AW84*100+AW91)*AN76</f>
        <v>17.018518518518519</v>
      </c>
      <c r="BF76" s="10"/>
      <c r="BG76" s="102"/>
      <c r="BH76" s="10"/>
      <c r="BI76" s="86" t="s">
        <v>39</v>
      </c>
      <c r="BJ76" s="10"/>
      <c r="BK76" s="10"/>
      <c r="BL76" s="10"/>
      <c r="BM76" s="10"/>
      <c r="BN76" s="96" t="s">
        <v>3</v>
      </c>
      <c r="BO76" s="39">
        <v>1</v>
      </c>
      <c r="BP76" s="465">
        <f t="shared" si="91"/>
        <v>1</v>
      </c>
      <c r="BR76" s="88">
        <v>5</v>
      </c>
      <c r="BS76" s="95">
        <v>8</v>
      </c>
      <c r="BT76" s="90"/>
      <c r="BU76" s="99">
        <f>BS76/(BP76-BU71)</f>
        <v>9.464788732394366</v>
      </c>
      <c r="BV76" s="100">
        <f>BS76/(BP76-BV71)</f>
        <v>10.838709677419354</v>
      </c>
      <c r="BW76" s="100">
        <f>BS76/(BP76-BW71)</f>
        <v>11.2</v>
      </c>
      <c r="BX76" s="100">
        <f>BS76/(BP76-BX71)</f>
        <v>10.666666666666666</v>
      </c>
      <c r="BY76" s="100">
        <f>BS76/(BP76-BY71)</f>
        <v>8.4</v>
      </c>
      <c r="CA76" s="208">
        <v>5</v>
      </c>
      <c r="CB76" s="32">
        <f>(BU76/BU84*100+BU91)*BP76</f>
        <v>9.8222222222222211</v>
      </c>
      <c r="CC76" s="202">
        <f>(BV76/BV84*100+BV91)*BP76</f>
        <v>9.6217948717948705</v>
      </c>
      <c r="CD76" s="202">
        <f>(BW76/BW84*100+BW91)*BP76</f>
        <v>9.928571428571427</v>
      </c>
      <c r="CE76" s="202">
        <f>(BX76/BX84*100+BX91)*BP76</f>
        <v>9.3641025641025628</v>
      </c>
      <c r="CF76" s="383">
        <f>(BY76/BY84*100+BY91)*BP76</f>
        <v>9.3802083333333321</v>
      </c>
      <c r="CH76" s="10"/>
      <c r="CI76" s="102"/>
      <c r="CJ76" s="10"/>
      <c r="CK76" s="86" t="s">
        <v>39</v>
      </c>
      <c r="CL76" s="10"/>
      <c r="CM76" s="10"/>
      <c r="CN76" s="10"/>
      <c r="CO76" s="10"/>
      <c r="CP76" s="96" t="s">
        <v>3</v>
      </c>
      <c r="CQ76" s="39">
        <v>24</v>
      </c>
      <c r="CR76" s="465">
        <f t="shared" si="92"/>
        <v>1</v>
      </c>
      <c r="CT76" s="88">
        <v>5</v>
      </c>
      <c r="CU76" s="95">
        <v>8</v>
      </c>
      <c r="CV76" s="90"/>
      <c r="CW76" s="99">
        <f>CU76/(CR76-CW71)</f>
        <v>9.3968253968253972</v>
      </c>
      <c r="CX76" s="100">
        <f>CU76/(CR76-CX71)</f>
        <v>10.962962962962964</v>
      </c>
      <c r="CY76" s="100">
        <f>CU76/(CR76-CY71)</f>
        <v>11.384615384615385</v>
      </c>
      <c r="CZ76" s="100">
        <f>CU76/(CR76-CZ71)</f>
        <v>10.763636363636364</v>
      </c>
      <c r="DA76" s="100">
        <f>CU76/(CR76-DA71)</f>
        <v>8.2222222222222214</v>
      </c>
      <c r="DC76" s="208">
        <v>5</v>
      </c>
      <c r="DD76" s="32">
        <f>(CW76/CW84*100+CW91)*CR76</f>
        <v>13.623655913978496</v>
      </c>
      <c r="DE76" s="202">
        <f>(CX76/CX84*100+CX91)*CR76</f>
        <v>13.086956521739131</v>
      </c>
      <c r="DF76" s="202">
        <f>(CY76/CY84*100+CY91)*CR76</f>
        <v>13.89265536723164</v>
      </c>
      <c r="DG76" s="202">
        <f>(CZ76/CZ84*100+CZ91)*CR76</f>
        <v>14.087719298245615</v>
      </c>
      <c r="DH76" s="383">
        <f>(DA76/DA84*100+DA91)*CR76</f>
        <v>12.382716049382715</v>
      </c>
      <c r="DJ76" s="10"/>
      <c r="DK76" s="102"/>
      <c r="DL76" s="10"/>
      <c r="DM76" s="86" t="s">
        <v>39</v>
      </c>
      <c r="DN76" s="10"/>
      <c r="DO76" s="10"/>
      <c r="DP76" s="10"/>
      <c r="DQ76" s="10"/>
      <c r="DR76" s="96" t="s">
        <v>3</v>
      </c>
      <c r="DS76" s="39">
        <v>23</v>
      </c>
      <c r="DT76" s="465">
        <f t="shared" si="93"/>
        <v>1</v>
      </c>
      <c r="DV76" s="88">
        <v>5</v>
      </c>
      <c r="DW76" s="95">
        <v>8</v>
      </c>
      <c r="DX76" s="90"/>
      <c r="DY76" s="99">
        <f>DW76/(DT76-DY71)</f>
        <v>9.3559322033898304</v>
      </c>
      <c r="DZ76" s="100">
        <f>DW76/(DT76-DZ71)</f>
        <v>11.04</v>
      </c>
      <c r="EA76" s="100">
        <f>DW76/(DT76-EA71)</f>
        <v>11.5</v>
      </c>
      <c r="EB76" s="100">
        <f>DW76/(DT76-EB71)</f>
        <v>10.823529411764707</v>
      </c>
      <c r="EC76" s="100">
        <f>DW76/(DT76-EC71)</f>
        <v>8.117647058823529</v>
      </c>
      <c r="EE76" s="208">
        <v>5</v>
      </c>
      <c r="EF76" s="32">
        <f>(DY76/DY84*100+DY91)*DT76</f>
        <v>10.791164658634537</v>
      </c>
      <c r="EG76" s="202">
        <f>(DZ76/DZ84*100+DZ91)*DT76</f>
        <v>10.599999999999998</v>
      </c>
      <c r="EH76" s="202">
        <f>(EA76/EA84*100+EA91)*DT76</f>
        <v>10.883333333333333</v>
      </c>
      <c r="EI76" s="202">
        <f>(EB76/EB84*100+EB91)*DT76</f>
        <v>10.948717948717947</v>
      </c>
      <c r="EJ76" s="383">
        <f>(EC76/EC84*100+EC91)*DT76</f>
        <v>10.982683982683982</v>
      </c>
    </row>
    <row r="77" spans="2:140" x14ac:dyDescent="0.2">
      <c r="B77" s="10"/>
      <c r="C77" s="102"/>
      <c r="D77" s="10"/>
      <c r="E77" s="86" t="s">
        <v>39</v>
      </c>
      <c r="F77" s="10"/>
      <c r="G77" s="10"/>
      <c r="H77" s="10"/>
      <c r="I77" s="10"/>
      <c r="J77" s="96" t="s">
        <v>6</v>
      </c>
      <c r="K77" s="97">
        <v>5</v>
      </c>
      <c r="L77" s="465">
        <f t="shared" si="86"/>
        <v>1</v>
      </c>
      <c r="N77" s="88">
        <v>6</v>
      </c>
      <c r="O77" s="95">
        <v>7</v>
      </c>
      <c r="P77" s="90"/>
      <c r="Q77" s="99">
        <f>O77/(L77-Q71)</f>
        <v>8.931034482758621</v>
      </c>
      <c r="R77" s="100">
        <f>O77/(L77-R71)</f>
        <v>10.571428571428571</v>
      </c>
      <c r="S77" s="100">
        <f>O77/(L77-S71)</f>
        <v>7.1944444444444438</v>
      </c>
      <c r="T77" s="100">
        <f>O77/(L77-T71)</f>
        <v>10.36</v>
      </c>
      <c r="U77" s="100">
        <f>O77/(L77-U71)</f>
        <v>7.7313432835820901</v>
      </c>
      <c r="W77" s="88">
        <v>6</v>
      </c>
      <c r="X77" s="32">
        <f>(Q77/Q84*100+Q92)*$L77</f>
        <v>19.760416666666668</v>
      </c>
      <c r="Y77" s="202">
        <f>(R77/R84*100+R92)*$L77</f>
        <v>17.522435897435894</v>
      </c>
      <c r="Z77" s="202">
        <f t="shared" ref="Z77" si="100">(S77/S84*100+S92)*$L77</f>
        <v>14.680555555555554</v>
      </c>
      <c r="AA77" s="202">
        <f t="shared" ref="AA77" si="101">(T77/T84*100+T92)*$L77</f>
        <v>14.964743589743591</v>
      </c>
      <c r="AB77" s="383">
        <f t="shared" ref="AB77" si="102">(U77/U84*100+U92)*$L77</f>
        <v>15.115196078431373</v>
      </c>
      <c r="AD77" s="10"/>
      <c r="AE77" s="102"/>
      <c r="AF77" s="10"/>
      <c r="AG77" s="86" t="s">
        <v>39</v>
      </c>
      <c r="AH77" s="10"/>
      <c r="AI77" s="10"/>
      <c r="AJ77" s="10"/>
      <c r="AK77" s="10"/>
      <c r="AL77" s="96" t="s">
        <v>6</v>
      </c>
      <c r="AM77" s="97">
        <v>12</v>
      </c>
      <c r="AN77" s="465">
        <f t="shared" si="90"/>
        <v>1</v>
      </c>
      <c r="AP77" s="88">
        <v>6</v>
      </c>
      <c r="AQ77" s="95">
        <v>7</v>
      </c>
      <c r="AR77" s="90"/>
      <c r="AS77" s="99">
        <f>AQ77/(AN77-AS71)</f>
        <v>11.472222222222223</v>
      </c>
      <c r="AT77" s="100">
        <f>AQ77/(AN77-AT71)</f>
        <v>7.9423076923076925</v>
      </c>
      <c r="AU77" s="100">
        <f>AQ77/(AN77-AU71)</f>
        <v>8.26</v>
      </c>
      <c r="AV77" s="100">
        <f>AQ77/(AN77-AV71)</f>
        <v>7.7924528301886786</v>
      </c>
      <c r="AW77" s="100">
        <f>AQ77/(AN77-AW71)</f>
        <v>9.1777777777777789</v>
      </c>
      <c r="AY77" s="200">
        <v>6</v>
      </c>
      <c r="AZ77" s="32">
        <f>(AS77/AS84*100+AS92)*AN77</f>
        <v>8.4083333333333332</v>
      </c>
      <c r="BA77" s="202">
        <f>(AT77/AT84*100+AT92)*AN77</f>
        <v>8.886904761904761</v>
      </c>
      <c r="BB77" s="202">
        <f>(AU77/AU84*100+AU92)*AN77</f>
        <v>8.4671052631578938</v>
      </c>
      <c r="BC77" s="202">
        <f>(AV77/AV84*100+AV92)*AN77</f>
        <v>8.5098484848484848</v>
      </c>
      <c r="BD77" s="383">
        <f>(AW77/AW84*100+AW92)*AN77</f>
        <v>8.5324074074074083</v>
      </c>
      <c r="BF77" s="10"/>
      <c r="BG77" s="102"/>
      <c r="BH77" s="10"/>
      <c r="BI77" s="86" t="s">
        <v>39</v>
      </c>
      <c r="BJ77" s="10"/>
      <c r="BK77" s="10"/>
      <c r="BL77" s="10"/>
      <c r="BM77" s="10"/>
      <c r="BN77" s="96" t="s">
        <v>6</v>
      </c>
      <c r="BO77" s="97">
        <v>2</v>
      </c>
      <c r="BP77" s="465">
        <f t="shared" si="91"/>
        <v>1</v>
      </c>
      <c r="BR77" s="88">
        <v>6</v>
      </c>
      <c r="BS77" s="95">
        <v>7</v>
      </c>
      <c r="BT77" s="90"/>
      <c r="BU77" s="99">
        <f>BS77/(BP77-BU71)</f>
        <v>8.28169014084507</v>
      </c>
      <c r="BV77" s="100">
        <f>BS77/(BP77-BV71)</f>
        <v>9.4838709677419342</v>
      </c>
      <c r="BW77" s="100">
        <f>BS77/(BP77-BW71)</f>
        <v>9.7999999999999989</v>
      </c>
      <c r="BX77" s="100">
        <f>BS77/(BP77-BX71)</f>
        <v>9.3333333333333339</v>
      </c>
      <c r="BY77" s="100">
        <f>BS77/(BP77-BY71)</f>
        <v>7.3500000000000005</v>
      </c>
      <c r="CA77" s="208">
        <v>6</v>
      </c>
      <c r="CB77" s="32">
        <f>(BU77/BU84*100+BU92)*BP77</f>
        <v>13.247222222222222</v>
      </c>
      <c r="CC77" s="202">
        <f>(BV77/BV84*100+BV92)*BP77</f>
        <v>12.445512820512819</v>
      </c>
      <c r="CD77" s="202">
        <f>(BW77/BW84*100+BW92)*BP77</f>
        <v>13.672619047619047</v>
      </c>
      <c r="CE77" s="202">
        <f>(BX77/BX84*100+BX92)*BP77</f>
        <v>11.41474358974359</v>
      </c>
      <c r="CF77" s="383">
        <f>(BY77/BY84*100+BY92)*BP77</f>
        <v>11.479166666666666</v>
      </c>
      <c r="CH77" s="10"/>
      <c r="CI77" s="102"/>
      <c r="CJ77" s="10"/>
      <c r="CK77" s="86" t="s">
        <v>39</v>
      </c>
      <c r="CL77" s="10"/>
      <c r="CM77" s="10"/>
      <c r="CN77" s="10"/>
      <c r="CO77" s="10"/>
      <c r="CP77" s="105" t="s">
        <v>6</v>
      </c>
      <c r="CQ77" s="118">
        <v>25</v>
      </c>
      <c r="CR77" s="465">
        <f t="shared" si="92"/>
        <v>1</v>
      </c>
      <c r="CT77" s="88">
        <v>6</v>
      </c>
      <c r="CU77" s="95">
        <v>7</v>
      </c>
      <c r="CV77" s="90"/>
      <c r="CW77" s="99">
        <f>CU77/(CR77-CW71)</f>
        <v>8.2222222222222232</v>
      </c>
      <c r="CX77" s="100">
        <f>CU77/(CR77-CX71)</f>
        <v>9.5925925925925934</v>
      </c>
      <c r="CY77" s="100">
        <f>CU77/(CR77-CY71)</f>
        <v>9.9615384615384617</v>
      </c>
      <c r="CZ77" s="100">
        <f>CU77/(CR77-CZ71)</f>
        <v>9.418181818181818</v>
      </c>
      <c r="DA77" s="100">
        <f>CU77/(CR77-DA71)</f>
        <v>7.1944444444444438</v>
      </c>
      <c r="DC77" s="208">
        <v>6</v>
      </c>
      <c r="DD77" s="32">
        <f>(CW77/CW84*100+CW92)*CR77</f>
        <v>9.9368279569892479</v>
      </c>
      <c r="DE77" s="202">
        <f>(CX77/CX84*100+CX92)*CR77</f>
        <v>9.6684782608695663</v>
      </c>
      <c r="DF77" s="202">
        <f>(CY77/CY84*100+CY92)*CR77</f>
        <v>10.07132768361582</v>
      </c>
      <c r="DG77" s="202">
        <f>(CZ77/CZ84*100+CZ92)*CR77</f>
        <v>10.168859649122808</v>
      </c>
      <c r="DH77" s="383">
        <f>(DA77/DA84*100+DA92)*CR77</f>
        <v>9.3163580246913575</v>
      </c>
      <c r="DJ77" s="10"/>
      <c r="DK77" s="102"/>
      <c r="DL77" s="10"/>
      <c r="DM77" s="86" t="s">
        <v>39</v>
      </c>
      <c r="DN77" s="10"/>
      <c r="DO77" s="10"/>
      <c r="DP77" s="10"/>
      <c r="DQ77" s="10"/>
      <c r="DR77" s="96" t="s">
        <v>6</v>
      </c>
      <c r="DS77" s="97">
        <v>24</v>
      </c>
      <c r="DT77" s="465">
        <f t="shared" si="93"/>
        <v>1</v>
      </c>
      <c r="DV77" s="88">
        <v>6</v>
      </c>
      <c r="DW77" s="95">
        <v>7</v>
      </c>
      <c r="DX77" s="90"/>
      <c r="DY77" s="99">
        <f>DW77/(DT77-DY71)</f>
        <v>8.1864406779661021</v>
      </c>
      <c r="DZ77" s="100">
        <f>DW77/(DT77-DZ71)</f>
        <v>9.66</v>
      </c>
      <c r="EA77" s="100">
        <f>DW77/(DT77-EA71)</f>
        <v>10.0625</v>
      </c>
      <c r="EB77" s="100">
        <f>DW77/(DT77-EB71)</f>
        <v>9.4705882352941178</v>
      </c>
      <c r="EC77" s="100">
        <f>DW77/(DT77-EC71)</f>
        <v>7.1029411764705879</v>
      </c>
      <c r="EE77" s="208">
        <v>6</v>
      </c>
      <c r="EF77" s="32">
        <f>(DY77/DY84*100+DY92)*DT77</f>
        <v>17.122991967871485</v>
      </c>
      <c r="EG77" s="202">
        <f>(DZ77/DZ84*100+DZ92)*DT77</f>
        <v>16.358333333333334</v>
      </c>
      <c r="EH77" s="202">
        <f>(EA77/EA84*100+EA92)*DT77</f>
        <v>17.491666666666667</v>
      </c>
      <c r="EI77" s="202">
        <f>(EB77/EB84*100+EB92)*DT77</f>
        <v>17.753205128205128</v>
      </c>
      <c r="EJ77" s="383">
        <f>(EC77/EC84*100+EC92)*DT77</f>
        <v>17.889069264069263</v>
      </c>
    </row>
    <row r="78" spans="2:140" x14ac:dyDescent="0.2">
      <c r="B78" s="10"/>
      <c r="C78" s="102"/>
      <c r="D78" s="10"/>
      <c r="E78" s="86" t="s">
        <v>39</v>
      </c>
      <c r="F78" s="10"/>
      <c r="G78" s="10"/>
      <c r="H78" s="10"/>
      <c r="I78" s="10"/>
      <c r="J78" s="96" t="s">
        <v>17</v>
      </c>
      <c r="K78" s="39">
        <v>6</v>
      </c>
      <c r="L78" s="465">
        <f t="shared" si="86"/>
        <v>1</v>
      </c>
      <c r="N78" s="88">
        <v>7</v>
      </c>
      <c r="O78" s="95">
        <v>7</v>
      </c>
      <c r="P78" s="90"/>
      <c r="Q78" s="99">
        <f>O78/(L78-Q71)</f>
        <v>8.931034482758621</v>
      </c>
      <c r="R78" s="100">
        <f>O78/(L78-R71)</f>
        <v>10.571428571428571</v>
      </c>
      <c r="S78" s="100">
        <f>O78/(L78-S71)</f>
        <v>7.1944444444444438</v>
      </c>
      <c r="T78" s="100">
        <f>O78/(L78-T71)</f>
        <v>10.36</v>
      </c>
      <c r="U78" s="100">
        <f>O78/(L78-U71)</f>
        <v>7.7313432835820901</v>
      </c>
      <c r="W78" s="88">
        <v>7</v>
      </c>
      <c r="X78" s="32">
        <f>(Q78/Q84*100+Q93)*$L78</f>
        <v>9.0729166666666679</v>
      </c>
      <c r="Y78" s="202">
        <f>(R78/R84*100+R93)*$L78</f>
        <v>8.753205128205126</v>
      </c>
      <c r="Z78" s="202">
        <f t="shared" ref="Z78" si="103">(S78/S84*100+S93)*$L78</f>
        <v>8.3472222222222214</v>
      </c>
      <c r="AA78" s="202">
        <f t="shared" ref="AA78" si="104">(T78/T84*100+T93)*$L78</f>
        <v>8.3878205128205128</v>
      </c>
      <c r="AB78" s="383">
        <f t="shared" ref="AB78" si="105">(U78/U84*100+U93)*$L78</f>
        <v>8.4093137254901968</v>
      </c>
      <c r="AD78" s="10"/>
      <c r="AE78" s="102"/>
      <c r="AF78" s="10"/>
      <c r="AG78" s="86" t="s">
        <v>39</v>
      </c>
      <c r="AH78" s="10"/>
      <c r="AI78" s="10"/>
      <c r="AJ78" s="10"/>
      <c r="AK78" s="10"/>
      <c r="AL78" s="96" t="s">
        <v>17</v>
      </c>
      <c r="AM78" s="39">
        <v>13</v>
      </c>
      <c r="AN78" s="465">
        <f t="shared" si="90"/>
        <v>1</v>
      </c>
      <c r="AP78" s="88">
        <v>7</v>
      </c>
      <c r="AQ78" s="95">
        <v>7</v>
      </c>
      <c r="AR78" s="90"/>
      <c r="AS78" s="99">
        <f>AQ78/(AN78-AS71)</f>
        <v>11.472222222222223</v>
      </c>
      <c r="AT78" s="100">
        <f>AQ78/(AN78-AT71)</f>
        <v>7.9423076923076925</v>
      </c>
      <c r="AU78" s="100">
        <f>AQ78/(AN78-AU71)</f>
        <v>8.26</v>
      </c>
      <c r="AV78" s="100">
        <f>AQ78/(AN78-AV71)</f>
        <v>7.7924528301886786</v>
      </c>
      <c r="AW78" s="100">
        <f>AQ78/(AN78-AW71)</f>
        <v>9.1777777777777789</v>
      </c>
      <c r="AY78" s="200">
        <v>7</v>
      </c>
      <c r="AZ78" s="32">
        <f>(AS78/AS84*100+AS93)*AN78</f>
        <v>11.758333333333333</v>
      </c>
      <c r="BA78" s="202">
        <f>(AT78/AT84*100+AT93)*AN78</f>
        <v>13.672619047619047</v>
      </c>
      <c r="BB78" s="202">
        <f>(AU78/AU84*100+AU93)*AN78</f>
        <v>11.993421052631579</v>
      </c>
      <c r="BC78" s="202">
        <f>(AV78/AV84*100+AV93)*AN78</f>
        <v>12.164393939393939</v>
      </c>
      <c r="BD78" s="383">
        <f>(AW78/AW84*100+AW93)*AN78</f>
        <v>12.25462962962963</v>
      </c>
      <c r="BF78" s="10"/>
      <c r="BG78" s="102"/>
      <c r="BH78" s="10"/>
      <c r="BI78" s="86" t="s">
        <v>39</v>
      </c>
      <c r="BJ78" s="10"/>
      <c r="BK78" s="10"/>
      <c r="BL78" s="10"/>
      <c r="BM78" s="10"/>
      <c r="BN78" s="96" t="s">
        <v>17</v>
      </c>
      <c r="BO78" s="39">
        <v>3</v>
      </c>
      <c r="BP78" s="465">
        <f t="shared" si="91"/>
        <v>1</v>
      </c>
      <c r="BR78" s="88">
        <v>7</v>
      </c>
      <c r="BS78" s="95">
        <v>7</v>
      </c>
      <c r="BT78" s="90"/>
      <c r="BU78" s="99">
        <f>BS78/(BP78-BU71)</f>
        <v>8.28169014084507</v>
      </c>
      <c r="BV78" s="100">
        <f>BS78/(BP78-BV71)</f>
        <v>9.4838709677419342</v>
      </c>
      <c r="BW78" s="100">
        <f>BS78/(BP78-BW71)</f>
        <v>9.7999999999999989</v>
      </c>
      <c r="BX78" s="100">
        <f>BS78/(BP78-BX71)</f>
        <v>9.3333333333333339</v>
      </c>
      <c r="BY78" s="100">
        <f>BS78/(BP78-BY71)</f>
        <v>7.3500000000000005</v>
      </c>
      <c r="CA78" s="208">
        <v>7</v>
      </c>
      <c r="CB78" s="32">
        <f>(BU78/BU84*100+BU93)*BP78</f>
        <v>10.269444444444444</v>
      </c>
      <c r="CC78" s="202">
        <f>(BV78/BV84*100+BV93)*BP78</f>
        <v>9.8685897435897427</v>
      </c>
      <c r="CD78" s="202">
        <f>(BW78/BW84*100+BW93)*BP78</f>
        <v>10.482142857142856</v>
      </c>
      <c r="CE78" s="202">
        <f>(BX78/BX84*100+BX93)*BP78</f>
        <v>9.3532051282051292</v>
      </c>
      <c r="CF78" s="383">
        <f>(BY78/BY84*100+BY93)*BP78</f>
        <v>9.3854166666666661</v>
      </c>
      <c r="CH78" s="10"/>
      <c r="CI78" s="102"/>
      <c r="CJ78" s="10"/>
      <c r="CK78" s="86" t="s">
        <v>39</v>
      </c>
      <c r="CL78" s="10"/>
      <c r="CM78" s="10"/>
      <c r="CN78" s="10"/>
      <c r="CO78" s="10"/>
      <c r="CP78" s="96" t="s">
        <v>17</v>
      </c>
      <c r="CQ78" s="39">
        <v>1</v>
      </c>
      <c r="CR78" s="465">
        <f t="shared" si="92"/>
        <v>1</v>
      </c>
      <c r="CT78" s="88">
        <v>7</v>
      </c>
      <c r="CU78" s="95">
        <v>7</v>
      </c>
      <c r="CV78" s="90"/>
      <c r="CW78" s="99">
        <f>CU78/(CR78-CW71)</f>
        <v>8.2222222222222232</v>
      </c>
      <c r="CX78" s="100">
        <f>CU78/(CR78-CX71)</f>
        <v>9.5925925925925934</v>
      </c>
      <c r="CY78" s="100">
        <f>CU78/(CR78-CY71)</f>
        <v>9.9615384615384617</v>
      </c>
      <c r="CZ78" s="100">
        <f>CU78/(CR78-CZ71)</f>
        <v>9.418181818181818</v>
      </c>
      <c r="DA78" s="100">
        <f>CU78/(CR78-DA71)</f>
        <v>7.1944444444444438</v>
      </c>
      <c r="DC78" s="208">
        <v>7</v>
      </c>
      <c r="DD78" s="32">
        <f>(CW78/CW84*100+CW93)*CR78</f>
        <v>17.872311827956988</v>
      </c>
      <c r="DE78" s="202">
        <f>(CX78/CX84*100+CX93)*CR78</f>
        <v>16.798913043478262</v>
      </c>
      <c r="DF78" s="202">
        <f>(CY78/CY84*100+CY93)*CR78</f>
        <v>18.410310734463277</v>
      </c>
      <c r="DG78" s="202">
        <f>(CZ78/CZ84*100+CZ93)*CR78</f>
        <v>18.80043859649123</v>
      </c>
      <c r="DH78" s="383">
        <f>(DA78/DA84*100+DA93)*CR78</f>
        <v>15.390432098765432</v>
      </c>
      <c r="DJ78" s="10"/>
      <c r="DK78" s="102"/>
      <c r="DL78" s="10"/>
      <c r="DM78" s="86" t="s">
        <v>39</v>
      </c>
      <c r="DN78" s="10"/>
      <c r="DO78" s="10"/>
      <c r="DP78" s="10"/>
      <c r="DQ78" s="10"/>
      <c r="DR78" s="105" t="s">
        <v>17</v>
      </c>
      <c r="DS78" s="117">
        <v>25</v>
      </c>
      <c r="DT78" s="465">
        <f t="shared" si="93"/>
        <v>1</v>
      </c>
      <c r="DV78" s="88">
        <v>7</v>
      </c>
      <c r="DW78" s="95">
        <v>7</v>
      </c>
      <c r="DX78" s="90"/>
      <c r="DY78" s="99">
        <f>DW78/(DT78-DY71)</f>
        <v>8.1864406779661021</v>
      </c>
      <c r="DZ78" s="100">
        <f>DW78/(DT78-DZ71)</f>
        <v>9.66</v>
      </c>
      <c r="EA78" s="100">
        <f>DW78/(DT78-EA71)</f>
        <v>10.0625</v>
      </c>
      <c r="EB78" s="100">
        <f>DW78/(DT78-EB71)</f>
        <v>9.4705882352941178</v>
      </c>
      <c r="EC78" s="100">
        <f>DW78/(DT78-EC71)</f>
        <v>7.1029411764705879</v>
      </c>
      <c r="EE78" s="208">
        <v>7</v>
      </c>
      <c r="EF78" s="32">
        <f>(DY78/DY84*100+DY93)*DT78</f>
        <v>13.436244979919678</v>
      </c>
      <c r="EG78" s="202">
        <f>(DZ78/DZ84*100+DZ93)*DT78</f>
        <v>12.958333333333334</v>
      </c>
      <c r="EH78" s="202">
        <f>(EA78/EA84*100+EA93)*DT78</f>
        <v>13.666666666666668</v>
      </c>
      <c r="EI78" s="202">
        <f>(EB78/EB84*100+EB93)*DT78</f>
        <v>13.830128205128204</v>
      </c>
      <c r="EJ78" s="383">
        <f>(EC78/EC84*100+EC93)*DT78</f>
        <v>13.91504329004329</v>
      </c>
    </row>
    <row r="79" spans="2:140" x14ac:dyDescent="0.2">
      <c r="B79" s="10"/>
      <c r="C79" s="102"/>
      <c r="D79" s="10"/>
      <c r="E79" s="86" t="s">
        <v>39</v>
      </c>
      <c r="F79" s="10"/>
      <c r="G79" s="10"/>
      <c r="H79" s="10"/>
      <c r="I79" s="10"/>
      <c r="J79" s="96" t="s">
        <v>24</v>
      </c>
      <c r="K79" s="97">
        <v>7</v>
      </c>
      <c r="L79" s="465">
        <f t="shared" si="86"/>
        <v>1</v>
      </c>
      <c r="N79" s="88">
        <v>8</v>
      </c>
      <c r="O79" s="95">
        <v>8</v>
      </c>
      <c r="P79" s="90"/>
      <c r="Q79" s="99">
        <f>O79/(L79-Q71)</f>
        <v>10.206896551724139</v>
      </c>
      <c r="R79" s="100">
        <f>O79/(L79-R71)</f>
        <v>12.081632653061224</v>
      </c>
      <c r="S79" s="100">
        <f>O79/(L79-S71)</f>
        <v>8.2222222222222214</v>
      </c>
      <c r="T79" s="100">
        <f>O79/(L79-T71)</f>
        <v>11.84</v>
      </c>
      <c r="U79" s="100">
        <f>O79/(L79-U71)</f>
        <v>8.8358208955223887</v>
      </c>
      <c r="W79" s="88">
        <v>8</v>
      </c>
      <c r="X79" s="32">
        <f>(Q79/Q84*100+Q94)*$L79</f>
        <v>15.458333333333334</v>
      </c>
      <c r="Y79" s="202">
        <f>(R79/R84*100+R94)*$L79</f>
        <v>14.179487179487179</v>
      </c>
      <c r="Z79" s="202">
        <f t="shared" ref="Z79" si="106">(S79/S84*100+S94)*$L79</f>
        <v>12.555555555555554</v>
      </c>
      <c r="AA79" s="202">
        <f t="shared" ref="AA79" si="107">(T79/T84*100+T94)*$L79</f>
        <v>12.717948717948719</v>
      </c>
      <c r="AB79" s="383">
        <f t="shared" ref="AB79" si="108">(U79/U84*100+U94)*$L79</f>
        <v>12.80392156862745</v>
      </c>
      <c r="AD79" s="10"/>
      <c r="AE79" s="102"/>
      <c r="AF79" s="10"/>
      <c r="AG79" s="86" t="s">
        <v>39</v>
      </c>
      <c r="AH79" s="10"/>
      <c r="AI79" s="10"/>
      <c r="AJ79" s="10"/>
      <c r="AK79" s="10"/>
      <c r="AL79" s="96" t="s">
        <v>24</v>
      </c>
      <c r="AM79" s="97">
        <v>14</v>
      </c>
      <c r="AN79" s="465">
        <f t="shared" si="90"/>
        <v>1</v>
      </c>
      <c r="AP79" s="88">
        <v>8</v>
      </c>
      <c r="AQ79" s="95">
        <v>8</v>
      </c>
      <c r="AR79" s="90"/>
      <c r="AS79" s="99">
        <f>AQ79/(AN79-AS71)</f>
        <v>13.111111111111112</v>
      </c>
      <c r="AT79" s="100">
        <f>AQ79/(AN79-AT71)</f>
        <v>9.0769230769230766</v>
      </c>
      <c r="AU79" s="100">
        <f>AQ79/(AN79-AU71)</f>
        <v>9.4400000000000013</v>
      </c>
      <c r="AV79" s="100">
        <f>AQ79/(AN79-AV71)</f>
        <v>8.9056603773584904</v>
      </c>
      <c r="AW79" s="100">
        <f>AQ79/(AN79-AW71)</f>
        <v>10.488888888888889</v>
      </c>
      <c r="AY79" s="200">
        <v>8</v>
      </c>
      <c r="AZ79" s="32">
        <f>(AS79/AS84*100+AS94)*AN79</f>
        <v>10.566666666666666</v>
      </c>
      <c r="BA79" s="202">
        <f>(AT79/AT84*100+AT94)*AN79</f>
        <v>11.523809523809522</v>
      </c>
      <c r="BB79" s="202">
        <f>(AU79/AU84*100+AU94)*AN79</f>
        <v>10.684210526315788</v>
      </c>
      <c r="BC79" s="202">
        <f>(AV79/AV84*100+AV94)*AN79</f>
        <v>10.769696969696968</v>
      </c>
      <c r="BD79" s="383">
        <f>(AW79/AW84*100+AW94)*AN79</f>
        <v>10.814814814814813</v>
      </c>
      <c r="BF79" s="10"/>
      <c r="BG79" s="102"/>
      <c r="BH79" s="10"/>
      <c r="BI79" s="86" t="s">
        <v>39</v>
      </c>
      <c r="BJ79" s="10"/>
      <c r="BK79" s="10"/>
      <c r="BL79" s="10"/>
      <c r="BM79" s="10"/>
      <c r="BN79" s="96" t="s">
        <v>24</v>
      </c>
      <c r="BO79" s="97">
        <v>4</v>
      </c>
      <c r="BP79" s="465">
        <f t="shared" si="91"/>
        <v>1</v>
      </c>
      <c r="BR79" s="88">
        <v>8</v>
      </c>
      <c r="BS79" s="95">
        <v>8</v>
      </c>
      <c r="BT79" s="90"/>
      <c r="BU79" s="99">
        <f>BS79/(BP79-BU71)</f>
        <v>9.464788732394366</v>
      </c>
      <c r="BV79" s="100">
        <f>BS79/(BP79-BV71)</f>
        <v>10.838709677419354</v>
      </c>
      <c r="BW79" s="100">
        <f>BS79/(BP79-BW71)</f>
        <v>11.2</v>
      </c>
      <c r="BX79" s="100">
        <f>BS79/(BP79-BX71)</f>
        <v>10.666666666666666</v>
      </c>
      <c r="BY79" s="100">
        <f>BS79/(BP79-BY71)</f>
        <v>8.4</v>
      </c>
      <c r="CA79" s="208">
        <v>8</v>
      </c>
      <c r="CB79" s="32">
        <f>(BU79/BU84*100+BU94)*BP79</f>
        <v>20.244444444444444</v>
      </c>
      <c r="CC79" s="202">
        <f>(BV79/BV84*100+BV94)*BP79</f>
        <v>18.641025641025639</v>
      </c>
      <c r="CD79" s="202">
        <f>(BW79/BW84*100+BW94)*BP79</f>
        <v>21.095238095238095</v>
      </c>
      <c r="CE79" s="202">
        <f>(BX79/BX84*100+BX94)*BP79</f>
        <v>16.579487179487177</v>
      </c>
      <c r="CF79" s="383">
        <f>(BY79/BY84*100+BY94)*BP79</f>
        <v>16.708333333333332</v>
      </c>
      <c r="CH79" s="10"/>
      <c r="CI79" s="102"/>
      <c r="CJ79" s="10"/>
      <c r="CK79" s="86" t="s">
        <v>39</v>
      </c>
      <c r="CL79" s="10"/>
      <c r="CM79" s="10"/>
      <c r="CN79" s="10"/>
      <c r="CO79" s="10"/>
      <c r="CP79" s="96" t="s">
        <v>24</v>
      </c>
      <c r="CQ79" s="97">
        <v>2</v>
      </c>
      <c r="CR79" s="465">
        <f t="shared" si="92"/>
        <v>1</v>
      </c>
      <c r="CT79" s="88">
        <v>8</v>
      </c>
      <c r="CU79" s="95">
        <v>8</v>
      </c>
      <c r="CV79" s="90"/>
      <c r="CW79" s="99">
        <f>CU79/(CR79-CW71)</f>
        <v>9.3968253968253972</v>
      </c>
      <c r="CX79" s="100">
        <f>CU79/(CR79-CX71)</f>
        <v>10.962962962962964</v>
      </c>
      <c r="CY79" s="100">
        <f>CU79/(CR79-CY71)</f>
        <v>11.384615384615385</v>
      </c>
      <c r="CZ79" s="100">
        <f>CU79/(CR79-CZ71)</f>
        <v>10.763636363636364</v>
      </c>
      <c r="DA79" s="100">
        <f>CU79/(CR79-DA71)</f>
        <v>8.2222222222222214</v>
      </c>
      <c r="DC79" s="208">
        <v>8</v>
      </c>
      <c r="DD79" s="32">
        <f>(CW79/CW84*100+CW94)*CR79</f>
        <v>14.946236559139786</v>
      </c>
      <c r="DE79" s="202">
        <f>(CX79/CX84*100+CX94)*CR79</f>
        <v>14.275362318840582</v>
      </c>
      <c r="DF79" s="202">
        <f>(CY79/CY84*100+CY94)*CR79</f>
        <v>15.282485875706215</v>
      </c>
      <c r="DG79" s="202">
        <f>(CZ79/CZ84*100+CZ94)*CR79</f>
        <v>15.526315789473685</v>
      </c>
      <c r="DH79" s="383">
        <f>(DA79/DA84*100+DA94)*CR79</f>
        <v>13.39506172839506</v>
      </c>
      <c r="DJ79" s="10"/>
      <c r="DK79" s="102"/>
      <c r="DL79" s="10"/>
      <c r="DM79" s="86" t="s">
        <v>39</v>
      </c>
      <c r="DN79" s="10"/>
      <c r="DO79" s="10"/>
      <c r="DP79" s="10"/>
      <c r="DQ79" s="10"/>
      <c r="DR79" s="96" t="s">
        <v>24</v>
      </c>
      <c r="DS79" s="97">
        <v>1</v>
      </c>
      <c r="DT79" s="465">
        <f t="shared" si="93"/>
        <v>1</v>
      </c>
      <c r="DV79" s="88">
        <v>8</v>
      </c>
      <c r="DW79" s="95">
        <v>8</v>
      </c>
      <c r="DX79" s="90"/>
      <c r="DY79" s="99">
        <f>DW79/(DT79-DY71)</f>
        <v>9.3559322033898304</v>
      </c>
      <c r="DZ79" s="100">
        <f>DW79/(DT79-DZ71)</f>
        <v>11.04</v>
      </c>
      <c r="EA79" s="100">
        <f>DW79/(DT79-EA71)</f>
        <v>11.5</v>
      </c>
      <c r="EB79" s="100">
        <f>DW79/(DT79-EB71)</f>
        <v>10.823529411764707</v>
      </c>
      <c r="EC79" s="100">
        <f>DW79/(DT79-EC71)</f>
        <v>8.117647058823529</v>
      </c>
      <c r="EE79" s="208">
        <v>8</v>
      </c>
      <c r="EF79" s="32">
        <f>(DY79/DY84*100+DY94)*DT79</f>
        <v>16.935742971887549</v>
      </c>
      <c r="EG79" s="202">
        <f>(DZ79/DZ84*100+DZ94)*DT79</f>
        <v>16.266666666666666</v>
      </c>
      <c r="EH79" s="202">
        <f>(EA79/EA84*100+EA94)*DT79</f>
        <v>17.258333333333333</v>
      </c>
      <c r="EI79" s="202">
        <f>(EB79/EB84*100+EB94)*DT79</f>
        <v>17.487179487179489</v>
      </c>
      <c r="EJ79" s="383">
        <f>(EC79/EC84*100+EC94)*DT79</f>
        <v>17.606060606060606</v>
      </c>
    </row>
    <row r="80" spans="2:140" x14ac:dyDescent="0.2">
      <c r="E80" s="86" t="s">
        <v>39</v>
      </c>
      <c r="J80" s="96" t="s">
        <v>23</v>
      </c>
      <c r="K80" s="39">
        <v>8</v>
      </c>
      <c r="L80" s="465">
        <f t="shared" si="86"/>
        <v>1</v>
      </c>
      <c r="N80" s="88">
        <v>9</v>
      </c>
      <c r="O80" s="95">
        <v>9</v>
      </c>
      <c r="P80" s="90"/>
      <c r="Q80" s="99">
        <f>O80/(L80-Q71)</f>
        <v>11.482758620689655</v>
      </c>
      <c r="R80" s="100">
        <f>O80/(L80-R71)</f>
        <v>13.591836734693878</v>
      </c>
      <c r="S80" s="100">
        <f>O80/(L80-S71)</f>
        <v>9.25</v>
      </c>
      <c r="T80" s="100">
        <f>O80/(L80-T71)</f>
        <v>13.32</v>
      </c>
      <c r="U80" s="100">
        <f>O80/(L80-U71)</f>
        <v>9.9402985074626873</v>
      </c>
      <c r="W80" s="88">
        <v>9</v>
      </c>
      <c r="X80" s="32">
        <f>(Q80/Q84*100+Q95)*$L80</f>
        <v>12.9375</v>
      </c>
      <c r="Y80" s="202">
        <f>(R80/R84*100+R95)*$L80</f>
        <v>12.298076923076922</v>
      </c>
      <c r="Z80" s="202">
        <f t="shared" ref="Z80" si="109">(S80/S84*100+S95)*$L80</f>
        <v>11.486111111111111</v>
      </c>
      <c r="AA80" s="202">
        <f t="shared" ref="AA80" si="110">(T80/T84*100+T95)*$L80</f>
        <v>11.567307692307693</v>
      </c>
      <c r="AB80" s="383">
        <f t="shared" ref="AB80" si="111">(U80/U84*100+U95)*$L80</f>
        <v>11.610294117647058</v>
      </c>
      <c r="AG80" s="86" t="s">
        <v>39</v>
      </c>
      <c r="AL80" s="96" t="s">
        <v>23</v>
      </c>
      <c r="AM80" s="39">
        <v>15</v>
      </c>
      <c r="AN80" s="465">
        <f t="shared" si="90"/>
        <v>1</v>
      </c>
      <c r="AP80" s="88">
        <v>9</v>
      </c>
      <c r="AQ80" s="95">
        <v>9</v>
      </c>
      <c r="AR80" s="90"/>
      <c r="AS80" s="99">
        <f>AQ80/(AN80-AS71)</f>
        <v>14.750000000000002</v>
      </c>
      <c r="AT80" s="100">
        <f>AQ80/(AN80-AT71)</f>
        <v>10.211538461538462</v>
      </c>
      <c r="AU80" s="100">
        <f>AQ80/(AN80-AU71)</f>
        <v>10.620000000000001</v>
      </c>
      <c r="AV80" s="100">
        <f>AQ80/(AN80-AV71)</f>
        <v>10.018867924528301</v>
      </c>
      <c r="AW80" s="100">
        <f>AQ80/(AN80-AW71)</f>
        <v>11.8</v>
      </c>
      <c r="AY80" s="200">
        <v>9</v>
      </c>
      <c r="AZ80" s="32">
        <f>(AS80/AS84*100+AS95)*AN80</f>
        <v>18.30833333333333</v>
      </c>
      <c r="BA80" s="202">
        <f>(AT80/AT84*100+AT95)*AN80</f>
        <v>22.136904761904759</v>
      </c>
      <c r="BB80" s="202">
        <f>(AU80/AU84*100+AU95)*AN80</f>
        <v>18.778508771929822</v>
      </c>
      <c r="BC80" s="202">
        <f>(AV80/AV84*100+AV95)*AN80</f>
        <v>19.120454545454542</v>
      </c>
      <c r="BD80" s="383">
        <f>(AW80/AW84*100+AW95)*AN80</f>
        <v>19.300925925925924</v>
      </c>
      <c r="BI80" s="86" t="s">
        <v>39</v>
      </c>
      <c r="BN80" s="96" t="s">
        <v>23</v>
      </c>
      <c r="BO80" s="39">
        <v>5</v>
      </c>
      <c r="BP80" s="465">
        <f t="shared" si="91"/>
        <v>1</v>
      </c>
      <c r="BR80" s="88">
        <v>9</v>
      </c>
      <c r="BS80" s="95">
        <v>9</v>
      </c>
      <c r="BT80" s="90"/>
      <c r="BU80" s="99">
        <f>BS80/(BP80-BU71)</f>
        <v>10.647887323943662</v>
      </c>
      <c r="BV80" s="100">
        <f>BS80/(BP80-BV71)</f>
        <v>12.193548387096774</v>
      </c>
      <c r="BW80" s="100">
        <f>BS80/(BP80-BW71)</f>
        <v>12.6</v>
      </c>
      <c r="BX80" s="100">
        <f>BS80/(BP80-BX71)</f>
        <v>12</v>
      </c>
      <c r="BY80" s="100">
        <f>BS80/(BP80-BY71)</f>
        <v>9.4500000000000011</v>
      </c>
      <c r="CA80" s="208">
        <v>9</v>
      </c>
      <c r="CB80" s="32">
        <f>(BU80/BU84*100+BU95)*BP80</f>
        <v>16.819444444444446</v>
      </c>
      <c r="CC80" s="202">
        <f>(BV80/BV84*100+BV95)*BP80</f>
        <v>15.817307692307693</v>
      </c>
      <c r="CD80" s="202">
        <f>(BW80/BW84*100+BW95)*BP80</f>
        <v>17.351190476190474</v>
      </c>
      <c r="CE80" s="202">
        <f>(BX80/BX84*100+BX95)*BP80</f>
        <v>14.528846153846153</v>
      </c>
      <c r="CF80" s="383">
        <f>(BY80/BY84*100+BY95)*BP80</f>
        <v>14.609375</v>
      </c>
      <c r="CK80" s="86" t="s">
        <v>39</v>
      </c>
      <c r="CP80" s="96" t="s">
        <v>23</v>
      </c>
      <c r="CQ80" s="39">
        <v>3</v>
      </c>
      <c r="CR80" s="465">
        <f t="shared" si="92"/>
        <v>1</v>
      </c>
      <c r="CT80" s="88">
        <v>9</v>
      </c>
      <c r="CU80" s="95">
        <v>9</v>
      </c>
      <c r="CV80" s="90"/>
      <c r="CW80" s="99">
        <f>CU80/(CR80-CW71)</f>
        <v>10.571428571428571</v>
      </c>
      <c r="CX80" s="100">
        <f>CU80/(CR80-CX71)</f>
        <v>12.333333333333334</v>
      </c>
      <c r="CY80" s="100">
        <f>CU80/(CR80-CY71)</f>
        <v>12.807692307692308</v>
      </c>
      <c r="CZ80" s="100">
        <f>CU80/(CR80-CZ71)</f>
        <v>12.109090909090909</v>
      </c>
      <c r="DA80" s="100">
        <f>CU80/(CR80-DA71)</f>
        <v>9.25</v>
      </c>
      <c r="DC80" s="208">
        <v>9</v>
      </c>
      <c r="DD80" s="32">
        <f>(CW80/CW84*100+CW95)*CR80</f>
        <v>18.633064516129032</v>
      </c>
      <c r="DE80" s="202">
        <f>(CX80/CX84*100+CX95)*CR80</f>
        <v>17.693840579710148</v>
      </c>
      <c r="DF80" s="202">
        <f>(CY80/CY84*100+CY95)*CR80</f>
        <v>19.103813559322035</v>
      </c>
      <c r="DG80" s="202">
        <f>(CZ80/CZ84*100+CZ95)*CR80</f>
        <v>19.445175438596493</v>
      </c>
      <c r="DH80" s="383">
        <f>(DA80/DA84*100+DA95)*CR80</f>
        <v>16.461419753086421</v>
      </c>
      <c r="DM80" s="86" t="s">
        <v>39</v>
      </c>
      <c r="DR80" s="96" t="s">
        <v>23</v>
      </c>
      <c r="DS80" s="97">
        <v>2</v>
      </c>
      <c r="DT80" s="465">
        <f t="shared" si="93"/>
        <v>1</v>
      </c>
      <c r="DV80" s="88">
        <v>9</v>
      </c>
      <c r="DW80" s="95">
        <v>9</v>
      </c>
      <c r="DX80" s="90"/>
      <c r="DY80" s="99">
        <f>DW80/(DT80-DY71)</f>
        <v>10.525423728813559</v>
      </c>
      <c r="DZ80" s="100">
        <f>DW80/(DT80-DZ71)</f>
        <v>12.42</v>
      </c>
      <c r="EA80" s="100">
        <f>DW80/(DT80-EA71)</f>
        <v>12.9375</v>
      </c>
      <c r="EB80" s="100">
        <f>DW80/(DT80-EB71)</f>
        <v>12.176470588235295</v>
      </c>
      <c r="EC80" s="100">
        <f>DW80/(DT80-EC71)</f>
        <v>9.132352941176471</v>
      </c>
      <c r="EE80" s="208">
        <v>9</v>
      </c>
      <c r="EF80" s="32">
        <f>(DY80/DY84*100+DY95)*DT80</f>
        <v>10.603915662650602</v>
      </c>
      <c r="EG80" s="202">
        <f>(DZ80/DZ84*100+DZ95)*DT80</f>
        <v>10.508333333333333</v>
      </c>
      <c r="EH80" s="202">
        <f>(EA80/EA84*100+EA95)*DT80</f>
        <v>10.65</v>
      </c>
      <c r="EI80" s="202">
        <f>(EB80/EB84*100+EB95)*DT80</f>
        <v>10.682692307692308</v>
      </c>
      <c r="EJ80" s="383">
        <f>(EC80/EC84*100+EC95)*DT80</f>
        <v>10.699675324675324</v>
      </c>
    </row>
    <row r="81" spans="5:140" x14ac:dyDescent="0.2">
      <c r="E81" s="86" t="s">
        <v>39</v>
      </c>
      <c r="J81" s="96" t="s">
        <v>25</v>
      </c>
      <c r="K81" s="97">
        <v>9</v>
      </c>
      <c r="L81" s="465">
        <f t="shared" si="86"/>
        <v>1</v>
      </c>
      <c r="N81" s="88">
        <v>10</v>
      </c>
      <c r="O81" s="95">
        <v>9</v>
      </c>
      <c r="P81" s="90"/>
      <c r="Q81" s="99">
        <f>O81/(L81-Q71)</f>
        <v>11.482758620689655</v>
      </c>
      <c r="R81" s="100">
        <f>O81/(L81-R71)</f>
        <v>13.591836734693878</v>
      </c>
      <c r="S81" s="100">
        <f>O81/(L81-S71)</f>
        <v>9.25</v>
      </c>
      <c r="T81" s="100">
        <f>O81/(L81-T71)</f>
        <v>13.32</v>
      </c>
      <c r="U81" s="100">
        <f>O81/(L81-U71)</f>
        <v>9.9402985074626873</v>
      </c>
      <c r="W81" s="88">
        <v>10</v>
      </c>
      <c r="X81" s="32">
        <f>(Q81/Q84*100+Q96)*$L81</f>
        <v>23.625</v>
      </c>
      <c r="Y81" s="202">
        <f>(R81/R84*100+R96)*$L81</f>
        <v>21.06730769230769</v>
      </c>
      <c r="Z81" s="202">
        <f t="shared" ref="Z81" si="112">(S81/S84*100+S96)*$L81</f>
        <v>17.819444444444443</v>
      </c>
      <c r="AA81" s="202">
        <f t="shared" ref="AA81" si="113">(T81/T84*100+T96)*$L81</f>
        <v>18.144230769230774</v>
      </c>
      <c r="AB81" s="383">
        <f t="shared" ref="AB81" si="114">(U81/U84*100+U96)*$L81</f>
        <v>18.316176470588236</v>
      </c>
      <c r="AG81" s="86" t="s">
        <v>39</v>
      </c>
      <c r="AL81" s="96" t="s">
        <v>25</v>
      </c>
      <c r="AM81" s="97">
        <v>16</v>
      </c>
      <c r="AN81" s="465">
        <f t="shared" si="90"/>
        <v>1</v>
      </c>
      <c r="AP81" s="88">
        <v>10</v>
      </c>
      <c r="AQ81" s="95">
        <v>9</v>
      </c>
      <c r="AR81" s="90"/>
      <c r="AS81" s="99">
        <f>AQ81/(AN81-AS71)</f>
        <v>14.750000000000002</v>
      </c>
      <c r="AT81" s="100">
        <f>AQ81/(AN81-AT71)</f>
        <v>10.211538461538462</v>
      </c>
      <c r="AU81" s="100">
        <f>AQ81/(AN81-AU71)</f>
        <v>10.620000000000001</v>
      </c>
      <c r="AV81" s="100">
        <f>AQ81/(AN81-AV71)</f>
        <v>10.018867924528301</v>
      </c>
      <c r="AW81" s="100">
        <f>AQ81/(AN81-AW71)</f>
        <v>11.8</v>
      </c>
      <c r="AY81" s="200">
        <v>10</v>
      </c>
      <c r="AZ81" s="32">
        <f>(AS81/AS84*100+AS96)*AN81</f>
        <v>14.958333333333332</v>
      </c>
      <c r="BA81" s="202">
        <f>(AT81/AT84*100+AT96)*AN81</f>
        <v>17.351190476190474</v>
      </c>
      <c r="BB81" s="202">
        <f>(AU81/AU84*100+AU96)*AN81</f>
        <v>15.25219298245614</v>
      </c>
      <c r="BC81" s="202">
        <f>(AV81/AV84*100+AV96)*AN81</f>
        <v>15.46590909090909</v>
      </c>
      <c r="BD81" s="383">
        <f>(AW81/AW84*100+AW96)*AN81</f>
        <v>15.578703703703704</v>
      </c>
      <c r="BI81" s="86" t="s">
        <v>39</v>
      </c>
      <c r="BN81" s="96" t="s">
        <v>25</v>
      </c>
      <c r="BO81" s="97">
        <v>6</v>
      </c>
      <c r="BP81" s="465">
        <f t="shared" si="91"/>
        <v>1</v>
      </c>
      <c r="BR81" s="88">
        <v>10</v>
      </c>
      <c r="BS81" s="95">
        <v>9</v>
      </c>
      <c r="BT81" s="90"/>
      <c r="BU81" s="99">
        <f>BS81/(BP81-BU71)</f>
        <v>10.647887323943662</v>
      </c>
      <c r="BV81" s="100">
        <f>BS81/(BP81-BV71)</f>
        <v>12.193548387096774</v>
      </c>
      <c r="BW81" s="100">
        <f>BS81/(BP81-BW71)</f>
        <v>12.6</v>
      </c>
      <c r="BX81" s="100">
        <f>BS81/(BP81-BX71)</f>
        <v>12</v>
      </c>
      <c r="BY81" s="100">
        <f>BS81/(BP81-BY71)</f>
        <v>9.4500000000000011</v>
      </c>
      <c r="CA81" s="208">
        <v>10</v>
      </c>
      <c r="CB81" s="32">
        <f>(BU81/BU84*100+BU96)*BP81</f>
        <v>19.797222222222224</v>
      </c>
      <c r="CC81" s="202">
        <f>(BV81/BV84*100+BV96)*BP81</f>
        <v>18.394230769230766</v>
      </c>
      <c r="CD81" s="202">
        <f>(BW81/BW84*100+BW96)*BP81</f>
        <v>20.541666666666664</v>
      </c>
      <c r="CE81" s="202">
        <f>(BX81/BX84*100+BX96)*BP81</f>
        <v>16.590384615384615</v>
      </c>
      <c r="CF81" s="383">
        <f>(BY81/BY84*100+BY96)*BP81</f>
        <v>16.703125</v>
      </c>
      <c r="CK81" s="86" t="s">
        <v>39</v>
      </c>
      <c r="CP81" s="96" t="s">
        <v>25</v>
      </c>
      <c r="CQ81" s="97">
        <v>4</v>
      </c>
      <c r="CR81" s="465">
        <f t="shared" si="92"/>
        <v>1</v>
      </c>
      <c r="CT81" s="88">
        <v>10</v>
      </c>
      <c r="CU81" s="95">
        <v>9</v>
      </c>
      <c r="CV81" s="90"/>
      <c r="CW81" s="99">
        <f>CU81/(CR81-CW71)</f>
        <v>10.571428571428571</v>
      </c>
      <c r="CX81" s="100">
        <f>CU81/(CR81-CX71)</f>
        <v>12.333333333333334</v>
      </c>
      <c r="CY81" s="100">
        <f>CU81/(CR81-CY71)</f>
        <v>12.807692307692308</v>
      </c>
      <c r="CZ81" s="100">
        <f>CU81/(CR81-CZ71)</f>
        <v>12.109090909090909</v>
      </c>
      <c r="DA81" s="100">
        <f>CU81/(CR81-DA71)</f>
        <v>9.25</v>
      </c>
      <c r="DC81" s="208">
        <v>10</v>
      </c>
      <c r="DD81" s="32">
        <f>(CW81/CW84*100+CW96)*CR81</f>
        <v>10.69758064516129</v>
      </c>
      <c r="DE81" s="202">
        <f>(CX81/CX84*100+CX96)*CR81</f>
        <v>10.563405797101451</v>
      </c>
      <c r="DF81" s="202">
        <f>(CY81/CY84*100+CY96)*CR81</f>
        <v>10.764830508474576</v>
      </c>
      <c r="DG81" s="202">
        <f>(CZ81/CZ84*100+CZ96)*CR81</f>
        <v>10.81359649122807</v>
      </c>
      <c r="DH81" s="383">
        <f>(DA81/DA84*100+DA96)*CR81</f>
        <v>10.387345679012345</v>
      </c>
      <c r="DM81" s="86" t="s">
        <v>39</v>
      </c>
      <c r="DR81" s="96" t="s">
        <v>25</v>
      </c>
      <c r="DS81" s="39">
        <v>3</v>
      </c>
      <c r="DT81" s="465">
        <f t="shared" si="93"/>
        <v>1</v>
      </c>
      <c r="DV81" s="88">
        <v>10</v>
      </c>
      <c r="DW81" s="95">
        <v>9</v>
      </c>
      <c r="DX81" s="90"/>
      <c r="DY81" s="99">
        <f>DW81/(DT81-DY71)</f>
        <v>10.525423728813559</v>
      </c>
      <c r="DZ81" s="100">
        <f>DW81/(DT81-DZ71)</f>
        <v>12.42</v>
      </c>
      <c r="EA81" s="100">
        <f>DW81/(DT81-EA71)</f>
        <v>12.9375</v>
      </c>
      <c r="EB81" s="100">
        <f>DW81/(DT81-EB71)</f>
        <v>12.176470588235295</v>
      </c>
      <c r="EC81" s="100">
        <f>DW81/(DT81-EC71)</f>
        <v>9.132352941176471</v>
      </c>
      <c r="EE81" s="208">
        <v>10</v>
      </c>
      <c r="EF81" s="32">
        <f>(DY81/DY84*100+DY96)*DT81</f>
        <v>14.29066265060241</v>
      </c>
      <c r="EG81" s="202">
        <f>(DZ81/DZ84*100+DZ96)*DT81</f>
        <v>13.908333333333333</v>
      </c>
      <c r="EH81" s="202">
        <f>(EA81/EA84*100+EA96)*DT81</f>
        <v>14.475</v>
      </c>
      <c r="EI81" s="202">
        <f>(EB81/EB84*100+EB96)*DT81</f>
        <v>14.60576923076923</v>
      </c>
      <c r="EJ81" s="383">
        <f>(EC81/EC84*100+EC96)*DT81</f>
        <v>14.6737012987013</v>
      </c>
    </row>
    <row r="82" spans="5:140" x14ac:dyDescent="0.2">
      <c r="E82" s="86" t="s">
        <v>39</v>
      </c>
      <c r="J82" s="96" t="s">
        <v>26</v>
      </c>
      <c r="K82" s="39">
        <v>10</v>
      </c>
      <c r="L82" s="465">
        <f t="shared" si="86"/>
        <v>1</v>
      </c>
      <c r="N82" s="88">
        <v>11</v>
      </c>
      <c r="O82" s="107">
        <v>8</v>
      </c>
      <c r="P82" s="90"/>
      <c r="Q82" s="99">
        <f>O82/(L82-Q71)</f>
        <v>10.206896551724139</v>
      </c>
      <c r="R82" s="100">
        <f>O82/(L82-R71)</f>
        <v>12.081632653061224</v>
      </c>
      <c r="S82" s="100">
        <f>O82/(L82-S71)</f>
        <v>8.2222222222222214</v>
      </c>
      <c r="T82" s="100">
        <f>O82/(L82-T71)</f>
        <v>11.84</v>
      </c>
      <c r="U82" s="100">
        <f>O82/(L82-U71)</f>
        <v>8.8358208955223887</v>
      </c>
      <c r="W82" s="88">
        <v>11</v>
      </c>
      <c r="X82" s="32">
        <f>(Q82/Q84*100+Q97)*$L82</f>
        <v>17.239583333333336</v>
      </c>
      <c r="Y82" s="202">
        <f>(R82/R84*100+R97)*$L82</f>
        <v>15.641025641025639</v>
      </c>
      <c r="Z82" s="202">
        <f t="shared" ref="Z82" si="115">(S82/S84*100+S97)*$L82</f>
        <v>13.611111111111111</v>
      </c>
      <c r="AA82" s="202">
        <f t="shared" ref="AA82" si="116">(T82/T84*100+T97)*$L82</f>
        <v>13.814102564102566</v>
      </c>
      <c r="AB82" s="383">
        <f t="shared" ref="AB82" si="117">(U82/U84*100+U97)*$L82</f>
        <v>13.921568627450979</v>
      </c>
      <c r="AG82" s="86" t="s">
        <v>39</v>
      </c>
      <c r="AL82" s="96" t="s">
        <v>26</v>
      </c>
      <c r="AM82" s="39">
        <v>17</v>
      </c>
      <c r="AN82" s="465">
        <f t="shared" si="90"/>
        <v>1</v>
      </c>
      <c r="AP82" s="88">
        <v>11</v>
      </c>
      <c r="AQ82" s="107">
        <v>8</v>
      </c>
      <c r="AR82" s="90"/>
      <c r="AS82" s="99">
        <f>AQ82/(AN82-AS71)</f>
        <v>13.111111111111112</v>
      </c>
      <c r="AT82" s="100">
        <f>AQ82/(AN82-AT71)</f>
        <v>9.0769230769230766</v>
      </c>
      <c r="AU82" s="100">
        <f>AQ82/(AN82-AU71)</f>
        <v>9.4400000000000013</v>
      </c>
      <c r="AV82" s="100">
        <f>AQ82/(AN82-AV71)</f>
        <v>8.9056603773584904</v>
      </c>
      <c r="AW82" s="100">
        <f>AQ82/(AN82-AW71)</f>
        <v>10.488888888888889</v>
      </c>
      <c r="AY82" s="200">
        <v>11</v>
      </c>
      <c r="AZ82" s="32">
        <f>(AS82/AS84*100+AS97)*AN82</f>
        <v>16.149999999999999</v>
      </c>
      <c r="BA82" s="202">
        <f>(AT82/AT84*100+AT97)*AN82</f>
        <v>19.5</v>
      </c>
      <c r="BB82" s="202">
        <f>(AU82/AU84*100+AU97)*AN82</f>
        <v>16.561403508771928</v>
      </c>
      <c r="BC82" s="202">
        <f>(AV82/AV84*100+AV97)*AN82</f>
        <v>16.860606060606059</v>
      </c>
      <c r="BD82" s="383">
        <f>(AW82/AW84*100+AW97)*AN82</f>
        <v>17.018518518518519</v>
      </c>
      <c r="BI82" s="86" t="s">
        <v>39</v>
      </c>
      <c r="BN82" s="96" t="s">
        <v>26</v>
      </c>
      <c r="BO82" s="39">
        <v>7</v>
      </c>
      <c r="BP82" s="465">
        <f t="shared" si="91"/>
        <v>1</v>
      </c>
      <c r="BR82" s="88">
        <v>11</v>
      </c>
      <c r="BS82" s="107">
        <v>8</v>
      </c>
      <c r="BT82" s="90"/>
      <c r="BU82" s="99">
        <f>BS82/(BP82-BU71)</f>
        <v>9.464788732394366</v>
      </c>
      <c r="BV82" s="100">
        <f>BS82/(BP82-BV71)</f>
        <v>10.838709677419354</v>
      </c>
      <c r="BW82" s="100">
        <f>BS82/(BP82-BW71)</f>
        <v>11.2</v>
      </c>
      <c r="BX82" s="100">
        <f>BS82/(BP82-BX71)</f>
        <v>10.666666666666666</v>
      </c>
      <c r="BY82" s="100">
        <f>BS82/(BP82-BY71)</f>
        <v>8.4</v>
      </c>
      <c r="CA82" s="208">
        <v>11</v>
      </c>
      <c r="CB82" s="32">
        <f>(BU82/BU84*100+BU97)*BP82</f>
        <v>9.8222222222222211</v>
      </c>
      <c r="CC82" s="202">
        <f>(BV82/BV84*100+BV97)*BP82</f>
        <v>9.6217948717948705</v>
      </c>
      <c r="CD82" s="202">
        <f>(BW82/BW84*100+BW97)*BP82</f>
        <v>9.928571428571427</v>
      </c>
      <c r="CE82" s="202">
        <f>(BX82/BX84*100+BX97)*BP82</f>
        <v>9.3641025641025628</v>
      </c>
      <c r="CF82" s="383">
        <f>(BY82/BY84*100+BY97)*BP82</f>
        <v>9.3802083333333321</v>
      </c>
      <c r="CK82" s="86" t="s">
        <v>39</v>
      </c>
      <c r="CP82" s="96" t="s">
        <v>26</v>
      </c>
      <c r="CQ82" s="39">
        <v>5</v>
      </c>
      <c r="CR82" s="465">
        <f t="shared" si="92"/>
        <v>1</v>
      </c>
      <c r="CT82" s="88">
        <v>11</v>
      </c>
      <c r="CU82" s="107">
        <v>8</v>
      </c>
      <c r="CV82" s="90"/>
      <c r="CW82" s="99">
        <f>CU82/(CR82-CW71)</f>
        <v>9.3968253968253972</v>
      </c>
      <c r="CX82" s="100">
        <f>CU82/(CR82-CX71)</f>
        <v>10.962962962962964</v>
      </c>
      <c r="CY82" s="100">
        <f>CU82/(CR82-CY71)</f>
        <v>11.384615384615385</v>
      </c>
      <c r="CZ82" s="100">
        <f>CU82/(CR82-CZ71)</f>
        <v>10.763636363636364</v>
      </c>
      <c r="DA82" s="100">
        <f>CU82/(CR82-DA71)</f>
        <v>8.2222222222222214</v>
      </c>
      <c r="DC82" s="208">
        <v>11</v>
      </c>
      <c r="DD82" s="32">
        <f>(CW82/CW84*100+CW97)*CR82</f>
        <v>13.623655913978496</v>
      </c>
      <c r="DE82" s="202">
        <f>(CX82/CX84*100+CX97)*CR82</f>
        <v>13.086956521739131</v>
      </c>
      <c r="DF82" s="202">
        <f>(CY82/CY84*100+CY97)*CR82</f>
        <v>13.89265536723164</v>
      </c>
      <c r="DG82" s="202">
        <f>(CZ82/CZ84*100+CZ97)*CR82</f>
        <v>14.087719298245615</v>
      </c>
      <c r="DH82" s="383">
        <f>(DA82/DA84*100+DA97)*CR82</f>
        <v>12.382716049382715</v>
      </c>
      <c r="DM82" s="86" t="s">
        <v>39</v>
      </c>
      <c r="DR82" s="96" t="s">
        <v>26</v>
      </c>
      <c r="DS82" s="97">
        <v>4</v>
      </c>
      <c r="DT82" s="465">
        <f t="shared" si="93"/>
        <v>1</v>
      </c>
      <c r="DV82" s="88">
        <v>11</v>
      </c>
      <c r="DW82" s="107">
        <v>8</v>
      </c>
      <c r="DX82" s="90"/>
      <c r="DY82" s="99">
        <f>DW82/(DT82-DY71)</f>
        <v>9.3559322033898304</v>
      </c>
      <c r="DZ82" s="100">
        <f>DW82/(DT82-DZ71)</f>
        <v>11.04</v>
      </c>
      <c r="EA82" s="100">
        <f>DW82/(DT82-EA71)</f>
        <v>11.5</v>
      </c>
      <c r="EB82" s="100">
        <f>DW82/(DT82-EB71)</f>
        <v>10.823529411764707</v>
      </c>
      <c r="EC82" s="100">
        <f>DW82/(DT82-EC71)</f>
        <v>8.117647058823529</v>
      </c>
      <c r="EE82" s="208">
        <v>11</v>
      </c>
      <c r="EF82" s="32">
        <f>(DY82/DY84*100+DY97)*DT82</f>
        <v>10.791164658634537</v>
      </c>
      <c r="EG82" s="202">
        <f>(DZ82/DZ84*100+DZ97)*DT82</f>
        <v>10.599999999999998</v>
      </c>
      <c r="EH82" s="202">
        <f>(EA82/EA84*100+EA97)*DT82</f>
        <v>10.883333333333333</v>
      </c>
      <c r="EI82" s="202">
        <f>(EB82/EB84*100+EB97)*DT82</f>
        <v>10.948717948717947</v>
      </c>
      <c r="EJ82" s="383">
        <f>(EC82/EC84*100+EC97)*DT82</f>
        <v>10.982683982683982</v>
      </c>
    </row>
    <row r="83" spans="5:140" ht="15" thickBot="1" x14ac:dyDescent="0.25">
      <c r="E83" s="86" t="s">
        <v>39</v>
      </c>
      <c r="J83" s="96" t="s">
        <v>27</v>
      </c>
      <c r="K83" s="97">
        <v>11</v>
      </c>
      <c r="L83" s="465">
        <f t="shared" si="86"/>
        <v>1</v>
      </c>
      <c r="N83" s="109">
        <v>12</v>
      </c>
      <c r="O83" s="110">
        <v>7</v>
      </c>
      <c r="P83" s="90"/>
      <c r="Q83" s="111">
        <f>O83/(L83-Q71)</f>
        <v>8.931034482758621</v>
      </c>
      <c r="R83" s="112">
        <f>O83/(L83-R71)</f>
        <v>10.571428571428571</v>
      </c>
      <c r="S83" s="112">
        <f>O83/(L83-S71)</f>
        <v>7.1944444444444438</v>
      </c>
      <c r="T83" s="112">
        <f>O83/(L83-T71)</f>
        <v>10.36</v>
      </c>
      <c r="U83" s="112">
        <f>O83/(L83-U71)</f>
        <v>7.7313432835820901</v>
      </c>
      <c r="W83" s="109">
        <v>12</v>
      </c>
      <c r="X83" s="43">
        <f>(Q83/Q84*100+Q98)*$L83</f>
        <v>19.760416666666668</v>
      </c>
      <c r="Y83" s="203">
        <f>(R83/R84*100+R98)*$L83</f>
        <v>17.522435897435894</v>
      </c>
      <c r="Z83" s="203">
        <f t="shared" ref="Z83" si="118">(S83/S84*100+S98)*$L83</f>
        <v>14.680555555555554</v>
      </c>
      <c r="AA83" s="203">
        <f t="shared" ref="AA83" si="119">(T83/T84*100+T98)*$L83</f>
        <v>14.964743589743591</v>
      </c>
      <c r="AB83" s="384">
        <f t="shared" ref="AB83" si="120">(U83/U84*100+U98)*$L83</f>
        <v>15.115196078431373</v>
      </c>
      <c r="AG83" s="86" t="s">
        <v>39</v>
      </c>
      <c r="AL83" s="96" t="s">
        <v>27</v>
      </c>
      <c r="AM83" s="97">
        <v>18</v>
      </c>
      <c r="AN83" s="465">
        <f t="shared" si="90"/>
        <v>1</v>
      </c>
      <c r="AP83" s="109">
        <v>12</v>
      </c>
      <c r="AQ83" s="110">
        <v>7</v>
      </c>
      <c r="AR83" s="90"/>
      <c r="AS83" s="111">
        <f>AQ83/(AN83-AS71)</f>
        <v>11.472222222222223</v>
      </c>
      <c r="AT83" s="112">
        <f>AQ83/(AN83-AT71)</f>
        <v>7.9423076923076925</v>
      </c>
      <c r="AU83" s="112">
        <f>AQ83/(AN83-AU71)</f>
        <v>8.26</v>
      </c>
      <c r="AV83" s="112">
        <f>AQ83/(AN83-AV71)</f>
        <v>7.7924528301886786</v>
      </c>
      <c r="AW83" s="112">
        <f>AQ83/(AN83-AW71)</f>
        <v>9.1777777777777789</v>
      </c>
      <c r="AY83" s="201">
        <v>12</v>
      </c>
      <c r="AZ83" s="43">
        <f>(AS83/AS84*100+AS98)*AN83</f>
        <v>8.4083333333333332</v>
      </c>
      <c r="BA83" s="203">
        <f>(AT83/AT84*100+AT98)*AN83</f>
        <v>8.886904761904761</v>
      </c>
      <c r="BB83" s="203">
        <f>(AU83/AU84*100+AU98)*AN83</f>
        <v>8.4671052631578938</v>
      </c>
      <c r="BC83" s="203">
        <f>(AV83/AV84*100+AV98)*AN83</f>
        <v>8.5098484848484848</v>
      </c>
      <c r="BD83" s="384">
        <f>(AW83/AW84*100+AW98)*AN83</f>
        <v>8.5324074074074083</v>
      </c>
      <c r="BI83" s="86" t="s">
        <v>39</v>
      </c>
      <c r="BN83" s="96" t="s">
        <v>27</v>
      </c>
      <c r="BO83" s="97">
        <v>8</v>
      </c>
      <c r="BP83" s="465">
        <f t="shared" si="91"/>
        <v>1</v>
      </c>
      <c r="BR83" s="109">
        <v>12</v>
      </c>
      <c r="BS83" s="110">
        <v>7</v>
      </c>
      <c r="BT83" s="90"/>
      <c r="BU83" s="111">
        <f>BS83/(BP83-BU71)</f>
        <v>8.28169014084507</v>
      </c>
      <c r="BV83" s="112">
        <f>BS83/(BP83-BV71)</f>
        <v>9.4838709677419342</v>
      </c>
      <c r="BW83" s="112">
        <f>BS83/(BP83-BW71)</f>
        <v>9.7999999999999989</v>
      </c>
      <c r="BX83" s="112">
        <f>BS83/(BP83-BX71)</f>
        <v>9.3333333333333339</v>
      </c>
      <c r="BY83" s="112">
        <f>BS83/(BP83-BY71)</f>
        <v>7.3500000000000005</v>
      </c>
      <c r="CA83" s="209">
        <v>12</v>
      </c>
      <c r="CB83" s="43">
        <f>(BU83/BU84*100+BU98)*BP83</f>
        <v>13.247222222222222</v>
      </c>
      <c r="CC83" s="203">
        <f>(BV83/BV84*100+BV98)*BP83</f>
        <v>12.445512820512819</v>
      </c>
      <c r="CD83" s="203">
        <f>(BW83/BW84*100+BW98)*BP83</f>
        <v>13.672619047619047</v>
      </c>
      <c r="CE83" s="203">
        <f>(BX83/BX84*100+BX98)*BP83</f>
        <v>11.41474358974359</v>
      </c>
      <c r="CF83" s="384">
        <f>(BY83/BY84*100+BY98)*BP83</f>
        <v>11.479166666666666</v>
      </c>
      <c r="CK83" s="86" t="s">
        <v>39</v>
      </c>
      <c r="CP83" s="96" t="s">
        <v>27</v>
      </c>
      <c r="CQ83" s="97">
        <v>6</v>
      </c>
      <c r="CR83" s="465">
        <f t="shared" si="92"/>
        <v>1</v>
      </c>
      <c r="CT83" s="109">
        <v>12</v>
      </c>
      <c r="CU83" s="110">
        <v>7</v>
      </c>
      <c r="CV83" s="90"/>
      <c r="CW83" s="111">
        <f>CU83/(CR83-CW71)</f>
        <v>8.2222222222222232</v>
      </c>
      <c r="CX83" s="112">
        <f>CU83/(CR83-CX71)</f>
        <v>9.5925925925925934</v>
      </c>
      <c r="CY83" s="112">
        <f>CU83/(CR83-CY71)</f>
        <v>9.9615384615384617</v>
      </c>
      <c r="CZ83" s="112">
        <f>CU83/(CR83-CZ71)</f>
        <v>9.418181818181818</v>
      </c>
      <c r="DA83" s="112">
        <f>CU83/(CR83-DA71)</f>
        <v>7.1944444444444438</v>
      </c>
      <c r="DC83" s="209">
        <v>12</v>
      </c>
      <c r="DD83" s="43">
        <f>(CW83/CW84*100+CW98)*CR83</f>
        <v>9.9368279569892479</v>
      </c>
      <c r="DE83" s="203">
        <f>(CX83/CX84*100+CX98)*CR83</f>
        <v>9.6684782608695663</v>
      </c>
      <c r="DF83" s="203">
        <f>(CY83/CY84*100+CY98)*CR83</f>
        <v>10.07132768361582</v>
      </c>
      <c r="DG83" s="203">
        <f>(CZ83/CZ84*100+CZ98)*CR83</f>
        <v>10.168859649122808</v>
      </c>
      <c r="DH83" s="384">
        <f>(DA83/DA84*100+DA98)*CR83</f>
        <v>9.3163580246913575</v>
      </c>
      <c r="DM83" s="86" t="s">
        <v>39</v>
      </c>
      <c r="DR83" s="96" t="s">
        <v>27</v>
      </c>
      <c r="DS83" s="39">
        <v>5</v>
      </c>
      <c r="DT83" s="465">
        <f t="shared" si="93"/>
        <v>1</v>
      </c>
      <c r="DV83" s="109">
        <v>12</v>
      </c>
      <c r="DW83" s="110">
        <v>7</v>
      </c>
      <c r="DX83" s="90"/>
      <c r="DY83" s="111">
        <f>DW83/(DT83-DY71)</f>
        <v>8.1864406779661021</v>
      </c>
      <c r="DZ83" s="112">
        <f>DW83/(DT83-DZ71)</f>
        <v>9.66</v>
      </c>
      <c r="EA83" s="112">
        <f>DW83/(DT83-EA71)</f>
        <v>10.0625</v>
      </c>
      <c r="EB83" s="112">
        <f>DW83/(DT83-EB71)</f>
        <v>9.4705882352941178</v>
      </c>
      <c r="EC83" s="112">
        <f>DW83/(DT83-EC71)</f>
        <v>7.1029411764705879</v>
      </c>
      <c r="EE83" s="209">
        <v>12</v>
      </c>
      <c r="EF83" s="43">
        <f>(DY83/DY84*100+DY98)*DT83</f>
        <v>17.122991967871485</v>
      </c>
      <c r="EG83" s="203">
        <f>(DZ83/DZ84*100+DZ98)*DT83</f>
        <v>16.358333333333334</v>
      </c>
      <c r="EH83" s="203">
        <f>(EA83/EA84*100+EA98)*DT83</f>
        <v>17.491666666666667</v>
      </c>
      <c r="EI83" s="203">
        <f>(EB83/EB84*100+EB98)*DT83</f>
        <v>17.753205128205128</v>
      </c>
      <c r="EJ83" s="384">
        <f>(EC83/EC84*100+EC98)*DT83</f>
        <v>17.889069264069263</v>
      </c>
    </row>
    <row r="84" spans="5:140" x14ac:dyDescent="0.2">
      <c r="E84" s="86" t="s">
        <v>39</v>
      </c>
      <c r="J84" s="96" t="s">
        <v>28</v>
      </c>
      <c r="K84" s="39">
        <v>12</v>
      </c>
      <c r="N84" s="10"/>
      <c r="O84" s="90"/>
      <c r="P84" s="90"/>
      <c r="Q84" s="113">
        <f>SUM(Q72:Q83)</f>
        <v>122.48275862068965</v>
      </c>
      <c r="R84" s="113">
        <f t="shared" ref="R84:U84" si="121">SUM(R72:R83)</f>
        <v>144.97959183673473</v>
      </c>
      <c r="S84" s="113">
        <f t="shared" si="121"/>
        <v>98.666666666666671</v>
      </c>
      <c r="T84" s="113">
        <f t="shared" si="121"/>
        <v>142.07999999999998</v>
      </c>
      <c r="U84" s="113">
        <f t="shared" si="121"/>
        <v>106.02985074626866</v>
      </c>
      <c r="AG84" s="86" t="s">
        <v>39</v>
      </c>
      <c r="AL84" s="96" t="s">
        <v>28</v>
      </c>
      <c r="AM84" s="39">
        <v>19</v>
      </c>
      <c r="AP84" s="10"/>
      <c r="AQ84" s="90"/>
      <c r="AR84" s="90"/>
      <c r="AS84" s="113">
        <f>SUM(AS72:AS83)</f>
        <v>157.33333333333337</v>
      </c>
      <c r="AT84" s="113">
        <f t="shared" ref="AT84:AW84" si="122">SUM(AT72:AT83)</f>
        <v>108.92307692307695</v>
      </c>
      <c r="AU84" s="113">
        <f t="shared" si="122"/>
        <v>113.28000000000002</v>
      </c>
      <c r="AV84" s="113">
        <f t="shared" si="122"/>
        <v>106.86792452830188</v>
      </c>
      <c r="AW84" s="113">
        <f t="shared" si="122"/>
        <v>125.86666666666667</v>
      </c>
      <c r="AY84" s="160"/>
      <c r="AZ84" s="171"/>
      <c r="BA84" s="171"/>
      <c r="BB84" s="171"/>
      <c r="BC84" s="171"/>
      <c r="BD84" s="171"/>
      <c r="BI84" s="86" t="s">
        <v>39</v>
      </c>
      <c r="BN84" s="96" t="s">
        <v>28</v>
      </c>
      <c r="BO84" s="39">
        <v>9</v>
      </c>
      <c r="BR84" s="10"/>
      <c r="BS84" s="90"/>
      <c r="BT84" s="90"/>
      <c r="BU84" s="113">
        <f>SUM(BU72:BU83)</f>
        <v>113.5774647887324</v>
      </c>
      <c r="BV84" s="113">
        <f t="shared" ref="BV84:BY84" si="123">SUM(BV72:BV83)</f>
        <v>130.06451612903226</v>
      </c>
      <c r="BW84" s="113">
        <f t="shared" si="123"/>
        <v>134.4</v>
      </c>
      <c r="BX84" s="113">
        <f t="shared" si="123"/>
        <v>128</v>
      </c>
      <c r="BY84" s="113">
        <f t="shared" si="123"/>
        <v>100.80000000000001</v>
      </c>
      <c r="CA84" s="160"/>
      <c r="CB84" s="171"/>
      <c r="CC84" s="171"/>
      <c r="CD84" s="171"/>
      <c r="CE84" s="171"/>
      <c r="CF84" s="171"/>
      <c r="CK84" s="86" t="s">
        <v>39</v>
      </c>
      <c r="CP84" s="96" t="s">
        <v>28</v>
      </c>
      <c r="CQ84" s="39">
        <v>7</v>
      </c>
      <c r="CT84" s="10"/>
      <c r="CU84" s="90"/>
      <c r="CV84" s="90"/>
      <c r="CW84" s="113">
        <f>SUM(CW72:CW83)</f>
        <v>112.76190476190476</v>
      </c>
      <c r="CX84" s="113">
        <f t="shared" ref="CX84:DA84" si="124">SUM(CX72:CX83)</f>
        <v>131.55555555555554</v>
      </c>
      <c r="CY84" s="113">
        <f t="shared" si="124"/>
        <v>136.61538461538461</v>
      </c>
      <c r="CZ84" s="113">
        <f t="shared" si="124"/>
        <v>129.16363636363636</v>
      </c>
      <c r="DA84" s="113">
        <f t="shared" si="124"/>
        <v>98.666666666666671</v>
      </c>
      <c r="DC84" s="160"/>
      <c r="DD84" s="171"/>
      <c r="DE84" s="171"/>
      <c r="DF84" s="171"/>
      <c r="DG84" s="171"/>
      <c r="DH84" s="171"/>
      <c r="DM84" s="86" t="s">
        <v>39</v>
      </c>
      <c r="DR84" s="96" t="s">
        <v>28</v>
      </c>
      <c r="DS84" s="97">
        <v>6</v>
      </c>
      <c r="DV84" s="10"/>
      <c r="DW84" s="90"/>
      <c r="DX84" s="90"/>
      <c r="DY84" s="113">
        <f>SUM(DY72:DY83)</f>
        <v>112.27118644067797</v>
      </c>
      <c r="DZ84" s="113">
        <f t="shared" ref="DZ84:EC84" si="125">SUM(DZ72:DZ83)</f>
        <v>132.47999999999999</v>
      </c>
      <c r="EA84" s="113">
        <f t="shared" si="125"/>
        <v>138</v>
      </c>
      <c r="EB84" s="113">
        <f t="shared" si="125"/>
        <v>129.88235294117649</v>
      </c>
      <c r="EC84" s="113">
        <f t="shared" si="125"/>
        <v>97.411764705882362</v>
      </c>
      <c r="EE84" s="160"/>
      <c r="EF84" s="171"/>
      <c r="EG84" s="171"/>
      <c r="EH84" s="171"/>
      <c r="EI84" s="171"/>
      <c r="EJ84" s="171"/>
    </row>
    <row r="85" spans="5:140" ht="15" thickBot="1" x14ac:dyDescent="0.25">
      <c r="E85" s="86" t="s">
        <v>39</v>
      </c>
      <c r="J85" s="96" t="s">
        <v>21</v>
      </c>
      <c r="K85" s="97">
        <v>13</v>
      </c>
      <c r="O85" s="10" t="s">
        <v>29</v>
      </c>
      <c r="W85" s="170" t="s">
        <v>57</v>
      </c>
      <c r="X85" s="171"/>
      <c r="Y85" s="171"/>
      <c r="Z85" s="171"/>
      <c r="AA85" s="171"/>
      <c r="AB85" s="171"/>
      <c r="AG85" s="86" t="s">
        <v>39</v>
      </c>
      <c r="AL85" s="96" t="s">
        <v>21</v>
      </c>
      <c r="AM85" s="97">
        <v>20</v>
      </c>
      <c r="AQ85" s="10" t="s">
        <v>29</v>
      </c>
      <c r="AY85" s="170" t="s">
        <v>69</v>
      </c>
      <c r="AZ85" s="171"/>
      <c r="BA85" s="171"/>
      <c r="BB85" s="171"/>
      <c r="BC85" s="171"/>
      <c r="BD85" s="171"/>
      <c r="BI85" s="86" t="s">
        <v>39</v>
      </c>
      <c r="BN85" s="96" t="s">
        <v>21</v>
      </c>
      <c r="BO85" s="97">
        <v>10</v>
      </c>
      <c r="BS85" s="10" t="s">
        <v>29</v>
      </c>
      <c r="CA85" s="170" t="s">
        <v>87</v>
      </c>
      <c r="CB85" s="171"/>
      <c r="CC85" s="171"/>
      <c r="CD85" s="171"/>
      <c r="CE85" s="171"/>
      <c r="CF85" s="171"/>
      <c r="CK85" s="86" t="s">
        <v>39</v>
      </c>
      <c r="CP85" s="96" t="s">
        <v>21</v>
      </c>
      <c r="CQ85" s="97">
        <v>8</v>
      </c>
      <c r="CU85" s="10" t="s">
        <v>29</v>
      </c>
      <c r="DC85" s="170" t="s">
        <v>102</v>
      </c>
      <c r="DD85" s="171"/>
      <c r="DE85" s="171"/>
      <c r="DF85" s="171"/>
      <c r="DG85" s="171"/>
      <c r="DH85" s="171"/>
      <c r="DM85" s="86" t="s">
        <v>39</v>
      </c>
      <c r="DR85" s="96" t="s">
        <v>21</v>
      </c>
      <c r="DS85" s="39">
        <v>7</v>
      </c>
      <c r="DW85" s="10" t="s">
        <v>29</v>
      </c>
      <c r="EE85" s="170" t="s">
        <v>117</v>
      </c>
      <c r="EF85" s="171"/>
      <c r="EG85" s="171"/>
      <c r="EH85" s="171"/>
      <c r="EI85" s="171"/>
      <c r="EJ85" s="171"/>
    </row>
    <row r="86" spans="5:140" ht="15" thickBot="1" x14ac:dyDescent="0.25">
      <c r="E86" s="86" t="s">
        <v>39</v>
      </c>
      <c r="J86" s="96" t="s">
        <v>7</v>
      </c>
      <c r="K86" s="39">
        <v>14</v>
      </c>
      <c r="L86" s="77" t="s">
        <v>36</v>
      </c>
      <c r="M86" s="78" t="s">
        <v>15</v>
      </c>
      <c r="N86" s="79" t="s">
        <v>37</v>
      </c>
      <c r="O86" s="80" t="s">
        <v>38</v>
      </c>
      <c r="P86" s="10"/>
      <c r="Q86" s="114">
        <f>K65</f>
        <v>0.43859649122807015</v>
      </c>
      <c r="R86" s="115">
        <f>L65</f>
        <v>0.31578947368421051</v>
      </c>
      <c r="S86" s="115">
        <f t="shared" ref="S86:U86" si="126">M65</f>
        <v>5.2631578947368418E-2</v>
      </c>
      <c r="T86" s="115">
        <f t="shared" si="126"/>
        <v>8.771929824561403E-2</v>
      </c>
      <c r="U86" s="116">
        <f t="shared" si="126"/>
        <v>0.10526315789473684</v>
      </c>
      <c r="V86" s="84">
        <f>SUM(Q86:U86)</f>
        <v>0.99999999999999989</v>
      </c>
      <c r="W86" s="193" t="s">
        <v>37</v>
      </c>
      <c r="X86" s="197" t="s">
        <v>30</v>
      </c>
      <c r="Y86" s="174" t="s">
        <v>31</v>
      </c>
      <c r="Z86" s="174" t="s">
        <v>32</v>
      </c>
      <c r="AA86" s="174" t="s">
        <v>33</v>
      </c>
      <c r="AB86" s="175" t="s">
        <v>34</v>
      </c>
      <c r="AG86" s="86" t="s">
        <v>39</v>
      </c>
      <c r="AL86" s="96" t="s">
        <v>7</v>
      </c>
      <c r="AM86" s="39">
        <v>21</v>
      </c>
      <c r="AN86" s="77" t="s">
        <v>36</v>
      </c>
      <c r="AO86" s="78" t="s">
        <v>15</v>
      </c>
      <c r="AP86" s="79" t="s">
        <v>37</v>
      </c>
      <c r="AQ86" s="80" t="s">
        <v>38</v>
      </c>
      <c r="AR86" s="10"/>
      <c r="AS86" s="114">
        <f>AM65</f>
        <v>0.1044776119402985</v>
      </c>
      <c r="AT86" s="115">
        <f>AN65</f>
        <v>0.37313432835820898</v>
      </c>
      <c r="AU86" s="115">
        <f t="shared" ref="AU86:AW86" si="127">AO65</f>
        <v>0.14925373134328357</v>
      </c>
      <c r="AV86" s="115">
        <f t="shared" si="127"/>
        <v>0.17910447761194029</v>
      </c>
      <c r="AW86" s="116">
        <f t="shared" si="127"/>
        <v>0.19402985074626866</v>
      </c>
      <c r="AX86" s="84">
        <f>SUM(AS86:AW86)</f>
        <v>1</v>
      </c>
      <c r="AY86" s="198" t="s">
        <v>37</v>
      </c>
      <c r="AZ86" s="197" t="s">
        <v>30</v>
      </c>
      <c r="BA86" s="174" t="s">
        <v>31</v>
      </c>
      <c r="BB86" s="174" t="s">
        <v>32</v>
      </c>
      <c r="BC86" s="174" t="s">
        <v>33</v>
      </c>
      <c r="BD86" s="175" t="s">
        <v>34</v>
      </c>
      <c r="BI86" s="86" t="s">
        <v>39</v>
      </c>
      <c r="BN86" s="96" t="s">
        <v>7</v>
      </c>
      <c r="BO86" s="39">
        <v>11</v>
      </c>
      <c r="BP86" s="77" t="s">
        <v>36</v>
      </c>
      <c r="BQ86" s="78" t="s">
        <v>15</v>
      </c>
      <c r="BR86" s="79" t="s">
        <v>37</v>
      </c>
      <c r="BS86" s="80" t="s">
        <v>38</v>
      </c>
      <c r="BT86" s="10"/>
      <c r="BU86" s="114">
        <f>BO65</f>
        <v>0.32835820895522388</v>
      </c>
      <c r="BV86" s="115">
        <f>BP65</f>
        <v>0.22388059701492538</v>
      </c>
      <c r="BW86" s="115">
        <f t="shared" ref="BW86:BY86" si="128">BQ65</f>
        <v>0.37313432835820898</v>
      </c>
      <c r="BX86" s="115">
        <f t="shared" si="128"/>
        <v>2.9850746268656716E-2</v>
      </c>
      <c r="BY86" s="116">
        <f t="shared" si="128"/>
        <v>4.4776119402985072E-2</v>
      </c>
      <c r="BZ86" s="84">
        <f>SUM(BU86:BY86)</f>
        <v>1</v>
      </c>
      <c r="CA86" s="198" t="s">
        <v>37</v>
      </c>
      <c r="CB86" s="173" t="s">
        <v>30</v>
      </c>
      <c r="CC86" s="174" t="s">
        <v>31</v>
      </c>
      <c r="CD86" s="174" t="s">
        <v>32</v>
      </c>
      <c r="CE86" s="174" t="s">
        <v>33</v>
      </c>
      <c r="CF86" s="175" t="s">
        <v>34</v>
      </c>
      <c r="CK86" s="86" t="s">
        <v>39</v>
      </c>
      <c r="CP86" s="96" t="s">
        <v>7</v>
      </c>
      <c r="CQ86" s="39">
        <v>9</v>
      </c>
      <c r="CR86" s="77" t="s">
        <v>36</v>
      </c>
      <c r="CS86" s="78" t="s">
        <v>15</v>
      </c>
      <c r="CT86" s="79" t="s">
        <v>37</v>
      </c>
      <c r="CU86" s="80" t="s">
        <v>38</v>
      </c>
      <c r="CV86" s="10"/>
      <c r="CW86" s="114">
        <f>CQ65</f>
        <v>0.24390243902439024</v>
      </c>
      <c r="CX86" s="115">
        <f>CR65</f>
        <v>0.15853658536585366</v>
      </c>
      <c r="CY86" s="115">
        <f t="shared" ref="CY86:DA86" si="129">CS65</f>
        <v>0.28048780487804881</v>
      </c>
      <c r="CZ86" s="115">
        <f t="shared" si="129"/>
        <v>0.3048780487804878</v>
      </c>
      <c r="DA86" s="116">
        <f t="shared" si="129"/>
        <v>1.2195121951219513E-2</v>
      </c>
      <c r="DB86" s="84">
        <f>SUM(CW86:DA86)</f>
        <v>1</v>
      </c>
      <c r="DC86" s="198" t="s">
        <v>37</v>
      </c>
      <c r="DD86" s="173" t="s">
        <v>30</v>
      </c>
      <c r="DE86" s="174" t="s">
        <v>31</v>
      </c>
      <c r="DF86" s="174" t="s">
        <v>32</v>
      </c>
      <c r="DG86" s="174" t="s">
        <v>33</v>
      </c>
      <c r="DH86" s="175" t="s">
        <v>34</v>
      </c>
      <c r="DM86" s="86" t="s">
        <v>39</v>
      </c>
      <c r="DR86" s="96" t="s">
        <v>7</v>
      </c>
      <c r="DS86" s="101">
        <v>8</v>
      </c>
      <c r="DT86" s="77" t="s">
        <v>36</v>
      </c>
      <c r="DU86" s="153" t="s">
        <v>15</v>
      </c>
      <c r="DV86" s="79" t="s">
        <v>37</v>
      </c>
      <c r="DW86" s="80" t="s">
        <v>38</v>
      </c>
      <c r="DX86" s="10"/>
      <c r="DY86" s="114">
        <f>DS65</f>
        <v>0.18627450980392157</v>
      </c>
      <c r="DZ86" s="115">
        <f>DT65</f>
        <v>0.11764705882352941</v>
      </c>
      <c r="EA86" s="115">
        <f t="shared" ref="EA86:EC86" si="130">DU65</f>
        <v>0.21568627450980393</v>
      </c>
      <c r="EB86" s="115">
        <f t="shared" si="130"/>
        <v>0.23529411764705882</v>
      </c>
      <c r="EC86" s="116">
        <f t="shared" si="130"/>
        <v>0.24509803921568626</v>
      </c>
      <c r="ED86" s="84">
        <f>SUM(DY86:EC86)</f>
        <v>1</v>
      </c>
      <c r="EE86" s="198" t="s">
        <v>37</v>
      </c>
      <c r="EF86" s="173" t="s">
        <v>30</v>
      </c>
      <c r="EG86" s="174" t="s">
        <v>31</v>
      </c>
      <c r="EH86" s="174" t="s">
        <v>32</v>
      </c>
      <c r="EI86" s="174" t="s">
        <v>33</v>
      </c>
      <c r="EJ86" s="175" t="s">
        <v>34</v>
      </c>
    </row>
    <row r="87" spans="5:140" x14ac:dyDescent="0.2">
      <c r="E87" s="86" t="s">
        <v>39</v>
      </c>
      <c r="J87" s="96" t="s">
        <v>13</v>
      </c>
      <c r="K87" s="97">
        <v>15</v>
      </c>
      <c r="L87" s="465">
        <f>L23</f>
        <v>1</v>
      </c>
      <c r="N87" s="88">
        <v>1</v>
      </c>
      <c r="O87" s="89">
        <v>1</v>
      </c>
      <c r="P87" s="90"/>
      <c r="Q87" s="91">
        <f>O87/(L87-Q86)</f>
        <v>1.78125</v>
      </c>
      <c r="R87" s="92">
        <f>O87/(L87-R86)</f>
        <v>1.4615384615384615</v>
      </c>
      <c r="S87" s="92">
        <f>O87/(L87-S86)</f>
        <v>1.0555555555555556</v>
      </c>
      <c r="T87" s="92">
        <f>O87/(L87-T86)</f>
        <v>1.0961538461538463</v>
      </c>
      <c r="U87" s="93">
        <f>O87/(L87-U86)</f>
        <v>1.1176470588235294</v>
      </c>
      <c r="V87" s="102">
        <f>SUM(Q87:U87)</f>
        <v>6.5121449220713927</v>
      </c>
      <c r="W87" s="88">
        <v>1</v>
      </c>
      <c r="X87" s="385">
        <f>(Q87/V87*100+Q72)*$L87</f>
        <v>36.2837734238542</v>
      </c>
      <c r="Y87" s="386">
        <f>(R87/V87*100+R72)*L87</f>
        <v>33.014701548737762</v>
      </c>
      <c r="Z87" s="386">
        <f>(S87/V87*100+S72)*L87</f>
        <v>23.403474928056635</v>
      </c>
      <c r="AA87" s="386">
        <f>(T87/V87*100+T72)*L87</f>
        <v>27.192454732981894</v>
      </c>
      <c r="AB87" s="387">
        <f>(U87/V87*100+U72)*L87</f>
        <v>24.893846148583236</v>
      </c>
      <c r="AG87" s="86" t="s">
        <v>39</v>
      </c>
      <c r="AL87" s="96" t="s">
        <v>13</v>
      </c>
      <c r="AM87" s="97">
        <v>22</v>
      </c>
      <c r="AN87" s="465">
        <f>AN23</f>
        <v>1</v>
      </c>
      <c r="AP87" s="88">
        <v>1</v>
      </c>
      <c r="AQ87" s="89">
        <v>4</v>
      </c>
      <c r="AR87" s="90"/>
      <c r="AS87" s="91">
        <f>AQ87/(AN87-AS86)</f>
        <v>4.4666666666666668</v>
      </c>
      <c r="AT87" s="92">
        <f>AQ87/(AN87-AT86)</f>
        <v>6.3809523809523805</v>
      </c>
      <c r="AU87" s="92">
        <f>AQ87/(AN87-AU86)</f>
        <v>4.7017543859649118</v>
      </c>
      <c r="AV87" s="92">
        <f>AQ87/(AN87-AV86)</f>
        <v>4.8727272727272721</v>
      </c>
      <c r="AW87" s="93">
        <f>AQ87/(AN87-AW86)</f>
        <v>4.9629629629629628</v>
      </c>
      <c r="AX87" s="102">
        <f>SUM(AS87:AW87)</f>
        <v>25.385063669274192</v>
      </c>
      <c r="AY87" s="206">
        <v>1</v>
      </c>
      <c r="AZ87" s="385">
        <f t="shared" ref="AZ87:AZ98" si="131">(AS87/AX87*100+AS72)*AN87</f>
        <v>29.067871084324828</v>
      </c>
      <c r="BA87" s="386">
        <f>(AT87/AX87*100+AT72)*AN87</f>
        <v>33.078948923882841</v>
      </c>
      <c r="BB87" s="386">
        <f>(AU87/AX87*100+AU72)*AN87</f>
        <v>26.78173564431853</v>
      </c>
      <c r="BC87" s="386">
        <f>(AV87/AX87*100+AV72)*AN87</f>
        <v>26.987706134300609</v>
      </c>
      <c r="BD87" s="387">
        <f>(AW87/AX87*100+AW72)*AN87</f>
        <v>28.728498735669561</v>
      </c>
      <c r="BI87" s="86" t="s">
        <v>39</v>
      </c>
      <c r="BN87" s="96" t="s">
        <v>13</v>
      </c>
      <c r="BO87" s="97">
        <v>12</v>
      </c>
      <c r="BP87" s="465">
        <f>BP23</f>
        <v>1</v>
      </c>
      <c r="BR87" s="88">
        <v>1</v>
      </c>
      <c r="BS87" s="95">
        <v>2</v>
      </c>
      <c r="BT87" s="90"/>
      <c r="BU87" s="91">
        <f>BS87/(BP87-BU86)</f>
        <v>2.9777777777777779</v>
      </c>
      <c r="BV87" s="92">
        <f>BS87/(BP87-BV86)</f>
        <v>2.5769230769230766</v>
      </c>
      <c r="BW87" s="92">
        <f>BS87/(BP87-BW86)</f>
        <v>3.1904761904761902</v>
      </c>
      <c r="BX87" s="92">
        <f>BS87/(BP87-BX86)</f>
        <v>2.0615384615384613</v>
      </c>
      <c r="BY87" s="93">
        <f>BS87/(BP87-BY86)</f>
        <v>2.09375</v>
      </c>
      <c r="BZ87" s="102">
        <f>SUM(BU87:BY87)</f>
        <v>12.900465506715506</v>
      </c>
      <c r="CA87" s="210">
        <v>1</v>
      </c>
      <c r="CB87" s="385">
        <f t="shared" ref="CB87:CB98" si="132">(BU87/BZ87*100+BU72)*BP87</f>
        <v>31.364405847713606</v>
      </c>
      <c r="CC87" s="386">
        <f>(BV87/BZ87*100+BV72)*BP87</f>
        <v>29.459298021762784</v>
      </c>
      <c r="CD87" s="386">
        <f>(BW87/BZ87*100+BW72)*BP87</f>
        <v>34.531481114502</v>
      </c>
      <c r="CE87" s="386">
        <f>(BX87/BZ87*100+BX72)*BP87</f>
        <v>25.313674976550011</v>
      </c>
      <c r="CF87" s="387">
        <f>(BY87/BZ87*100+BY72)*BP87</f>
        <v>23.580034481391941</v>
      </c>
      <c r="CK87" s="86" t="s">
        <v>39</v>
      </c>
      <c r="CP87" s="96" t="s">
        <v>13</v>
      </c>
      <c r="CQ87" s="97">
        <v>10</v>
      </c>
      <c r="CR87" s="465">
        <f>CR23</f>
        <v>1</v>
      </c>
      <c r="CT87" s="88">
        <v>1</v>
      </c>
      <c r="CU87" s="95">
        <v>8</v>
      </c>
      <c r="CV87" s="90"/>
      <c r="CW87" s="91">
        <f>CU87/(CR87-CW86)</f>
        <v>10.580645161290322</v>
      </c>
      <c r="CX87" s="92">
        <f>CU87/(CR87-CX86)</f>
        <v>9.5072463768115938</v>
      </c>
      <c r="CY87" s="92">
        <f>CU87/(CR87-CY86)</f>
        <v>11.118644067796611</v>
      </c>
      <c r="CZ87" s="92">
        <f>CU87/(CR87-CZ86)</f>
        <v>11.508771929824562</v>
      </c>
      <c r="DA87" s="93">
        <f>CU87/(CR87-DA86)</f>
        <v>8.0987654320987659</v>
      </c>
      <c r="DB87" s="102">
        <f>SUM(CW87:DA87)</f>
        <v>50.814072967821851</v>
      </c>
      <c r="DC87" s="210">
        <v>1</v>
      </c>
      <c r="DD87" s="385">
        <f t="shared" ref="DD87:DD98" si="133">(CW87/DB87*100+CW72)*CR87</f>
        <v>29.044495547941544</v>
      </c>
      <c r="DE87" s="386">
        <f>(CX87/DB87*100+CX72)*CR87</f>
        <v>28.302461378021547</v>
      </c>
      <c r="DF87" s="386">
        <f>(CY87/DB87*100+CY72)*CR87</f>
        <v>31.842571447887586</v>
      </c>
      <c r="DG87" s="386">
        <f>(CZ87/DB87*100+CZ72)*CR87</f>
        <v>32.066970347911607</v>
      </c>
      <c r="DH87" s="387">
        <f>(DA87/DB87*100+DA72)*CR87</f>
        <v>23.13248081721726</v>
      </c>
      <c r="DM87" s="86" t="s">
        <v>39</v>
      </c>
      <c r="DR87" s="96" t="s">
        <v>13</v>
      </c>
      <c r="DS87" s="103">
        <v>9</v>
      </c>
      <c r="DT87" s="465">
        <f>DT23</f>
        <v>1</v>
      </c>
      <c r="DV87" s="88">
        <v>1</v>
      </c>
      <c r="DW87" s="95">
        <v>5</v>
      </c>
      <c r="DX87" s="90"/>
      <c r="DY87" s="91">
        <f>DW87/(DT87-DY86)</f>
        <v>6.1445783132530121</v>
      </c>
      <c r="DZ87" s="92">
        <f>DW87/(DT87-DZ86)</f>
        <v>5.666666666666667</v>
      </c>
      <c r="EA87" s="92">
        <f>DW87/(DT87-EA86)</f>
        <v>6.375</v>
      </c>
      <c r="EB87" s="92">
        <f>DW87/(DT87-EB86)</f>
        <v>6.5384615384615392</v>
      </c>
      <c r="EC87" s="93">
        <f>DW87/(DT87-EC86)</f>
        <v>6.6233766233766236</v>
      </c>
      <c r="ED87" s="102">
        <f>SUM(DY87:EC87)</f>
        <v>31.34808314175784</v>
      </c>
      <c r="EE87" s="210">
        <v>1</v>
      </c>
      <c r="EF87" s="24">
        <f>DY87/ED87*100+DY72</f>
        <v>27.787569989340184</v>
      </c>
      <c r="EG87" s="25">
        <f>DZ87/ED87*100+DZ72</f>
        <v>27.736597031600539</v>
      </c>
      <c r="EH87" s="25">
        <f>EA87/ED87*100+EA72</f>
        <v>30.398671660550605</v>
      </c>
      <c r="EI87" s="25">
        <f>EB87/ED87*100+EB72</f>
        <v>30.328200194833201</v>
      </c>
      <c r="EJ87" s="26">
        <f>EC87/ED87*100+EC72</f>
        <v>28.231431213406282</v>
      </c>
    </row>
    <row r="88" spans="5:140" x14ac:dyDescent="0.2">
      <c r="E88" s="86" t="s">
        <v>39</v>
      </c>
      <c r="J88" s="96" t="s">
        <v>1</v>
      </c>
      <c r="K88" s="39">
        <v>16</v>
      </c>
      <c r="L88" s="465">
        <f>L87</f>
        <v>1</v>
      </c>
      <c r="N88" s="88">
        <v>2</v>
      </c>
      <c r="O88" s="95">
        <v>4</v>
      </c>
      <c r="P88" s="90"/>
      <c r="Q88" s="99">
        <f>O88/(L88-Q86)</f>
        <v>7.125</v>
      </c>
      <c r="R88" s="100">
        <f>O88/(L88-R86)</f>
        <v>5.8461538461538458</v>
      </c>
      <c r="S88" s="100">
        <f>O88/(L88-S86)</f>
        <v>4.2222222222222223</v>
      </c>
      <c r="T88" s="100">
        <f>O88/(L88-T86)</f>
        <v>4.384615384615385</v>
      </c>
      <c r="U88" s="100">
        <f>O88/(L88-U86)</f>
        <v>4.4705882352941178</v>
      </c>
      <c r="V88" s="102">
        <f t="shared" ref="V88:V98" si="134">SUM(Q88:U88)</f>
        <v>26.048579688285571</v>
      </c>
      <c r="W88" s="88">
        <v>2</v>
      </c>
      <c r="X88" s="32">
        <f t="shared" ref="X88:X98" si="135">(Q88/V88*100+Q73)*$L88</f>
        <v>37.559635492819716</v>
      </c>
      <c r="Y88" s="38">
        <f t="shared" ref="Y88:Y98" si="136">(R88/V88*100+R73)*L88</f>
        <v>34.524905630370412</v>
      </c>
      <c r="Z88" s="38">
        <f t="shared" ref="Z88:Z98" si="137">(S88/V88*100+S73)*L88</f>
        <v>24.431252705834414</v>
      </c>
      <c r="AA88" s="38">
        <f t="shared" ref="AA88:AA98" si="138">(T88/V88*100+T73)*L88</f>
        <v>28.672454732981894</v>
      </c>
      <c r="AB88" s="39">
        <f t="shared" ref="AB88:AB98" si="139">(U88/V88*100+U73)*L88</f>
        <v>25.998323760523537</v>
      </c>
      <c r="AG88" s="86" t="s">
        <v>39</v>
      </c>
      <c r="AL88" s="96" t="s">
        <v>1</v>
      </c>
      <c r="AM88" s="39">
        <v>23</v>
      </c>
      <c r="AN88" s="465">
        <f>AN87</f>
        <v>1</v>
      </c>
      <c r="AP88" s="88">
        <v>2</v>
      </c>
      <c r="AQ88" s="95">
        <v>2</v>
      </c>
      <c r="AR88" s="90"/>
      <c r="AS88" s="99">
        <f>AQ88/(AN88-AS86)</f>
        <v>2.2333333333333334</v>
      </c>
      <c r="AT88" s="100">
        <f>AQ88/(AN88-AT86)</f>
        <v>3.1904761904761902</v>
      </c>
      <c r="AU88" s="100">
        <f>AQ88/(AN88-AU86)</f>
        <v>2.3508771929824559</v>
      </c>
      <c r="AV88" s="100">
        <f>AQ88/(AN88-AV86)</f>
        <v>2.4363636363636361</v>
      </c>
      <c r="AW88" s="100">
        <f>AQ88/(AN88-AW86)</f>
        <v>2.4814814814814814</v>
      </c>
      <c r="AX88" s="102">
        <f t="shared" ref="AX88:AX98" si="140">SUM(AS88:AW88)</f>
        <v>12.692531834637096</v>
      </c>
      <c r="AY88" s="98">
        <v>2</v>
      </c>
      <c r="AZ88" s="32">
        <f t="shared" si="131"/>
        <v>30.706759973213721</v>
      </c>
      <c r="BA88" s="38">
        <f t="shared" ref="BA88:BA98" si="141">(AT88/AX88*100+AT73)*AN88</f>
        <v>34.213564308498228</v>
      </c>
      <c r="BB88" s="38">
        <f t="shared" ref="BB88:BB98" si="142">(AU88/AX88*100+AU73)*AN88</f>
        <v>27.961735644318534</v>
      </c>
      <c r="BC88" s="38">
        <f t="shared" ref="BC88:BC98" si="143">(AV88/AX88*100+AV73)*AN88</f>
        <v>28.10091368147042</v>
      </c>
      <c r="BD88" s="39">
        <f t="shared" ref="BD88:BD98" si="144">(AW88/AX88*100+AW73)*AN88</f>
        <v>30.039609846780671</v>
      </c>
      <c r="BI88" s="86" t="s">
        <v>39</v>
      </c>
      <c r="BN88" s="96" t="s">
        <v>1</v>
      </c>
      <c r="BO88" s="39">
        <v>13</v>
      </c>
      <c r="BP88" s="465">
        <f>BP87</f>
        <v>1</v>
      </c>
      <c r="BR88" s="88">
        <v>2</v>
      </c>
      <c r="BS88" s="95">
        <v>8</v>
      </c>
      <c r="BT88" s="90"/>
      <c r="BU88" s="99">
        <f>BS88/(BP88-BU86)</f>
        <v>11.911111111111111</v>
      </c>
      <c r="BV88" s="100">
        <f>BS88/(BP88-BV86)</f>
        <v>10.307692307692307</v>
      </c>
      <c r="BW88" s="100">
        <f>BS88/(BP88-BW86)</f>
        <v>12.761904761904761</v>
      </c>
      <c r="BX88" s="100">
        <f>BS88/(BP88-BX86)</f>
        <v>8.2461538461538453</v>
      </c>
      <c r="BY88" s="100">
        <f>BS88/(BP88-BY86)</f>
        <v>8.375</v>
      </c>
      <c r="BZ88" s="102">
        <f t="shared" ref="BZ88:BZ98" si="145">SUM(BU88:BY88)</f>
        <v>51.601862026862023</v>
      </c>
      <c r="CA88" s="211">
        <v>2</v>
      </c>
      <c r="CB88" s="32">
        <f t="shared" si="132"/>
        <v>32.547504439262902</v>
      </c>
      <c r="CC88" s="38">
        <f t="shared" ref="CC88:CC98" si="146">(BV88/BZ88*100+BV73)*BP88</f>
        <v>30.8141367314402</v>
      </c>
      <c r="CD88" s="38">
        <f t="shared" ref="CD88:CD98" si="147">(BW88/BZ88*100+BW73)*BP88</f>
        <v>35.931481114502006</v>
      </c>
      <c r="CE88" s="38">
        <f t="shared" ref="CE88:CE98" si="148">(BX88/BZ88*100+BX73)*BP88</f>
        <v>26.647008309883343</v>
      </c>
      <c r="CF88" s="39">
        <f t="shared" ref="CF88:CF98" si="149">(BY88/BZ88*100+BY73)*BP88</f>
        <v>24.630034481391938</v>
      </c>
      <c r="CK88" s="86" t="s">
        <v>39</v>
      </c>
      <c r="CP88" s="96" t="s">
        <v>1</v>
      </c>
      <c r="CQ88" s="39">
        <v>11</v>
      </c>
      <c r="CR88" s="465">
        <f>CR87</f>
        <v>1</v>
      </c>
      <c r="CT88" s="88">
        <v>2</v>
      </c>
      <c r="CU88" s="95">
        <v>5</v>
      </c>
      <c r="CV88" s="90"/>
      <c r="CW88" s="99">
        <f>CU88/(CR88-CW86)</f>
        <v>6.612903225806452</v>
      </c>
      <c r="CX88" s="100">
        <f>CU88/(CR88-CX86)</f>
        <v>5.942028985507247</v>
      </c>
      <c r="CY88" s="100">
        <f>CU88/(CR88-CY86)</f>
        <v>6.9491525423728815</v>
      </c>
      <c r="CZ88" s="100">
        <f>CU88/(CR88-CZ86)</f>
        <v>7.192982456140351</v>
      </c>
      <c r="DA88" s="100">
        <f>CU88/(CR88-DA86)</f>
        <v>5.0617283950617287</v>
      </c>
      <c r="DB88" s="102">
        <f t="shared" ref="DB88:DB98" si="150">SUM(CW88:DA88)</f>
        <v>31.758795604888661</v>
      </c>
      <c r="DC88" s="211">
        <v>2</v>
      </c>
      <c r="DD88" s="32">
        <f t="shared" si="133"/>
        <v>30.219098722544715</v>
      </c>
      <c r="DE88" s="38">
        <f t="shared" ref="DE88:DE98" si="151">(CX88/DB88*100+CX73)*CR88</f>
        <v>29.672831748391921</v>
      </c>
      <c r="DF88" s="38">
        <f t="shared" ref="DF88:DF98" si="152">(CY88/DB88*100+CY73)*CR88</f>
        <v>33.265648370964499</v>
      </c>
      <c r="DG88" s="38">
        <f t="shared" ref="DG88:DG98" si="153">(CZ88/DB88*100+CZ73)*CR88</f>
        <v>33.412424893366151</v>
      </c>
      <c r="DH88" s="39">
        <f t="shared" ref="DH88:DH98" si="154">(DA88/DB88*100+DA73)*CR88</f>
        <v>24.160258594995035</v>
      </c>
      <c r="DM88" s="86" t="s">
        <v>39</v>
      </c>
      <c r="DR88" s="96" t="s">
        <v>1</v>
      </c>
      <c r="DS88" s="101">
        <v>10</v>
      </c>
      <c r="DT88" s="465">
        <f>DT87</f>
        <v>1</v>
      </c>
      <c r="DV88" s="88">
        <v>2</v>
      </c>
      <c r="DW88" s="95">
        <v>7</v>
      </c>
      <c r="DX88" s="90"/>
      <c r="DY88" s="99">
        <f>DW88/(DT88-DY86)</f>
        <v>8.6024096385542173</v>
      </c>
      <c r="DZ88" s="100">
        <f>DW88/(DT88-DZ86)</f>
        <v>7.9333333333333336</v>
      </c>
      <c r="EA88" s="100">
        <f>DW88/(DT88-EA86)</f>
        <v>8.9250000000000007</v>
      </c>
      <c r="EB88" s="100">
        <f>DW88/(DT88-EB86)</f>
        <v>9.1538461538461551</v>
      </c>
      <c r="EC88" s="100">
        <f>DW88/(DT88-EC86)</f>
        <v>9.2727272727272734</v>
      </c>
      <c r="ED88" s="102">
        <f t="shared" ref="ED88:ED98" si="155">SUM(DY88:EC88)</f>
        <v>43.887316398460982</v>
      </c>
      <c r="EE88" s="211">
        <v>2</v>
      </c>
      <c r="EF88" s="32">
        <f t="shared" ref="EF88:EF98" si="156">DY88/ED88*100+DY73</f>
        <v>28.957061514763907</v>
      </c>
      <c r="EG88" s="38">
        <f t="shared" ref="EG88:EG98" si="157">DZ88/ED88*100+DZ73</f>
        <v>29.116597031600534</v>
      </c>
      <c r="EH88" s="38">
        <f t="shared" ref="EH88:EH98" si="158">EA88/ED88*100+EA73</f>
        <v>31.836171660550605</v>
      </c>
      <c r="EI88" s="38">
        <f t="shared" ref="EI88:EI98" si="159">EB88/ED88*100+EB73</f>
        <v>31.681141371303788</v>
      </c>
      <c r="EJ88" s="39">
        <f t="shared" ref="EJ88:EJ98" si="160">EC88/ED88*100+EC73</f>
        <v>29.246137095759224</v>
      </c>
    </row>
    <row r="89" spans="5:140" x14ac:dyDescent="0.2">
      <c r="E89" s="86" t="s">
        <v>39</v>
      </c>
      <c r="J89" s="96" t="s">
        <v>4</v>
      </c>
      <c r="K89" s="97">
        <v>17</v>
      </c>
      <c r="L89" s="465">
        <f t="shared" ref="L89:L98" si="161">L88</f>
        <v>1</v>
      </c>
      <c r="N89" s="88">
        <v>3</v>
      </c>
      <c r="O89" s="95">
        <v>2</v>
      </c>
      <c r="P89" s="90"/>
      <c r="Q89" s="99">
        <f>O89/(L89-Q86)</f>
        <v>3.5625</v>
      </c>
      <c r="R89" s="100">
        <f>O89/(L89-R86)</f>
        <v>2.9230769230769229</v>
      </c>
      <c r="S89" s="100">
        <f>O89/(L89-S86)</f>
        <v>2.1111111111111112</v>
      </c>
      <c r="T89" s="100">
        <f>O89/(L89-T86)</f>
        <v>2.1923076923076925</v>
      </c>
      <c r="U89" s="100">
        <f>O89/(L89-U86)</f>
        <v>2.2352941176470589</v>
      </c>
      <c r="V89" s="102">
        <f t="shared" si="134"/>
        <v>13.024289844142785</v>
      </c>
      <c r="W89" s="88">
        <v>3</v>
      </c>
      <c r="X89" s="32">
        <f t="shared" si="135"/>
        <v>38.835497561785232</v>
      </c>
      <c r="Y89" s="38">
        <f t="shared" si="136"/>
        <v>36.035109712003063</v>
      </c>
      <c r="Z89" s="38">
        <f t="shared" si="137"/>
        <v>25.459030483612192</v>
      </c>
      <c r="AA89" s="38">
        <f t="shared" si="138"/>
        <v>30.152454732981894</v>
      </c>
      <c r="AB89" s="39">
        <f t="shared" si="139"/>
        <v>27.102801372463837</v>
      </c>
      <c r="AG89" s="86" t="s">
        <v>39</v>
      </c>
      <c r="AL89" s="96" t="s">
        <v>4</v>
      </c>
      <c r="AM89" s="97">
        <v>24</v>
      </c>
      <c r="AN89" s="465">
        <f t="shared" ref="AN89:AN98" si="162">AN88</f>
        <v>1</v>
      </c>
      <c r="AP89" s="88">
        <v>3</v>
      </c>
      <c r="AQ89" s="95">
        <v>8</v>
      </c>
      <c r="AR89" s="90"/>
      <c r="AS89" s="99">
        <f>AQ89/(AN89-AS86)</f>
        <v>8.9333333333333336</v>
      </c>
      <c r="AT89" s="100">
        <f>AQ89/(AN89-AT86)</f>
        <v>12.761904761904761</v>
      </c>
      <c r="AU89" s="100">
        <f>AQ89/(AN89-AU86)</f>
        <v>9.4035087719298236</v>
      </c>
      <c r="AV89" s="100">
        <f>AQ89/(AN89-AV86)</f>
        <v>9.7454545454545443</v>
      </c>
      <c r="AW89" s="100">
        <f>AQ89/(AN89-AW86)</f>
        <v>9.9259259259259256</v>
      </c>
      <c r="AX89" s="102">
        <f t="shared" si="140"/>
        <v>50.770127338548384</v>
      </c>
      <c r="AY89" s="98">
        <v>3</v>
      </c>
      <c r="AZ89" s="32">
        <f t="shared" si="131"/>
        <v>32.345648862102607</v>
      </c>
      <c r="BA89" s="38">
        <f t="shared" si="141"/>
        <v>35.348179693113615</v>
      </c>
      <c r="BB89" s="38">
        <f t="shared" si="142"/>
        <v>29.141735644318533</v>
      </c>
      <c r="BC89" s="38">
        <f t="shared" si="143"/>
        <v>29.214121228640231</v>
      </c>
      <c r="BD89" s="39">
        <f t="shared" si="144"/>
        <v>31.350720957891784</v>
      </c>
      <c r="BI89" s="86" t="s">
        <v>39</v>
      </c>
      <c r="BN89" s="96" t="s">
        <v>4</v>
      </c>
      <c r="BO89" s="97">
        <v>14</v>
      </c>
      <c r="BP89" s="465">
        <f t="shared" ref="BP89:BP98" si="163">BP88</f>
        <v>1</v>
      </c>
      <c r="BR89" s="88">
        <v>3</v>
      </c>
      <c r="BS89" s="95">
        <v>5</v>
      </c>
      <c r="BT89" s="90"/>
      <c r="BU89" s="99">
        <f>BS89/(BP89-BU86)</f>
        <v>7.4444444444444455</v>
      </c>
      <c r="BV89" s="100">
        <f>BS89/(BP89-BV86)</f>
        <v>6.4423076923076925</v>
      </c>
      <c r="BW89" s="100">
        <f>BS89/(BP89-BW86)</f>
        <v>7.9761904761904754</v>
      </c>
      <c r="BX89" s="100">
        <f>BS89/(BP89-BX86)</f>
        <v>5.1538461538461533</v>
      </c>
      <c r="BY89" s="100">
        <f>BS89/(BP89-BY86)</f>
        <v>5.234375</v>
      </c>
      <c r="BZ89" s="102">
        <f t="shared" si="145"/>
        <v>32.251163766788764</v>
      </c>
      <c r="CA89" s="211">
        <v>3</v>
      </c>
      <c r="CB89" s="32">
        <f t="shared" si="132"/>
        <v>33.730603030812205</v>
      </c>
      <c r="CC89" s="38">
        <f t="shared" si="146"/>
        <v>32.168975441117624</v>
      </c>
      <c r="CD89" s="38">
        <f t="shared" si="147"/>
        <v>37.331481114502004</v>
      </c>
      <c r="CE89" s="38">
        <f t="shared" si="148"/>
        <v>27.980341643216676</v>
      </c>
      <c r="CF89" s="39">
        <f t="shared" si="149"/>
        <v>25.680034481391942</v>
      </c>
      <c r="CK89" s="86" t="s">
        <v>39</v>
      </c>
      <c r="CP89" s="96" t="s">
        <v>4</v>
      </c>
      <c r="CQ89" s="97">
        <v>12</v>
      </c>
      <c r="CR89" s="465">
        <f t="shared" ref="CR89:CR98" si="164">CR88</f>
        <v>1</v>
      </c>
      <c r="CT89" s="88">
        <v>3</v>
      </c>
      <c r="CU89" s="95">
        <v>7</v>
      </c>
      <c r="CV89" s="90"/>
      <c r="CW89" s="99">
        <f>CU89/(CR89-CW86)</f>
        <v>9.258064516129032</v>
      </c>
      <c r="CX89" s="100">
        <f>CU89/(CR89-CX86)</f>
        <v>8.3188405797101446</v>
      </c>
      <c r="CY89" s="100">
        <f>CU89/(CR89-CY86)</f>
        <v>9.7288135593220346</v>
      </c>
      <c r="CZ89" s="100">
        <f>CU89/(CR89-CZ86)</f>
        <v>10.070175438596491</v>
      </c>
      <c r="DA89" s="100">
        <f>CU89/(CR89-DA86)</f>
        <v>7.0864197530864201</v>
      </c>
      <c r="DB89" s="102">
        <f t="shared" si="150"/>
        <v>44.462313846844118</v>
      </c>
      <c r="DC89" s="211">
        <v>3</v>
      </c>
      <c r="DD89" s="32">
        <f t="shared" si="133"/>
        <v>31.393701897147892</v>
      </c>
      <c r="DE89" s="38">
        <f t="shared" si="151"/>
        <v>31.043202118762288</v>
      </c>
      <c r="DF89" s="38">
        <f t="shared" si="152"/>
        <v>34.688725294041433</v>
      </c>
      <c r="DG89" s="38">
        <f t="shared" si="153"/>
        <v>34.757879438820702</v>
      </c>
      <c r="DH89" s="39">
        <f t="shared" si="154"/>
        <v>25.188036372772817</v>
      </c>
      <c r="DM89" s="86" t="s">
        <v>39</v>
      </c>
      <c r="DR89" s="96" t="s">
        <v>4</v>
      </c>
      <c r="DS89" s="103">
        <v>11</v>
      </c>
      <c r="DT89" s="465">
        <f t="shared" ref="DT89:DT98" si="165">DT88</f>
        <v>1</v>
      </c>
      <c r="DV89" s="88">
        <v>3</v>
      </c>
      <c r="DW89" s="95">
        <v>1</v>
      </c>
      <c r="DX89" s="90"/>
      <c r="DY89" s="99">
        <f>DW89/(DT89-DY86)</f>
        <v>1.2289156626506024</v>
      </c>
      <c r="DZ89" s="100">
        <f>DW89/(DT89-DZ86)</f>
        <v>1.1333333333333333</v>
      </c>
      <c r="EA89" s="100">
        <f>DW89/(DT89-EA86)</f>
        <v>1.2749999999999999</v>
      </c>
      <c r="EB89" s="100">
        <f>DW89/(DT89-EB86)</f>
        <v>1.3076923076923077</v>
      </c>
      <c r="EC89" s="100">
        <f>DW89/(DT89-EC86)</f>
        <v>1.3246753246753247</v>
      </c>
      <c r="ED89" s="102">
        <f t="shared" si="155"/>
        <v>6.2696166283515682</v>
      </c>
      <c r="EE89" s="211">
        <v>3</v>
      </c>
      <c r="EF89" s="32">
        <f t="shared" si="156"/>
        <v>30.126553040187638</v>
      </c>
      <c r="EG89" s="38">
        <f t="shared" si="157"/>
        <v>30.496597031600537</v>
      </c>
      <c r="EH89" s="38">
        <f t="shared" si="158"/>
        <v>33.273671660550605</v>
      </c>
      <c r="EI89" s="38">
        <f t="shared" si="159"/>
        <v>33.034082547774375</v>
      </c>
      <c r="EJ89" s="39">
        <f t="shared" si="160"/>
        <v>30.260842978112166</v>
      </c>
    </row>
    <row r="90" spans="5:140" x14ac:dyDescent="0.2">
      <c r="E90" s="86" t="s">
        <v>39</v>
      </c>
      <c r="J90" s="96" t="s">
        <v>10</v>
      </c>
      <c r="K90" s="39">
        <v>18</v>
      </c>
      <c r="L90" s="465">
        <f t="shared" si="161"/>
        <v>1</v>
      </c>
      <c r="N90" s="88">
        <v>4</v>
      </c>
      <c r="O90" s="95">
        <v>8</v>
      </c>
      <c r="P90" s="90"/>
      <c r="Q90" s="99">
        <f>O90/(L90-Q86)</f>
        <v>14.25</v>
      </c>
      <c r="R90" s="100">
        <f>O90/(L90-R86)</f>
        <v>11.692307692307692</v>
      </c>
      <c r="S90" s="100">
        <f>O90/(L90-S86)</f>
        <v>8.4444444444444446</v>
      </c>
      <c r="T90" s="104">
        <f>O90/(L90-T86)</f>
        <v>8.7692307692307701</v>
      </c>
      <c r="U90" s="100">
        <f>O90/(L90-U86)</f>
        <v>8.9411764705882355</v>
      </c>
      <c r="V90" s="102">
        <f t="shared" si="134"/>
        <v>52.097159376571142</v>
      </c>
      <c r="W90" s="88">
        <v>4</v>
      </c>
      <c r="X90" s="32">
        <f t="shared" si="135"/>
        <v>38.835497561785232</v>
      </c>
      <c r="Y90" s="38">
        <f t="shared" si="136"/>
        <v>36.035109712003063</v>
      </c>
      <c r="Z90" s="38">
        <f t="shared" si="137"/>
        <v>25.459030483612192</v>
      </c>
      <c r="AA90" s="38">
        <f t="shared" si="138"/>
        <v>30.152454732981894</v>
      </c>
      <c r="AB90" s="39">
        <f t="shared" si="139"/>
        <v>27.102801372463837</v>
      </c>
      <c r="AG90" s="86" t="s">
        <v>39</v>
      </c>
      <c r="AL90" s="105" t="s">
        <v>10</v>
      </c>
      <c r="AM90" s="117">
        <v>25</v>
      </c>
      <c r="AN90" s="465">
        <f t="shared" si="162"/>
        <v>1</v>
      </c>
      <c r="AP90" s="88">
        <v>4</v>
      </c>
      <c r="AQ90" s="95">
        <v>5</v>
      </c>
      <c r="AR90" s="90"/>
      <c r="AS90" s="99">
        <f>AQ90/(AN90-AS86)</f>
        <v>5.583333333333333</v>
      </c>
      <c r="AT90" s="100">
        <f>AQ90/(AN90-AT86)</f>
        <v>7.9761904761904754</v>
      </c>
      <c r="AU90" s="100">
        <f>AQ90/(AN90-AU86)</f>
        <v>5.8771929824561404</v>
      </c>
      <c r="AV90" s="104">
        <f>AQ90/(AN90-AV86)</f>
        <v>6.0909090909090908</v>
      </c>
      <c r="AW90" s="100">
        <f>AQ90/(AN90-AW86)</f>
        <v>6.2037037037037042</v>
      </c>
      <c r="AX90" s="102">
        <f t="shared" si="140"/>
        <v>31.731329586592743</v>
      </c>
      <c r="AY90" s="98">
        <v>4</v>
      </c>
      <c r="AZ90" s="32">
        <f t="shared" si="131"/>
        <v>32.345648862102607</v>
      </c>
      <c r="BA90" s="38">
        <f t="shared" si="141"/>
        <v>35.348179693113607</v>
      </c>
      <c r="BB90" s="38">
        <f t="shared" si="142"/>
        <v>29.141735644318533</v>
      </c>
      <c r="BC90" s="38">
        <f t="shared" si="143"/>
        <v>29.214121228640234</v>
      </c>
      <c r="BD90" s="39">
        <f t="shared" si="144"/>
        <v>31.350720957891784</v>
      </c>
      <c r="BI90" s="86" t="s">
        <v>39</v>
      </c>
      <c r="BN90" s="96" t="s">
        <v>10</v>
      </c>
      <c r="BO90" s="39">
        <v>15</v>
      </c>
      <c r="BP90" s="465">
        <f t="shared" si="163"/>
        <v>1</v>
      </c>
      <c r="BR90" s="88">
        <v>4</v>
      </c>
      <c r="BS90" s="95">
        <v>7</v>
      </c>
      <c r="BT90" s="90"/>
      <c r="BU90" s="99">
        <f>BS90/(BP90-BU86)</f>
        <v>10.422222222222222</v>
      </c>
      <c r="BV90" s="100">
        <f>BS90/(BP90-BV86)</f>
        <v>9.0192307692307683</v>
      </c>
      <c r="BW90" s="100">
        <f>BS90/(BP90-BW86)</f>
        <v>11.166666666666666</v>
      </c>
      <c r="BX90" s="104">
        <f>BS90/(BP90-BX86)</f>
        <v>7.2153846153846155</v>
      </c>
      <c r="BY90" s="100">
        <f>BS90/(BP90-BY86)</f>
        <v>7.328125</v>
      </c>
      <c r="BZ90" s="102">
        <f t="shared" si="145"/>
        <v>45.15162927350427</v>
      </c>
      <c r="CA90" s="211">
        <v>4</v>
      </c>
      <c r="CB90" s="32">
        <f t="shared" si="132"/>
        <v>33.730603030812198</v>
      </c>
      <c r="CC90" s="38">
        <f t="shared" si="146"/>
        <v>32.168975441117624</v>
      </c>
      <c r="CD90" s="38">
        <f t="shared" si="147"/>
        <v>37.331481114502004</v>
      </c>
      <c r="CE90" s="38">
        <f t="shared" si="148"/>
        <v>27.980341643216683</v>
      </c>
      <c r="CF90" s="39">
        <f t="shared" si="149"/>
        <v>25.680034481391942</v>
      </c>
      <c r="CK90" s="86" t="s">
        <v>39</v>
      </c>
      <c r="CP90" s="96" t="s">
        <v>10</v>
      </c>
      <c r="CQ90" s="39">
        <v>13</v>
      </c>
      <c r="CR90" s="465">
        <f t="shared" si="164"/>
        <v>1</v>
      </c>
      <c r="CT90" s="88">
        <v>4</v>
      </c>
      <c r="CU90" s="95">
        <v>1</v>
      </c>
      <c r="CV90" s="90"/>
      <c r="CW90" s="99">
        <f>CU90/(CR90-CW86)</f>
        <v>1.3225806451612903</v>
      </c>
      <c r="CX90" s="100">
        <f>CU90/(CR90-CX86)</f>
        <v>1.1884057971014492</v>
      </c>
      <c r="CY90" s="100">
        <f>CU90/(CR90-CY86)</f>
        <v>1.3898305084745763</v>
      </c>
      <c r="CZ90" s="104">
        <f>CU90/(CR90-CZ86)</f>
        <v>1.4385964912280702</v>
      </c>
      <c r="DA90" s="100">
        <f>CU90/(CR90-DA86)</f>
        <v>1.0123456790123457</v>
      </c>
      <c r="DB90" s="102">
        <f t="shared" si="150"/>
        <v>6.3517591209777313</v>
      </c>
      <c r="DC90" s="211">
        <v>4</v>
      </c>
      <c r="DD90" s="32">
        <f t="shared" si="133"/>
        <v>31.393701897147892</v>
      </c>
      <c r="DE90" s="38">
        <f t="shared" si="151"/>
        <v>31.043202118762288</v>
      </c>
      <c r="DF90" s="38">
        <f t="shared" si="152"/>
        <v>34.688725294041433</v>
      </c>
      <c r="DG90" s="38">
        <f t="shared" si="153"/>
        <v>34.757879438820702</v>
      </c>
      <c r="DH90" s="39">
        <f t="shared" si="154"/>
        <v>25.188036372772814</v>
      </c>
      <c r="DM90" s="86" t="s">
        <v>39</v>
      </c>
      <c r="DR90" s="96" t="s">
        <v>10</v>
      </c>
      <c r="DS90" s="101">
        <v>12</v>
      </c>
      <c r="DT90" s="465">
        <f t="shared" si="165"/>
        <v>1</v>
      </c>
      <c r="DV90" s="88">
        <v>4</v>
      </c>
      <c r="DW90" s="95">
        <v>4</v>
      </c>
      <c r="DX90" s="90"/>
      <c r="DY90" s="99">
        <f>DW90/(DT90-DY86)</f>
        <v>4.9156626506024095</v>
      </c>
      <c r="DZ90" s="100">
        <f>DW90/(DT90-DZ86)</f>
        <v>4.5333333333333332</v>
      </c>
      <c r="EA90" s="100">
        <f>DW90/(DT90-EA86)</f>
        <v>5.0999999999999996</v>
      </c>
      <c r="EB90" s="104">
        <f>DW90/(DT90-EB86)</f>
        <v>5.2307692307692308</v>
      </c>
      <c r="EC90" s="100">
        <f>DW90/(DT90-EC86)</f>
        <v>5.2987012987012987</v>
      </c>
      <c r="ED90" s="102">
        <f t="shared" si="155"/>
        <v>25.078466513406273</v>
      </c>
      <c r="EE90" s="211">
        <v>4</v>
      </c>
      <c r="EF90" s="32">
        <f t="shared" si="156"/>
        <v>30.126553040187638</v>
      </c>
      <c r="EG90" s="38">
        <f t="shared" si="157"/>
        <v>30.496597031600537</v>
      </c>
      <c r="EH90" s="38">
        <f t="shared" si="158"/>
        <v>33.273671660550605</v>
      </c>
      <c r="EI90" s="38">
        <f t="shared" si="159"/>
        <v>33.034082547774375</v>
      </c>
      <c r="EJ90" s="39">
        <f t="shared" si="160"/>
        <v>30.260842978112166</v>
      </c>
    </row>
    <row r="91" spans="5:140" x14ac:dyDescent="0.2">
      <c r="E91" s="86" t="s">
        <v>39</v>
      </c>
      <c r="J91" s="96" t="s">
        <v>5</v>
      </c>
      <c r="K91" s="97">
        <v>19</v>
      </c>
      <c r="L91" s="465">
        <f t="shared" si="161"/>
        <v>1</v>
      </c>
      <c r="N91" s="88">
        <v>5</v>
      </c>
      <c r="O91" s="95">
        <v>5</v>
      </c>
      <c r="P91" s="90"/>
      <c r="Q91" s="99">
        <f>O91/(L91-Q86)</f>
        <v>8.90625</v>
      </c>
      <c r="R91" s="100">
        <f>O91/(L91-R86)</f>
        <v>7.3076923076923075</v>
      </c>
      <c r="S91" s="100">
        <f>O91/(L91-S86)</f>
        <v>5.2777777777777777</v>
      </c>
      <c r="T91" s="100">
        <f>O91/(L91-T86)</f>
        <v>5.4807692307692308</v>
      </c>
      <c r="U91" s="100">
        <f>O91/(L91-U86)</f>
        <v>5.5882352941176467</v>
      </c>
      <c r="V91" s="102">
        <f t="shared" si="134"/>
        <v>32.560724610356964</v>
      </c>
      <c r="W91" s="88">
        <v>5</v>
      </c>
      <c r="X91" s="32">
        <f t="shared" si="135"/>
        <v>37.559635492819716</v>
      </c>
      <c r="Y91" s="38">
        <f t="shared" si="136"/>
        <v>34.524905630370412</v>
      </c>
      <c r="Z91" s="38">
        <f t="shared" si="137"/>
        <v>24.431252705834414</v>
      </c>
      <c r="AA91" s="38">
        <f t="shared" si="138"/>
        <v>28.672454732981894</v>
      </c>
      <c r="AB91" s="39">
        <f t="shared" si="139"/>
        <v>25.998323760523533</v>
      </c>
      <c r="AG91" s="86" t="s">
        <v>39</v>
      </c>
      <c r="AL91" s="96" t="s">
        <v>5</v>
      </c>
      <c r="AM91" s="97">
        <v>1</v>
      </c>
      <c r="AN91" s="465">
        <f t="shared" si="162"/>
        <v>1</v>
      </c>
      <c r="AP91" s="88">
        <v>5</v>
      </c>
      <c r="AQ91" s="95">
        <v>7</v>
      </c>
      <c r="AR91" s="90"/>
      <c r="AS91" s="99">
        <f>AQ91/(AN91-AS86)</f>
        <v>7.8166666666666664</v>
      </c>
      <c r="AT91" s="100">
        <f>AQ91/(AN91-AT86)</f>
        <v>11.166666666666666</v>
      </c>
      <c r="AU91" s="100">
        <f>AQ91/(AN91-AU86)</f>
        <v>8.2280701754385959</v>
      </c>
      <c r="AV91" s="100">
        <f>AQ91/(AN91-AV86)</f>
        <v>8.5272727272727273</v>
      </c>
      <c r="AW91" s="100">
        <f>AQ91/(AN91-AW86)</f>
        <v>8.6851851851851851</v>
      </c>
      <c r="AX91" s="102">
        <f t="shared" si="140"/>
        <v>44.423861421229837</v>
      </c>
      <c r="AY91" s="98">
        <v>5</v>
      </c>
      <c r="AZ91" s="32">
        <f t="shared" si="131"/>
        <v>30.706759973213721</v>
      </c>
      <c r="BA91" s="38">
        <f t="shared" si="141"/>
        <v>34.213564308498228</v>
      </c>
      <c r="BB91" s="38">
        <f t="shared" si="142"/>
        <v>27.961735644318534</v>
      </c>
      <c r="BC91" s="38">
        <f t="shared" si="143"/>
        <v>28.100913681470423</v>
      </c>
      <c r="BD91" s="39">
        <f t="shared" si="144"/>
        <v>30.039609846780671</v>
      </c>
      <c r="BI91" s="86" t="s">
        <v>39</v>
      </c>
      <c r="BN91" s="96" t="s">
        <v>5</v>
      </c>
      <c r="BO91" s="97">
        <v>16</v>
      </c>
      <c r="BP91" s="465">
        <f t="shared" si="163"/>
        <v>1</v>
      </c>
      <c r="BR91" s="88">
        <v>5</v>
      </c>
      <c r="BS91" s="95">
        <v>1</v>
      </c>
      <c r="BT91" s="90"/>
      <c r="BU91" s="99">
        <f>BS91/(BP91-BU86)</f>
        <v>1.4888888888888889</v>
      </c>
      <c r="BV91" s="100">
        <f>BS91/(BP91-BV86)</f>
        <v>1.2884615384615383</v>
      </c>
      <c r="BW91" s="100">
        <f>BS91/(BP91-BW86)</f>
        <v>1.5952380952380951</v>
      </c>
      <c r="BX91" s="100">
        <f>BS91/(BP91-BX86)</f>
        <v>1.0307692307692307</v>
      </c>
      <c r="BY91" s="100">
        <f>BS91/(BP91-BY86)</f>
        <v>1.046875</v>
      </c>
      <c r="BZ91" s="102">
        <f t="shared" si="145"/>
        <v>6.4502327533577528</v>
      </c>
      <c r="CA91" s="211">
        <v>5</v>
      </c>
      <c r="CB91" s="32">
        <f t="shared" si="132"/>
        <v>32.547504439262902</v>
      </c>
      <c r="CC91" s="38">
        <f t="shared" si="146"/>
        <v>30.8141367314402</v>
      </c>
      <c r="CD91" s="38">
        <f t="shared" si="147"/>
        <v>35.931481114502006</v>
      </c>
      <c r="CE91" s="38">
        <f t="shared" si="148"/>
        <v>26.647008309883343</v>
      </c>
      <c r="CF91" s="39">
        <f t="shared" si="149"/>
        <v>24.630034481391938</v>
      </c>
      <c r="CK91" s="86" t="s">
        <v>39</v>
      </c>
      <c r="CP91" s="96" t="s">
        <v>5</v>
      </c>
      <c r="CQ91" s="97">
        <v>14</v>
      </c>
      <c r="CR91" s="465">
        <f t="shared" si="164"/>
        <v>1</v>
      </c>
      <c r="CT91" s="88">
        <v>5</v>
      </c>
      <c r="CU91" s="95">
        <v>4</v>
      </c>
      <c r="CV91" s="90"/>
      <c r="CW91" s="99">
        <f>CU91/(CR91-CW86)</f>
        <v>5.290322580645161</v>
      </c>
      <c r="CX91" s="100">
        <f>CU91/(CR91-CX86)</f>
        <v>4.7536231884057969</v>
      </c>
      <c r="CY91" s="100">
        <f>CU91/(CR91-CY86)</f>
        <v>5.5593220338983054</v>
      </c>
      <c r="CZ91" s="100">
        <f>CU91/(CR91-CZ86)</f>
        <v>5.7543859649122808</v>
      </c>
      <c r="DA91" s="100">
        <f>CU91/(CR91-DA86)</f>
        <v>4.0493827160493829</v>
      </c>
      <c r="DB91" s="102">
        <f t="shared" si="150"/>
        <v>25.407036483910925</v>
      </c>
      <c r="DC91" s="211">
        <v>5</v>
      </c>
      <c r="DD91" s="32">
        <f t="shared" si="133"/>
        <v>30.219098722544722</v>
      </c>
      <c r="DE91" s="38">
        <f t="shared" si="151"/>
        <v>29.672831748391921</v>
      </c>
      <c r="DF91" s="38">
        <f t="shared" si="152"/>
        <v>33.265648370964506</v>
      </c>
      <c r="DG91" s="38">
        <f t="shared" si="153"/>
        <v>33.412424893366158</v>
      </c>
      <c r="DH91" s="39">
        <f t="shared" si="154"/>
        <v>24.160258594995035</v>
      </c>
      <c r="DM91" s="86" t="s">
        <v>39</v>
      </c>
      <c r="DR91" s="96" t="s">
        <v>5</v>
      </c>
      <c r="DS91" s="103">
        <v>13</v>
      </c>
      <c r="DT91" s="465">
        <f t="shared" si="165"/>
        <v>1</v>
      </c>
      <c r="DV91" s="88">
        <v>5</v>
      </c>
      <c r="DW91" s="95">
        <v>2</v>
      </c>
      <c r="DX91" s="90"/>
      <c r="DY91" s="99">
        <f>DW91/(DT91-DY86)</f>
        <v>2.4578313253012047</v>
      </c>
      <c r="DZ91" s="100">
        <f>DW91/(DT91-DZ86)</f>
        <v>2.2666666666666666</v>
      </c>
      <c r="EA91" s="100">
        <f>DW91/(DT91-EA86)</f>
        <v>2.5499999999999998</v>
      </c>
      <c r="EB91" s="100">
        <f>DW91/(DT91-EB86)</f>
        <v>2.6153846153846154</v>
      </c>
      <c r="EC91" s="100">
        <f>DW91/(DT91-EC86)</f>
        <v>2.6493506493506493</v>
      </c>
      <c r="ED91" s="102">
        <f t="shared" si="155"/>
        <v>12.539233256703136</v>
      </c>
      <c r="EE91" s="211">
        <v>5</v>
      </c>
      <c r="EF91" s="32">
        <f t="shared" si="156"/>
        <v>28.957061514763907</v>
      </c>
      <c r="EG91" s="38">
        <f t="shared" si="157"/>
        <v>29.116597031600538</v>
      </c>
      <c r="EH91" s="38">
        <f t="shared" si="158"/>
        <v>31.836171660550605</v>
      </c>
      <c r="EI91" s="38">
        <f t="shared" si="159"/>
        <v>31.681141371303788</v>
      </c>
      <c r="EJ91" s="39">
        <f t="shared" si="160"/>
        <v>29.246137095759224</v>
      </c>
    </row>
    <row r="92" spans="5:140" x14ac:dyDescent="0.2">
      <c r="E92" s="86" t="s">
        <v>39</v>
      </c>
      <c r="J92" s="96" t="s">
        <v>9</v>
      </c>
      <c r="K92" s="39">
        <v>20</v>
      </c>
      <c r="L92" s="465">
        <f t="shared" si="161"/>
        <v>1</v>
      </c>
      <c r="N92" s="88">
        <v>6</v>
      </c>
      <c r="O92" s="95">
        <v>7</v>
      </c>
      <c r="P92" s="90"/>
      <c r="Q92" s="99">
        <f>O92/(L92-Q86)</f>
        <v>12.46875</v>
      </c>
      <c r="R92" s="100">
        <f>O92/(L92-R86)</f>
        <v>10.23076923076923</v>
      </c>
      <c r="S92" s="100">
        <f>O92/(L92-S86)</f>
        <v>7.3888888888888884</v>
      </c>
      <c r="T92" s="100">
        <f>O92/(L92-T86)</f>
        <v>7.6730769230769234</v>
      </c>
      <c r="U92" s="100">
        <f>O92/(L92-U86)</f>
        <v>7.8235294117647056</v>
      </c>
      <c r="V92" s="102">
        <f t="shared" si="134"/>
        <v>45.585014454499749</v>
      </c>
      <c r="W92" s="88">
        <v>6</v>
      </c>
      <c r="X92" s="32">
        <f t="shared" si="135"/>
        <v>36.2837734238542</v>
      </c>
      <c r="Y92" s="38">
        <f t="shared" si="136"/>
        <v>33.014701548737762</v>
      </c>
      <c r="Z92" s="38">
        <f t="shared" si="137"/>
        <v>23.403474928056635</v>
      </c>
      <c r="AA92" s="38">
        <f t="shared" si="138"/>
        <v>27.192454732981894</v>
      </c>
      <c r="AB92" s="39">
        <f t="shared" si="139"/>
        <v>24.893846148583236</v>
      </c>
      <c r="AG92" s="86" t="s">
        <v>39</v>
      </c>
      <c r="AL92" s="96" t="s">
        <v>9</v>
      </c>
      <c r="AM92" s="39">
        <v>2</v>
      </c>
      <c r="AN92" s="465">
        <f t="shared" si="162"/>
        <v>1</v>
      </c>
      <c r="AP92" s="88">
        <v>6</v>
      </c>
      <c r="AQ92" s="95">
        <v>1</v>
      </c>
      <c r="AR92" s="90"/>
      <c r="AS92" s="99">
        <f>AQ92/(AN92-AS86)</f>
        <v>1.1166666666666667</v>
      </c>
      <c r="AT92" s="100">
        <f>AQ92/(AN92-AT86)</f>
        <v>1.5952380952380951</v>
      </c>
      <c r="AU92" s="100">
        <f>AQ92/(AN92-AU86)</f>
        <v>1.1754385964912279</v>
      </c>
      <c r="AV92" s="100">
        <f>AQ92/(AN92-AV86)</f>
        <v>1.218181818181818</v>
      </c>
      <c r="AW92" s="100">
        <f>AQ92/(AN92-AW86)</f>
        <v>1.2407407407407407</v>
      </c>
      <c r="AX92" s="102">
        <f t="shared" si="140"/>
        <v>6.3462659173185481</v>
      </c>
      <c r="AY92" s="98">
        <v>6</v>
      </c>
      <c r="AZ92" s="32">
        <f t="shared" si="131"/>
        <v>29.067871084324828</v>
      </c>
      <c r="BA92" s="38">
        <f t="shared" si="141"/>
        <v>33.078948923882841</v>
      </c>
      <c r="BB92" s="38">
        <f t="shared" si="142"/>
        <v>26.78173564431853</v>
      </c>
      <c r="BC92" s="38">
        <f t="shared" si="143"/>
        <v>26.987706134300609</v>
      </c>
      <c r="BD92" s="39">
        <f t="shared" si="144"/>
        <v>28.728498735669561</v>
      </c>
      <c r="BI92" s="86" t="s">
        <v>39</v>
      </c>
      <c r="BN92" s="96" t="s">
        <v>9</v>
      </c>
      <c r="BO92" s="39">
        <v>17</v>
      </c>
      <c r="BP92" s="465">
        <f t="shared" si="163"/>
        <v>1</v>
      </c>
      <c r="BR92" s="88">
        <v>6</v>
      </c>
      <c r="BS92" s="95">
        <v>4</v>
      </c>
      <c r="BT92" s="90"/>
      <c r="BU92" s="99">
        <f>BS92/(BP92-BU86)</f>
        <v>5.9555555555555557</v>
      </c>
      <c r="BV92" s="100">
        <f>BS92/(BP92-BV86)</f>
        <v>5.1538461538461533</v>
      </c>
      <c r="BW92" s="100">
        <f>BS92/(BP92-BW86)</f>
        <v>6.3809523809523805</v>
      </c>
      <c r="BX92" s="100">
        <f>BS92/(BP92-BX86)</f>
        <v>4.1230769230769226</v>
      </c>
      <c r="BY92" s="100">
        <f>BS92/(BP92-BY86)</f>
        <v>4.1875</v>
      </c>
      <c r="BZ92" s="102">
        <f t="shared" si="145"/>
        <v>25.800931013431011</v>
      </c>
      <c r="CA92" s="211">
        <v>6</v>
      </c>
      <c r="CB92" s="32">
        <f t="shared" si="132"/>
        <v>31.364405847713606</v>
      </c>
      <c r="CC92" s="38">
        <f t="shared" si="146"/>
        <v>29.459298021762784</v>
      </c>
      <c r="CD92" s="38">
        <f t="shared" si="147"/>
        <v>34.531481114502</v>
      </c>
      <c r="CE92" s="38">
        <f t="shared" si="148"/>
        <v>25.313674976550011</v>
      </c>
      <c r="CF92" s="39">
        <f t="shared" si="149"/>
        <v>23.580034481391941</v>
      </c>
      <c r="CK92" s="86" t="s">
        <v>39</v>
      </c>
      <c r="CP92" s="96" t="s">
        <v>9</v>
      </c>
      <c r="CQ92" s="39">
        <v>15</v>
      </c>
      <c r="CR92" s="465">
        <f t="shared" si="164"/>
        <v>1</v>
      </c>
      <c r="CT92" s="88">
        <v>6</v>
      </c>
      <c r="CU92" s="95">
        <v>2</v>
      </c>
      <c r="CV92" s="90"/>
      <c r="CW92" s="99">
        <f>CU92/(CR92-CW86)</f>
        <v>2.6451612903225805</v>
      </c>
      <c r="CX92" s="100">
        <f>CU92/(CR92-CX86)</f>
        <v>2.3768115942028984</v>
      </c>
      <c r="CY92" s="100">
        <f>CU92/(CR92-CY86)</f>
        <v>2.7796610169491527</v>
      </c>
      <c r="CZ92" s="100">
        <f>CU92/(CR92-CZ86)</f>
        <v>2.8771929824561404</v>
      </c>
      <c r="DA92" s="100">
        <f>CU92/(CR92-DA86)</f>
        <v>2.0246913580246915</v>
      </c>
      <c r="DB92" s="102">
        <f t="shared" si="150"/>
        <v>12.703518241955463</v>
      </c>
      <c r="DC92" s="211">
        <v>6</v>
      </c>
      <c r="DD92" s="32">
        <f t="shared" si="133"/>
        <v>29.044495547941544</v>
      </c>
      <c r="DE92" s="38">
        <f t="shared" si="151"/>
        <v>28.302461378021547</v>
      </c>
      <c r="DF92" s="38">
        <f t="shared" si="152"/>
        <v>31.842571447887586</v>
      </c>
      <c r="DG92" s="38">
        <f t="shared" si="153"/>
        <v>32.066970347911607</v>
      </c>
      <c r="DH92" s="39">
        <f t="shared" si="154"/>
        <v>23.13248081721726</v>
      </c>
      <c r="DM92" s="86" t="s">
        <v>39</v>
      </c>
      <c r="DR92" s="96" t="s">
        <v>9</v>
      </c>
      <c r="DS92" s="101">
        <v>14</v>
      </c>
      <c r="DT92" s="465">
        <f t="shared" si="165"/>
        <v>1</v>
      </c>
      <c r="DV92" s="88">
        <v>6</v>
      </c>
      <c r="DW92" s="95">
        <v>8</v>
      </c>
      <c r="DX92" s="90"/>
      <c r="DY92" s="99">
        <f>DW92/(DT92-DY86)</f>
        <v>9.831325301204819</v>
      </c>
      <c r="DZ92" s="100">
        <f>DW92/(DT92-DZ86)</f>
        <v>9.0666666666666664</v>
      </c>
      <c r="EA92" s="100">
        <f>DW92/(DT92-EA86)</f>
        <v>10.199999999999999</v>
      </c>
      <c r="EB92" s="100">
        <f>DW92/(DT92-EB86)</f>
        <v>10.461538461538462</v>
      </c>
      <c r="EC92" s="100">
        <f>DW92/(DT92-EC86)</f>
        <v>10.597402597402597</v>
      </c>
      <c r="ED92" s="102">
        <f t="shared" si="155"/>
        <v>50.156933026812546</v>
      </c>
      <c r="EE92" s="211">
        <v>6</v>
      </c>
      <c r="EF92" s="32">
        <f t="shared" si="156"/>
        <v>27.787569989340177</v>
      </c>
      <c r="EG92" s="38">
        <f t="shared" si="157"/>
        <v>27.736597031600539</v>
      </c>
      <c r="EH92" s="38">
        <f t="shared" si="158"/>
        <v>30.398671660550605</v>
      </c>
      <c r="EI92" s="38">
        <f t="shared" si="159"/>
        <v>30.328200194833201</v>
      </c>
      <c r="EJ92" s="39">
        <f t="shared" si="160"/>
        <v>28.231431213406282</v>
      </c>
    </row>
    <row r="93" spans="5:140" x14ac:dyDescent="0.2">
      <c r="E93" s="86" t="s">
        <v>39</v>
      </c>
      <c r="J93" s="96" t="s">
        <v>19</v>
      </c>
      <c r="K93" s="97">
        <v>21</v>
      </c>
      <c r="L93" s="465">
        <f t="shared" si="161"/>
        <v>1</v>
      </c>
      <c r="N93" s="88">
        <v>7</v>
      </c>
      <c r="O93" s="95">
        <v>1</v>
      </c>
      <c r="P93" s="90"/>
      <c r="Q93" s="99">
        <f>O93/(L93-Q86)</f>
        <v>1.78125</v>
      </c>
      <c r="R93" s="100">
        <f>O93/(L93-R86)</f>
        <v>1.4615384615384615</v>
      </c>
      <c r="S93" s="100">
        <f>O93/(L93-S86)</f>
        <v>1.0555555555555556</v>
      </c>
      <c r="T93" s="100">
        <f>O93/(L93-T86)</f>
        <v>1.0961538461538463</v>
      </c>
      <c r="U93" s="100">
        <f>O93/(L93-U86)</f>
        <v>1.1176470588235294</v>
      </c>
      <c r="V93" s="102">
        <f t="shared" si="134"/>
        <v>6.5121449220713927</v>
      </c>
      <c r="W93" s="88">
        <v>7</v>
      </c>
      <c r="X93" s="32">
        <f t="shared" si="135"/>
        <v>36.2837734238542</v>
      </c>
      <c r="Y93" s="38">
        <f t="shared" si="136"/>
        <v>33.014701548737762</v>
      </c>
      <c r="Z93" s="38">
        <f t="shared" si="137"/>
        <v>23.403474928056635</v>
      </c>
      <c r="AA93" s="38">
        <f t="shared" si="138"/>
        <v>27.192454732981894</v>
      </c>
      <c r="AB93" s="39">
        <f t="shared" si="139"/>
        <v>24.893846148583236</v>
      </c>
      <c r="AG93" s="86" t="s">
        <v>39</v>
      </c>
      <c r="AL93" s="96" t="s">
        <v>19</v>
      </c>
      <c r="AM93" s="97">
        <v>3</v>
      </c>
      <c r="AN93" s="465">
        <f t="shared" si="162"/>
        <v>1</v>
      </c>
      <c r="AP93" s="88">
        <v>7</v>
      </c>
      <c r="AQ93" s="95">
        <v>4</v>
      </c>
      <c r="AR93" s="90"/>
      <c r="AS93" s="99">
        <f>AQ93/(AN93-AS86)</f>
        <v>4.4666666666666668</v>
      </c>
      <c r="AT93" s="100">
        <f>AQ93/(AN93-AT86)</f>
        <v>6.3809523809523805</v>
      </c>
      <c r="AU93" s="100">
        <f>AQ93/(AN93-AU86)</f>
        <v>4.7017543859649118</v>
      </c>
      <c r="AV93" s="100">
        <f>AQ93/(AN93-AV86)</f>
        <v>4.8727272727272721</v>
      </c>
      <c r="AW93" s="100">
        <f>AQ93/(AN93-AW86)</f>
        <v>4.9629629629629628</v>
      </c>
      <c r="AX93" s="102">
        <f t="shared" si="140"/>
        <v>25.385063669274192</v>
      </c>
      <c r="AY93" s="98">
        <v>7</v>
      </c>
      <c r="AZ93" s="32">
        <f t="shared" si="131"/>
        <v>29.067871084324828</v>
      </c>
      <c r="BA93" s="38">
        <f t="shared" si="141"/>
        <v>33.078948923882841</v>
      </c>
      <c r="BB93" s="38">
        <f t="shared" si="142"/>
        <v>26.78173564431853</v>
      </c>
      <c r="BC93" s="38">
        <f t="shared" si="143"/>
        <v>26.987706134300609</v>
      </c>
      <c r="BD93" s="39">
        <f t="shared" si="144"/>
        <v>28.728498735669561</v>
      </c>
      <c r="BI93" s="86" t="s">
        <v>39</v>
      </c>
      <c r="BN93" s="96" t="s">
        <v>19</v>
      </c>
      <c r="BO93" s="97">
        <v>18</v>
      </c>
      <c r="BP93" s="465">
        <f t="shared" si="163"/>
        <v>1</v>
      </c>
      <c r="BR93" s="88">
        <v>7</v>
      </c>
      <c r="BS93" s="95">
        <v>2</v>
      </c>
      <c r="BT93" s="90"/>
      <c r="BU93" s="99">
        <f>BS93/(BP93-BU86)</f>
        <v>2.9777777777777779</v>
      </c>
      <c r="BV93" s="100">
        <f>BS93/(BP93-BV86)</f>
        <v>2.5769230769230766</v>
      </c>
      <c r="BW93" s="100">
        <f>BS93/(BP93-BW86)</f>
        <v>3.1904761904761902</v>
      </c>
      <c r="BX93" s="100">
        <f>BS93/(BP93-BX86)</f>
        <v>2.0615384615384613</v>
      </c>
      <c r="BY93" s="100">
        <f>BS93/(BP93-BY86)</f>
        <v>2.09375</v>
      </c>
      <c r="BZ93" s="102">
        <f t="shared" si="145"/>
        <v>12.900465506715506</v>
      </c>
      <c r="CA93" s="211">
        <v>7</v>
      </c>
      <c r="CB93" s="32">
        <f t="shared" si="132"/>
        <v>31.364405847713606</v>
      </c>
      <c r="CC93" s="38">
        <f t="shared" si="146"/>
        <v>29.459298021762784</v>
      </c>
      <c r="CD93" s="38">
        <f t="shared" si="147"/>
        <v>34.531481114502</v>
      </c>
      <c r="CE93" s="38">
        <f t="shared" si="148"/>
        <v>25.313674976550011</v>
      </c>
      <c r="CF93" s="39">
        <f t="shared" si="149"/>
        <v>23.580034481391941</v>
      </c>
      <c r="CK93" s="86" t="s">
        <v>39</v>
      </c>
      <c r="CP93" s="96" t="s">
        <v>19</v>
      </c>
      <c r="CQ93" s="97">
        <v>16</v>
      </c>
      <c r="CR93" s="465">
        <f t="shared" si="164"/>
        <v>1</v>
      </c>
      <c r="CT93" s="88">
        <v>7</v>
      </c>
      <c r="CU93" s="95">
        <v>8</v>
      </c>
      <c r="CV93" s="90"/>
      <c r="CW93" s="99">
        <f>CU93/(CR93-CW86)</f>
        <v>10.580645161290322</v>
      </c>
      <c r="CX93" s="100">
        <f>CU93/(CR93-CX86)</f>
        <v>9.5072463768115938</v>
      </c>
      <c r="CY93" s="100">
        <f>CU93/(CR93-CY86)</f>
        <v>11.118644067796611</v>
      </c>
      <c r="CZ93" s="100">
        <f>CU93/(CR93-CZ86)</f>
        <v>11.508771929824562</v>
      </c>
      <c r="DA93" s="100">
        <f>CU93/(CR93-DA86)</f>
        <v>8.0987654320987659</v>
      </c>
      <c r="DB93" s="102">
        <f t="shared" si="150"/>
        <v>50.814072967821851</v>
      </c>
      <c r="DC93" s="211">
        <v>7</v>
      </c>
      <c r="DD93" s="32">
        <f t="shared" si="133"/>
        <v>29.044495547941544</v>
      </c>
      <c r="DE93" s="38">
        <f t="shared" si="151"/>
        <v>28.302461378021547</v>
      </c>
      <c r="DF93" s="38">
        <f t="shared" si="152"/>
        <v>31.842571447887586</v>
      </c>
      <c r="DG93" s="38">
        <f t="shared" si="153"/>
        <v>32.066970347911607</v>
      </c>
      <c r="DH93" s="39">
        <f t="shared" si="154"/>
        <v>23.13248081721726</v>
      </c>
      <c r="DM93" s="86" t="s">
        <v>39</v>
      </c>
      <c r="DR93" s="96" t="s">
        <v>19</v>
      </c>
      <c r="DS93" s="103">
        <v>15</v>
      </c>
      <c r="DT93" s="465">
        <f t="shared" si="165"/>
        <v>1</v>
      </c>
      <c r="DV93" s="88">
        <v>7</v>
      </c>
      <c r="DW93" s="95">
        <v>5</v>
      </c>
      <c r="DX93" s="90"/>
      <c r="DY93" s="99">
        <f>DW93/(DT93-DY86)</f>
        <v>6.1445783132530121</v>
      </c>
      <c r="DZ93" s="100">
        <f>DW93/(DT93-DZ86)</f>
        <v>5.666666666666667</v>
      </c>
      <c r="EA93" s="100">
        <f>DW93/(DT93-EA86)</f>
        <v>6.375</v>
      </c>
      <c r="EB93" s="100">
        <f>DW93/(DT93-EB86)</f>
        <v>6.5384615384615392</v>
      </c>
      <c r="EC93" s="100">
        <f>DW93/(DT93-EC86)</f>
        <v>6.6233766233766236</v>
      </c>
      <c r="ED93" s="102">
        <f t="shared" si="155"/>
        <v>31.34808314175784</v>
      </c>
      <c r="EE93" s="211">
        <v>7</v>
      </c>
      <c r="EF93" s="32">
        <f t="shared" si="156"/>
        <v>27.787569989340184</v>
      </c>
      <c r="EG93" s="38">
        <f t="shared" si="157"/>
        <v>27.736597031600539</v>
      </c>
      <c r="EH93" s="38">
        <f t="shared" si="158"/>
        <v>30.398671660550605</v>
      </c>
      <c r="EI93" s="38">
        <f t="shared" si="159"/>
        <v>30.328200194833201</v>
      </c>
      <c r="EJ93" s="39">
        <f t="shared" si="160"/>
        <v>28.231431213406282</v>
      </c>
    </row>
    <row r="94" spans="5:140" x14ac:dyDescent="0.2">
      <c r="E94" s="86" t="s">
        <v>39</v>
      </c>
      <c r="J94" s="96" t="s">
        <v>2</v>
      </c>
      <c r="K94" s="39">
        <v>22</v>
      </c>
      <c r="L94" s="465">
        <f t="shared" si="161"/>
        <v>1</v>
      </c>
      <c r="N94" s="88">
        <v>8</v>
      </c>
      <c r="O94" s="95">
        <v>4</v>
      </c>
      <c r="P94" s="90"/>
      <c r="Q94" s="99">
        <f>O94/(L94-Q86)</f>
        <v>7.125</v>
      </c>
      <c r="R94" s="100">
        <f>O94/(L94-R86)</f>
        <v>5.8461538461538458</v>
      </c>
      <c r="S94" s="100">
        <f>O94/(L94-S86)</f>
        <v>4.2222222222222223</v>
      </c>
      <c r="T94" s="100">
        <f>O94/(L94-T86)</f>
        <v>4.384615384615385</v>
      </c>
      <c r="U94" s="100">
        <f>O94/(L94-U86)</f>
        <v>4.4705882352941178</v>
      </c>
      <c r="V94" s="102">
        <f t="shared" si="134"/>
        <v>26.048579688285571</v>
      </c>
      <c r="W94" s="88">
        <v>8</v>
      </c>
      <c r="X94" s="32">
        <f t="shared" si="135"/>
        <v>37.559635492819716</v>
      </c>
      <c r="Y94" s="38">
        <f t="shared" si="136"/>
        <v>34.524905630370412</v>
      </c>
      <c r="Z94" s="38">
        <f t="shared" si="137"/>
        <v>24.431252705834414</v>
      </c>
      <c r="AA94" s="38">
        <f t="shared" si="138"/>
        <v>28.672454732981894</v>
      </c>
      <c r="AB94" s="39">
        <f t="shared" si="139"/>
        <v>25.998323760523537</v>
      </c>
      <c r="AG94" s="86" t="s">
        <v>39</v>
      </c>
      <c r="AL94" s="96" t="s">
        <v>2</v>
      </c>
      <c r="AM94" s="39">
        <v>4</v>
      </c>
      <c r="AN94" s="465">
        <f t="shared" si="162"/>
        <v>1</v>
      </c>
      <c r="AP94" s="88">
        <v>8</v>
      </c>
      <c r="AQ94" s="95">
        <v>2</v>
      </c>
      <c r="AR94" s="90"/>
      <c r="AS94" s="99">
        <f>AQ94/(AN94-AS86)</f>
        <v>2.2333333333333334</v>
      </c>
      <c r="AT94" s="100">
        <f>AQ94/(AN94-AT86)</f>
        <v>3.1904761904761902</v>
      </c>
      <c r="AU94" s="100">
        <f>AQ94/(AN94-AU86)</f>
        <v>2.3508771929824559</v>
      </c>
      <c r="AV94" s="100">
        <f>AQ94/(AN94-AV86)</f>
        <v>2.4363636363636361</v>
      </c>
      <c r="AW94" s="100">
        <f>AQ94/(AN94-AW86)</f>
        <v>2.4814814814814814</v>
      </c>
      <c r="AX94" s="102">
        <f t="shared" si="140"/>
        <v>12.692531834637096</v>
      </c>
      <c r="AY94" s="98">
        <v>8</v>
      </c>
      <c r="AZ94" s="32">
        <f t="shared" si="131"/>
        <v>30.706759973213721</v>
      </c>
      <c r="BA94" s="38">
        <f t="shared" si="141"/>
        <v>34.213564308498228</v>
      </c>
      <c r="BB94" s="38">
        <f t="shared" si="142"/>
        <v>27.961735644318534</v>
      </c>
      <c r="BC94" s="38">
        <f t="shared" si="143"/>
        <v>28.10091368147042</v>
      </c>
      <c r="BD94" s="39">
        <f t="shared" si="144"/>
        <v>30.039609846780671</v>
      </c>
      <c r="BI94" s="86" t="s">
        <v>39</v>
      </c>
      <c r="BN94" s="96" t="s">
        <v>2</v>
      </c>
      <c r="BO94" s="39">
        <v>19</v>
      </c>
      <c r="BP94" s="465">
        <f t="shared" si="163"/>
        <v>1</v>
      </c>
      <c r="BR94" s="88">
        <v>8</v>
      </c>
      <c r="BS94" s="95">
        <v>8</v>
      </c>
      <c r="BT94" s="90"/>
      <c r="BU94" s="99">
        <f>BS94/(BP94-BU86)</f>
        <v>11.911111111111111</v>
      </c>
      <c r="BV94" s="100">
        <f>BS94/(BP94-BV86)</f>
        <v>10.307692307692307</v>
      </c>
      <c r="BW94" s="100">
        <f>BS94/(BP94-BW86)</f>
        <v>12.761904761904761</v>
      </c>
      <c r="BX94" s="100">
        <f>BS94/(BP94-BX86)</f>
        <v>8.2461538461538453</v>
      </c>
      <c r="BY94" s="100">
        <f>BS94/(BP94-BY86)</f>
        <v>8.375</v>
      </c>
      <c r="BZ94" s="102">
        <f t="shared" si="145"/>
        <v>51.601862026862023</v>
      </c>
      <c r="CA94" s="211">
        <v>8</v>
      </c>
      <c r="CB94" s="32">
        <f t="shared" si="132"/>
        <v>32.547504439262902</v>
      </c>
      <c r="CC94" s="38">
        <f t="shared" si="146"/>
        <v>30.8141367314402</v>
      </c>
      <c r="CD94" s="38">
        <f t="shared" si="147"/>
        <v>35.931481114502006</v>
      </c>
      <c r="CE94" s="38">
        <f t="shared" si="148"/>
        <v>26.647008309883343</v>
      </c>
      <c r="CF94" s="39">
        <f t="shared" si="149"/>
        <v>24.630034481391938</v>
      </c>
      <c r="CK94" s="86" t="s">
        <v>39</v>
      </c>
      <c r="CP94" s="96" t="s">
        <v>2</v>
      </c>
      <c r="CQ94" s="39">
        <v>17</v>
      </c>
      <c r="CR94" s="465">
        <f t="shared" si="164"/>
        <v>1</v>
      </c>
      <c r="CT94" s="88">
        <v>8</v>
      </c>
      <c r="CU94" s="95">
        <v>5</v>
      </c>
      <c r="CV94" s="90"/>
      <c r="CW94" s="99">
        <f>CU94/(CR94-CW86)</f>
        <v>6.612903225806452</v>
      </c>
      <c r="CX94" s="100">
        <f>CU94/(CR94-CX86)</f>
        <v>5.942028985507247</v>
      </c>
      <c r="CY94" s="100">
        <f>CU94/(CR94-CY86)</f>
        <v>6.9491525423728815</v>
      </c>
      <c r="CZ94" s="100">
        <f>CU94/(CR94-CZ86)</f>
        <v>7.192982456140351</v>
      </c>
      <c r="DA94" s="100">
        <f>CU94/(CR94-DA86)</f>
        <v>5.0617283950617287</v>
      </c>
      <c r="DB94" s="102">
        <f t="shared" si="150"/>
        <v>31.758795604888661</v>
      </c>
      <c r="DC94" s="211">
        <v>8</v>
      </c>
      <c r="DD94" s="32">
        <f t="shared" si="133"/>
        <v>30.219098722544715</v>
      </c>
      <c r="DE94" s="38">
        <f t="shared" si="151"/>
        <v>29.672831748391921</v>
      </c>
      <c r="DF94" s="38">
        <f t="shared" si="152"/>
        <v>33.265648370964499</v>
      </c>
      <c r="DG94" s="38">
        <f t="shared" si="153"/>
        <v>33.412424893366151</v>
      </c>
      <c r="DH94" s="39">
        <f t="shared" si="154"/>
        <v>24.160258594995035</v>
      </c>
      <c r="DM94" s="86" t="s">
        <v>39</v>
      </c>
      <c r="DR94" s="96" t="s">
        <v>2</v>
      </c>
      <c r="DS94" s="101">
        <v>16</v>
      </c>
      <c r="DT94" s="465">
        <f t="shared" si="165"/>
        <v>1</v>
      </c>
      <c r="DV94" s="88">
        <v>8</v>
      </c>
      <c r="DW94" s="95">
        <v>7</v>
      </c>
      <c r="DX94" s="90"/>
      <c r="DY94" s="99">
        <f>DW94/(DT94-DY86)</f>
        <v>8.6024096385542173</v>
      </c>
      <c r="DZ94" s="100">
        <f>DW94/(DT94-DZ86)</f>
        <v>7.9333333333333336</v>
      </c>
      <c r="EA94" s="100">
        <f>DW94/(DT94-EA86)</f>
        <v>8.9250000000000007</v>
      </c>
      <c r="EB94" s="100">
        <f>DW94/(DT94-EB86)</f>
        <v>9.1538461538461551</v>
      </c>
      <c r="EC94" s="100">
        <f>DW94/(DT94-EC86)</f>
        <v>9.2727272727272734</v>
      </c>
      <c r="ED94" s="102">
        <f t="shared" si="155"/>
        <v>43.887316398460982</v>
      </c>
      <c r="EE94" s="211">
        <v>8</v>
      </c>
      <c r="EF94" s="32">
        <f t="shared" si="156"/>
        <v>28.957061514763907</v>
      </c>
      <c r="EG94" s="38">
        <f t="shared" si="157"/>
        <v>29.116597031600534</v>
      </c>
      <c r="EH94" s="38">
        <f t="shared" si="158"/>
        <v>31.836171660550605</v>
      </c>
      <c r="EI94" s="38">
        <f t="shared" si="159"/>
        <v>31.681141371303788</v>
      </c>
      <c r="EJ94" s="39">
        <f t="shared" si="160"/>
        <v>29.246137095759224</v>
      </c>
    </row>
    <row r="95" spans="5:140" x14ac:dyDescent="0.2">
      <c r="E95" s="86" t="s">
        <v>39</v>
      </c>
      <c r="J95" s="96" t="s">
        <v>18</v>
      </c>
      <c r="K95" s="97">
        <v>23</v>
      </c>
      <c r="L95" s="465">
        <f t="shared" si="161"/>
        <v>1</v>
      </c>
      <c r="N95" s="88">
        <v>9</v>
      </c>
      <c r="O95" s="95">
        <v>2</v>
      </c>
      <c r="P95" s="90"/>
      <c r="Q95" s="99">
        <f>O95/(L95-Q86)</f>
        <v>3.5625</v>
      </c>
      <c r="R95" s="100">
        <f>O95/(L95-R86)</f>
        <v>2.9230769230769229</v>
      </c>
      <c r="S95" s="100">
        <f>O95/(L95-S86)</f>
        <v>2.1111111111111112</v>
      </c>
      <c r="T95" s="100">
        <f>O95/(L95-T86)</f>
        <v>2.1923076923076925</v>
      </c>
      <c r="U95" s="100">
        <f>O95/(L95-U86)</f>
        <v>2.2352941176470589</v>
      </c>
      <c r="V95" s="102">
        <f t="shared" si="134"/>
        <v>13.024289844142785</v>
      </c>
      <c r="W95" s="88">
        <v>9</v>
      </c>
      <c r="X95" s="32">
        <f t="shared" si="135"/>
        <v>38.835497561785232</v>
      </c>
      <c r="Y95" s="38">
        <f t="shared" si="136"/>
        <v>36.035109712003063</v>
      </c>
      <c r="Z95" s="38">
        <f t="shared" si="137"/>
        <v>25.459030483612192</v>
      </c>
      <c r="AA95" s="38">
        <f t="shared" si="138"/>
        <v>30.152454732981894</v>
      </c>
      <c r="AB95" s="39">
        <f t="shared" si="139"/>
        <v>27.102801372463837</v>
      </c>
      <c r="AG95" s="86" t="s">
        <v>39</v>
      </c>
      <c r="AL95" s="96" t="s">
        <v>18</v>
      </c>
      <c r="AM95" s="97">
        <v>5</v>
      </c>
      <c r="AN95" s="465">
        <f t="shared" si="162"/>
        <v>1</v>
      </c>
      <c r="AP95" s="88">
        <v>9</v>
      </c>
      <c r="AQ95" s="95">
        <v>8</v>
      </c>
      <c r="AR95" s="90"/>
      <c r="AS95" s="99">
        <f>AQ95/(AN95-AS86)</f>
        <v>8.9333333333333336</v>
      </c>
      <c r="AT95" s="100">
        <f>AQ95/(AN95-AT86)</f>
        <v>12.761904761904761</v>
      </c>
      <c r="AU95" s="100">
        <f>AQ95/(AN95-AU86)</f>
        <v>9.4035087719298236</v>
      </c>
      <c r="AV95" s="100">
        <f>AQ95/(AN95-AV86)</f>
        <v>9.7454545454545443</v>
      </c>
      <c r="AW95" s="100">
        <f>AQ95/(AN95-AW86)</f>
        <v>9.9259259259259256</v>
      </c>
      <c r="AX95" s="102">
        <f t="shared" si="140"/>
        <v>50.770127338548384</v>
      </c>
      <c r="AY95" s="98">
        <v>9</v>
      </c>
      <c r="AZ95" s="32">
        <f t="shared" si="131"/>
        <v>32.345648862102607</v>
      </c>
      <c r="BA95" s="38">
        <f t="shared" si="141"/>
        <v>35.348179693113615</v>
      </c>
      <c r="BB95" s="38">
        <f t="shared" si="142"/>
        <v>29.141735644318533</v>
      </c>
      <c r="BC95" s="38">
        <f t="shared" si="143"/>
        <v>29.214121228640231</v>
      </c>
      <c r="BD95" s="39">
        <f t="shared" si="144"/>
        <v>31.350720957891784</v>
      </c>
      <c r="BI95" s="86" t="s">
        <v>39</v>
      </c>
      <c r="BN95" s="96" t="s">
        <v>18</v>
      </c>
      <c r="BO95" s="97">
        <v>20</v>
      </c>
      <c r="BP95" s="465">
        <f t="shared" si="163"/>
        <v>1</v>
      </c>
      <c r="BR95" s="88">
        <v>9</v>
      </c>
      <c r="BS95" s="95">
        <v>5</v>
      </c>
      <c r="BT95" s="90"/>
      <c r="BU95" s="99">
        <f>BS95/(BP95-BU86)</f>
        <v>7.4444444444444455</v>
      </c>
      <c r="BV95" s="100">
        <f>BS95/(BP95-BV86)</f>
        <v>6.4423076923076925</v>
      </c>
      <c r="BW95" s="100">
        <f>BS95/(BP95-BW86)</f>
        <v>7.9761904761904754</v>
      </c>
      <c r="BX95" s="100">
        <f>BS95/(BP95-BX86)</f>
        <v>5.1538461538461533</v>
      </c>
      <c r="BY95" s="100">
        <f>BS95/(BP95-BY86)</f>
        <v>5.234375</v>
      </c>
      <c r="BZ95" s="102">
        <f t="shared" si="145"/>
        <v>32.251163766788764</v>
      </c>
      <c r="CA95" s="211">
        <v>9</v>
      </c>
      <c r="CB95" s="32">
        <f t="shared" si="132"/>
        <v>33.730603030812205</v>
      </c>
      <c r="CC95" s="38">
        <f t="shared" si="146"/>
        <v>32.168975441117624</v>
      </c>
      <c r="CD95" s="38">
        <f t="shared" si="147"/>
        <v>37.331481114502004</v>
      </c>
      <c r="CE95" s="38">
        <f t="shared" si="148"/>
        <v>27.980341643216676</v>
      </c>
      <c r="CF95" s="39">
        <f t="shared" si="149"/>
        <v>25.680034481391942</v>
      </c>
      <c r="CK95" s="86" t="s">
        <v>39</v>
      </c>
      <c r="CP95" s="96" t="s">
        <v>18</v>
      </c>
      <c r="CQ95" s="97">
        <v>18</v>
      </c>
      <c r="CR95" s="465">
        <f t="shared" si="164"/>
        <v>1</v>
      </c>
      <c r="CT95" s="88">
        <v>9</v>
      </c>
      <c r="CU95" s="95">
        <v>7</v>
      </c>
      <c r="CV95" s="90"/>
      <c r="CW95" s="99">
        <f>CU95/(CR95-CW86)</f>
        <v>9.258064516129032</v>
      </c>
      <c r="CX95" s="100">
        <f>CU95/(CR95-CX86)</f>
        <v>8.3188405797101446</v>
      </c>
      <c r="CY95" s="100">
        <f>CU95/(CR95-CY86)</f>
        <v>9.7288135593220346</v>
      </c>
      <c r="CZ95" s="100">
        <f>CU95/(CR95-CZ86)</f>
        <v>10.070175438596491</v>
      </c>
      <c r="DA95" s="100">
        <f>CU95/(CR95-DA86)</f>
        <v>7.0864197530864201</v>
      </c>
      <c r="DB95" s="102">
        <f t="shared" si="150"/>
        <v>44.462313846844118</v>
      </c>
      <c r="DC95" s="211">
        <v>9</v>
      </c>
      <c r="DD95" s="32">
        <f t="shared" si="133"/>
        <v>31.393701897147892</v>
      </c>
      <c r="DE95" s="38">
        <f t="shared" si="151"/>
        <v>31.043202118762288</v>
      </c>
      <c r="DF95" s="38">
        <f t="shared" si="152"/>
        <v>34.688725294041433</v>
      </c>
      <c r="DG95" s="38">
        <f t="shared" si="153"/>
        <v>34.757879438820702</v>
      </c>
      <c r="DH95" s="39">
        <f t="shared" si="154"/>
        <v>25.188036372772817</v>
      </c>
      <c r="DM95" s="86" t="s">
        <v>39</v>
      </c>
      <c r="DR95" s="96" t="s">
        <v>18</v>
      </c>
      <c r="DS95" s="101">
        <v>17</v>
      </c>
      <c r="DT95" s="465">
        <f t="shared" si="165"/>
        <v>1</v>
      </c>
      <c r="DV95" s="88">
        <v>9</v>
      </c>
      <c r="DW95" s="95">
        <v>1</v>
      </c>
      <c r="DX95" s="90"/>
      <c r="DY95" s="99">
        <f>DW95/(DT95-DY86)</f>
        <v>1.2289156626506024</v>
      </c>
      <c r="DZ95" s="100">
        <f>DW95/(DT95-DZ86)</f>
        <v>1.1333333333333333</v>
      </c>
      <c r="EA95" s="100">
        <f>DW95/(DT95-EA86)</f>
        <v>1.2749999999999999</v>
      </c>
      <c r="EB95" s="100">
        <f>DW95/(DT95-EB86)</f>
        <v>1.3076923076923077</v>
      </c>
      <c r="EC95" s="100">
        <f>DW95/(DT95-EC86)</f>
        <v>1.3246753246753247</v>
      </c>
      <c r="ED95" s="102">
        <f t="shared" si="155"/>
        <v>6.2696166283515682</v>
      </c>
      <c r="EE95" s="211">
        <v>9</v>
      </c>
      <c r="EF95" s="32">
        <f t="shared" si="156"/>
        <v>30.126553040187638</v>
      </c>
      <c r="EG95" s="38">
        <f t="shared" si="157"/>
        <v>30.496597031600537</v>
      </c>
      <c r="EH95" s="38">
        <f t="shared" si="158"/>
        <v>33.273671660550605</v>
      </c>
      <c r="EI95" s="38">
        <f t="shared" si="159"/>
        <v>33.034082547774375</v>
      </c>
      <c r="EJ95" s="39">
        <f t="shared" si="160"/>
        <v>30.260842978112166</v>
      </c>
    </row>
    <row r="96" spans="5:140" ht="15" thickBot="1" x14ac:dyDescent="0.25">
      <c r="E96" s="86" t="s">
        <v>39</v>
      </c>
      <c r="J96" s="119" t="s">
        <v>22</v>
      </c>
      <c r="K96" s="71">
        <v>24</v>
      </c>
      <c r="L96" s="465">
        <f t="shared" si="161"/>
        <v>1</v>
      </c>
      <c r="N96" s="88">
        <v>10</v>
      </c>
      <c r="O96" s="95">
        <v>8</v>
      </c>
      <c r="P96" s="90"/>
      <c r="Q96" s="99">
        <f>O96/(L96-Q86)</f>
        <v>14.25</v>
      </c>
      <c r="R96" s="100">
        <f>O96/(L96-R86)</f>
        <v>11.692307692307692</v>
      </c>
      <c r="S96" s="100">
        <f>O96/(L96-S86)</f>
        <v>8.4444444444444446</v>
      </c>
      <c r="T96" s="100">
        <f>O96/(L96-T86)</f>
        <v>8.7692307692307701</v>
      </c>
      <c r="U96" s="100">
        <f>O96/(L96-U86)</f>
        <v>8.9411764705882355</v>
      </c>
      <c r="V96" s="102">
        <f t="shared" si="134"/>
        <v>52.097159376571142</v>
      </c>
      <c r="W96" s="88">
        <v>10</v>
      </c>
      <c r="X96" s="32">
        <f t="shared" si="135"/>
        <v>38.835497561785232</v>
      </c>
      <c r="Y96" s="38">
        <f t="shared" si="136"/>
        <v>36.035109712003063</v>
      </c>
      <c r="Z96" s="38">
        <f t="shared" si="137"/>
        <v>25.459030483612192</v>
      </c>
      <c r="AA96" s="38">
        <f t="shared" si="138"/>
        <v>30.152454732981894</v>
      </c>
      <c r="AB96" s="39">
        <f t="shared" si="139"/>
        <v>27.102801372463837</v>
      </c>
      <c r="AG96" s="86" t="s">
        <v>39</v>
      </c>
      <c r="AL96" s="119" t="s">
        <v>22</v>
      </c>
      <c r="AM96" s="71">
        <v>6</v>
      </c>
      <c r="AN96" s="465">
        <f t="shared" si="162"/>
        <v>1</v>
      </c>
      <c r="AP96" s="88">
        <v>10</v>
      </c>
      <c r="AQ96" s="95">
        <v>5</v>
      </c>
      <c r="AR96" s="90"/>
      <c r="AS96" s="99">
        <f>AQ96/(AN96-AS86)</f>
        <v>5.583333333333333</v>
      </c>
      <c r="AT96" s="100">
        <f>AQ96/(AN96-AT86)</f>
        <v>7.9761904761904754</v>
      </c>
      <c r="AU96" s="100">
        <f>AQ96/(AN96-AU86)</f>
        <v>5.8771929824561404</v>
      </c>
      <c r="AV96" s="100">
        <f>AQ96/(AN96-AV86)</f>
        <v>6.0909090909090908</v>
      </c>
      <c r="AW96" s="100">
        <f>AQ96/(AN96-AW86)</f>
        <v>6.2037037037037042</v>
      </c>
      <c r="AX96" s="102">
        <f t="shared" si="140"/>
        <v>31.731329586592743</v>
      </c>
      <c r="AY96" s="98">
        <v>10</v>
      </c>
      <c r="AZ96" s="32">
        <f t="shared" si="131"/>
        <v>32.345648862102607</v>
      </c>
      <c r="BA96" s="38">
        <f t="shared" si="141"/>
        <v>35.348179693113607</v>
      </c>
      <c r="BB96" s="38">
        <f t="shared" si="142"/>
        <v>29.141735644318533</v>
      </c>
      <c r="BC96" s="38">
        <f t="shared" si="143"/>
        <v>29.214121228640234</v>
      </c>
      <c r="BD96" s="39">
        <f t="shared" si="144"/>
        <v>31.350720957891784</v>
      </c>
      <c r="BI96" s="86" t="s">
        <v>39</v>
      </c>
      <c r="BN96" s="119" t="s">
        <v>22</v>
      </c>
      <c r="BO96" s="71">
        <v>21</v>
      </c>
      <c r="BP96" s="465">
        <f t="shared" si="163"/>
        <v>1</v>
      </c>
      <c r="BR96" s="88">
        <v>10</v>
      </c>
      <c r="BS96" s="107">
        <v>7</v>
      </c>
      <c r="BT96" s="90"/>
      <c r="BU96" s="99">
        <f>BS96/(BP96-BU86)</f>
        <v>10.422222222222222</v>
      </c>
      <c r="BV96" s="100">
        <f>BS96/(BP96-BV86)</f>
        <v>9.0192307692307683</v>
      </c>
      <c r="BW96" s="100">
        <f>BS96/(BP96-BW86)</f>
        <v>11.166666666666666</v>
      </c>
      <c r="BX96" s="100">
        <f>BS96/(BP96-BX86)</f>
        <v>7.2153846153846155</v>
      </c>
      <c r="BY96" s="100">
        <f>BS96/(BP96-BY86)</f>
        <v>7.328125</v>
      </c>
      <c r="BZ96" s="102">
        <f t="shared" si="145"/>
        <v>45.15162927350427</v>
      </c>
      <c r="CA96" s="211">
        <v>10</v>
      </c>
      <c r="CB96" s="32">
        <f t="shared" si="132"/>
        <v>33.730603030812198</v>
      </c>
      <c r="CC96" s="38">
        <f t="shared" si="146"/>
        <v>32.168975441117624</v>
      </c>
      <c r="CD96" s="38">
        <f t="shared" si="147"/>
        <v>37.331481114502004</v>
      </c>
      <c r="CE96" s="38">
        <f t="shared" si="148"/>
        <v>27.980341643216683</v>
      </c>
      <c r="CF96" s="39">
        <f t="shared" si="149"/>
        <v>25.680034481391942</v>
      </c>
      <c r="CK96" s="86" t="s">
        <v>39</v>
      </c>
      <c r="CP96" s="119" t="s">
        <v>22</v>
      </c>
      <c r="CQ96" s="71">
        <v>19</v>
      </c>
      <c r="CR96" s="465">
        <f t="shared" si="164"/>
        <v>1</v>
      </c>
      <c r="CT96" s="88">
        <v>10</v>
      </c>
      <c r="CU96" s="107">
        <v>1</v>
      </c>
      <c r="CV96" s="90"/>
      <c r="CW96" s="99">
        <f>CU96/(CR96-CW86)</f>
        <v>1.3225806451612903</v>
      </c>
      <c r="CX96" s="100">
        <f>CU96/(CR96-CX86)</f>
        <v>1.1884057971014492</v>
      </c>
      <c r="CY96" s="100">
        <f>CU96/(CR96-CY86)</f>
        <v>1.3898305084745763</v>
      </c>
      <c r="CZ96" s="100">
        <f>CU96/(CR96-CZ86)</f>
        <v>1.4385964912280702</v>
      </c>
      <c r="DA96" s="100">
        <f>CU96/(CR96-DA86)</f>
        <v>1.0123456790123457</v>
      </c>
      <c r="DB96" s="102">
        <f t="shared" si="150"/>
        <v>6.3517591209777313</v>
      </c>
      <c r="DC96" s="211">
        <v>10</v>
      </c>
      <c r="DD96" s="32">
        <f t="shared" si="133"/>
        <v>31.393701897147892</v>
      </c>
      <c r="DE96" s="38">
        <f t="shared" si="151"/>
        <v>31.043202118762288</v>
      </c>
      <c r="DF96" s="38">
        <f t="shared" si="152"/>
        <v>34.688725294041433</v>
      </c>
      <c r="DG96" s="38">
        <f t="shared" si="153"/>
        <v>34.757879438820702</v>
      </c>
      <c r="DH96" s="39">
        <f t="shared" si="154"/>
        <v>25.188036372772814</v>
      </c>
      <c r="DM96" s="86" t="s">
        <v>39</v>
      </c>
      <c r="DR96" s="119" t="s">
        <v>22</v>
      </c>
      <c r="DS96" s="152">
        <v>18</v>
      </c>
      <c r="DT96" s="465">
        <f t="shared" si="165"/>
        <v>1</v>
      </c>
      <c r="DV96" s="88">
        <v>10</v>
      </c>
      <c r="DW96" s="107">
        <v>4</v>
      </c>
      <c r="DX96" s="90"/>
      <c r="DY96" s="99">
        <f>DW96/(DT96-DY86)</f>
        <v>4.9156626506024095</v>
      </c>
      <c r="DZ96" s="100">
        <f>DW96/(DT96-DZ86)</f>
        <v>4.5333333333333332</v>
      </c>
      <c r="EA96" s="100">
        <f>DW96/(DT96-EA86)</f>
        <v>5.0999999999999996</v>
      </c>
      <c r="EB96" s="100">
        <f>DW96/(DT96-EB86)</f>
        <v>5.2307692307692308</v>
      </c>
      <c r="EC96" s="100">
        <f>DW96/(DT96-EC86)</f>
        <v>5.2987012987012987</v>
      </c>
      <c r="ED96" s="102">
        <f t="shared" si="155"/>
        <v>25.078466513406273</v>
      </c>
      <c r="EE96" s="211">
        <v>10</v>
      </c>
      <c r="EF96" s="32">
        <f t="shared" si="156"/>
        <v>30.126553040187638</v>
      </c>
      <c r="EG96" s="38">
        <f t="shared" si="157"/>
        <v>30.496597031600537</v>
      </c>
      <c r="EH96" s="38">
        <f t="shared" si="158"/>
        <v>33.273671660550605</v>
      </c>
      <c r="EI96" s="38">
        <f t="shared" si="159"/>
        <v>33.034082547774375</v>
      </c>
      <c r="EJ96" s="39">
        <f t="shared" si="160"/>
        <v>30.260842978112166</v>
      </c>
    </row>
    <row r="97" spans="2:140" x14ac:dyDescent="0.2">
      <c r="L97" s="465">
        <f t="shared" si="161"/>
        <v>1</v>
      </c>
      <c r="N97" s="88">
        <v>11</v>
      </c>
      <c r="O97" s="107">
        <v>5</v>
      </c>
      <c r="P97" s="90"/>
      <c r="Q97" s="99">
        <f>O97/(L97-Q86)</f>
        <v>8.90625</v>
      </c>
      <c r="R97" s="100">
        <f>O97/(L97-R86)</f>
        <v>7.3076923076923075</v>
      </c>
      <c r="S97" s="100">
        <f>O97/(L97-S86)</f>
        <v>5.2777777777777777</v>
      </c>
      <c r="T97" s="100">
        <f>O97/(L97-T86)</f>
        <v>5.4807692307692308</v>
      </c>
      <c r="U97" s="100">
        <f>O97/(L97-U86)</f>
        <v>5.5882352941176467</v>
      </c>
      <c r="V97" s="102">
        <f t="shared" si="134"/>
        <v>32.560724610356964</v>
      </c>
      <c r="W97" s="88">
        <v>11</v>
      </c>
      <c r="X97" s="32">
        <f t="shared" si="135"/>
        <v>37.559635492819716</v>
      </c>
      <c r="Y97" s="38">
        <f t="shared" si="136"/>
        <v>34.524905630370412</v>
      </c>
      <c r="Z97" s="38">
        <f t="shared" si="137"/>
        <v>24.431252705834414</v>
      </c>
      <c r="AA97" s="38">
        <f t="shared" si="138"/>
        <v>28.672454732981894</v>
      </c>
      <c r="AB97" s="39">
        <f t="shared" si="139"/>
        <v>25.998323760523533</v>
      </c>
      <c r="AN97" s="465">
        <f t="shared" si="162"/>
        <v>1</v>
      </c>
      <c r="AP97" s="88">
        <v>11</v>
      </c>
      <c r="AQ97" s="107">
        <v>7</v>
      </c>
      <c r="AR97" s="90"/>
      <c r="AS97" s="99">
        <f>AQ97/(AN97-AS86)</f>
        <v>7.8166666666666664</v>
      </c>
      <c r="AT97" s="100">
        <f>AQ97/(AN97-AT86)</f>
        <v>11.166666666666666</v>
      </c>
      <c r="AU97" s="100">
        <f>AQ97/(AN97-AU86)</f>
        <v>8.2280701754385959</v>
      </c>
      <c r="AV97" s="100">
        <f>AQ97/(AN97-AV86)</f>
        <v>8.5272727272727273</v>
      </c>
      <c r="AW97" s="100">
        <f>AQ97/(AN97-AW86)</f>
        <v>8.6851851851851851</v>
      </c>
      <c r="AX97" s="102">
        <f t="shared" si="140"/>
        <v>44.423861421229837</v>
      </c>
      <c r="AY97" s="98">
        <v>11</v>
      </c>
      <c r="AZ97" s="32">
        <f t="shared" si="131"/>
        <v>30.706759973213721</v>
      </c>
      <c r="BA97" s="38">
        <f t="shared" si="141"/>
        <v>34.213564308498228</v>
      </c>
      <c r="BB97" s="38">
        <f t="shared" si="142"/>
        <v>27.961735644318534</v>
      </c>
      <c r="BC97" s="38">
        <f t="shared" si="143"/>
        <v>28.100913681470423</v>
      </c>
      <c r="BD97" s="39">
        <f t="shared" si="144"/>
        <v>30.039609846780671</v>
      </c>
      <c r="BP97" s="465">
        <f t="shared" si="163"/>
        <v>1</v>
      </c>
      <c r="BR97" s="88">
        <v>11</v>
      </c>
      <c r="BS97" s="107">
        <v>1</v>
      </c>
      <c r="BT97" s="90"/>
      <c r="BU97" s="99">
        <f>BS97/(BP97-BU86)</f>
        <v>1.4888888888888889</v>
      </c>
      <c r="BV97" s="100">
        <f>BS97/(BP97-BV86)</f>
        <v>1.2884615384615383</v>
      </c>
      <c r="BW97" s="100">
        <f>BS97/(BP97-BW86)</f>
        <v>1.5952380952380951</v>
      </c>
      <c r="BX97" s="100">
        <f>BS97/(BP97-BX86)</f>
        <v>1.0307692307692307</v>
      </c>
      <c r="BY97" s="100">
        <f>BS97/(BP97-BY86)</f>
        <v>1.046875</v>
      </c>
      <c r="BZ97" s="102">
        <f t="shared" si="145"/>
        <v>6.4502327533577528</v>
      </c>
      <c r="CA97" s="211">
        <v>11</v>
      </c>
      <c r="CB97" s="32">
        <f t="shared" si="132"/>
        <v>32.547504439262902</v>
      </c>
      <c r="CC97" s="38">
        <f t="shared" si="146"/>
        <v>30.8141367314402</v>
      </c>
      <c r="CD97" s="38">
        <f t="shared" si="147"/>
        <v>35.931481114502006</v>
      </c>
      <c r="CE97" s="38">
        <f t="shared" si="148"/>
        <v>26.647008309883343</v>
      </c>
      <c r="CF97" s="39">
        <f t="shared" si="149"/>
        <v>24.630034481391938</v>
      </c>
      <c r="CR97" s="465">
        <f t="shared" si="164"/>
        <v>1</v>
      </c>
      <c r="CT97" s="88">
        <v>11</v>
      </c>
      <c r="CU97" s="107">
        <v>4</v>
      </c>
      <c r="CV97" s="90"/>
      <c r="CW97" s="99">
        <f>CU97/(CR97-CW86)</f>
        <v>5.290322580645161</v>
      </c>
      <c r="CX97" s="100">
        <f>CU97/(CR97-CX86)</f>
        <v>4.7536231884057969</v>
      </c>
      <c r="CY97" s="100">
        <f>CU97/(CR97-CY86)</f>
        <v>5.5593220338983054</v>
      </c>
      <c r="CZ97" s="100">
        <f>CU97/(CR97-CZ86)</f>
        <v>5.7543859649122808</v>
      </c>
      <c r="DA97" s="100">
        <f>CU97/(CR97-DA86)</f>
        <v>4.0493827160493829</v>
      </c>
      <c r="DB97" s="102">
        <f t="shared" si="150"/>
        <v>25.407036483910925</v>
      </c>
      <c r="DC97" s="211">
        <v>11</v>
      </c>
      <c r="DD97" s="32">
        <f t="shared" si="133"/>
        <v>30.219098722544722</v>
      </c>
      <c r="DE97" s="38">
        <f t="shared" si="151"/>
        <v>29.672831748391921</v>
      </c>
      <c r="DF97" s="38">
        <f t="shared" si="152"/>
        <v>33.265648370964506</v>
      </c>
      <c r="DG97" s="38">
        <f t="shared" si="153"/>
        <v>33.412424893366158</v>
      </c>
      <c r="DH97" s="39">
        <f t="shared" si="154"/>
        <v>24.160258594995035</v>
      </c>
      <c r="DT97" s="465">
        <f t="shared" si="165"/>
        <v>1</v>
      </c>
      <c r="DV97" s="88">
        <v>11</v>
      </c>
      <c r="DW97" s="107">
        <v>2</v>
      </c>
      <c r="DX97" s="90"/>
      <c r="DY97" s="99">
        <f>DW97/(DT97-DY86)</f>
        <v>2.4578313253012047</v>
      </c>
      <c r="DZ97" s="100">
        <f>DW97/(DT97-DZ86)</f>
        <v>2.2666666666666666</v>
      </c>
      <c r="EA97" s="100">
        <f>DW97/(DT97-EA86)</f>
        <v>2.5499999999999998</v>
      </c>
      <c r="EB97" s="100">
        <f>DW97/(DT97-EB86)</f>
        <v>2.6153846153846154</v>
      </c>
      <c r="EC97" s="100">
        <f>DW97/(DT97-EC86)</f>
        <v>2.6493506493506493</v>
      </c>
      <c r="ED97" s="102">
        <f t="shared" si="155"/>
        <v>12.539233256703136</v>
      </c>
      <c r="EE97" s="211">
        <v>11</v>
      </c>
      <c r="EF97" s="32">
        <f t="shared" si="156"/>
        <v>28.957061514763907</v>
      </c>
      <c r="EG97" s="38">
        <f t="shared" si="157"/>
        <v>29.116597031600538</v>
      </c>
      <c r="EH97" s="38">
        <f t="shared" si="158"/>
        <v>31.836171660550605</v>
      </c>
      <c r="EI97" s="38">
        <f t="shared" si="159"/>
        <v>31.681141371303788</v>
      </c>
      <c r="EJ97" s="39">
        <f t="shared" si="160"/>
        <v>29.246137095759224</v>
      </c>
    </row>
    <row r="98" spans="2:140" ht="15" thickBot="1" x14ac:dyDescent="0.25">
      <c r="L98" s="465">
        <f t="shared" si="161"/>
        <v>1</v>
      </c>
      <c r="N98" s="109">
        <v>12</v>
      </c>
      <c r="O98" s="110">
        <v>7</v>
      </c>
      <c r="P98" s="90"/>
      <c r="Q98" s="111">
        <f>O98/(L98-Q86)</f>
        <v>12.46875</v>
      </c>
      <c r="R98" s="112">
        <f>O98/(L98-R86)</f>
        <v>10.23076923076923</v>
      </c>
      <c r="S98" s="112">
        <f>O98/(L98-S86)</f>
        <v>7.3888888888888884</v>
      </c>
      <c r="T98" s="112">
        <f>O98/(L98-T86)</f>
        <v>7.6730769230769234</v>
      </c>
      <c r="U98" s="112">
        <f>O98/(L98-U86)</f>
        <v>7.8235294117647056</v>
      </c>
      <c r="V98" s="102">
        <f t="shared" si="134"/>
        <v>45.585014454499749</v>
      </c>
      <c r="W98" s="109">
        <v>12</v>
      </c>
      <c r="X98" s="43">
        <f t="shared" si="135"/>
        <v>36.2837734238542</v>
      </c>
      <c r="Y98" s="70">
        <f t="shared" si="136"/>
        <v>33.014701548737762</v>
      </c>
      <c r="Z98" s="70">
        <f t="shared" si="137"/>
        <v>23.403474928056635</v>
      </c>
      <c r="AA98" s="70">
        <f t="shared" si="138"/>
        <v>27.192454732981894</v>
      </c>
      <c r="AB98" s="71">
        <f t="shared" si="139"/>
        <v>24.893846148583236</v>
      </c>
      <c r="AN98" s="465">
        <f t="shared" si="162"/>
        <v>1</v>
      </c>
      <c r="AP98" s="109">
        <v>12</v>
      </c>
      <c r="AQ98" s="110">
        <v>1</v>
      </c>
      <c r="AR98" s="90"/>
      <c r="AS98" s="111">
        <f>AQ98/(AN98-AS86)</f>
        <v>1.1166666666666667</v>
      </c>
      <c r="AT98" s="112">
        <f>AQ98/(AN98-AT86)</f>
        <v>1.5952380952380951</v>
      </c>
      <c r="AU98" s="112">
        <f>AQ98/(AN98-AU86)</f>
        <v>1.1754385964912279</v>
      </c>
      <c r="AV98" s="112">
        <f>AQ98/(AN98-AV86)</f>
        <v>1.218181818181818</v>
      </c>
      <c r="AW98" s="112">
        <f>AQ98/(AN98-AW86)</f>
        <v>1.2407407407407407</v>
      </c>
      <c r="AX98" s="102">
        <f t="shared" si="140"/>
        <v>6.3462659173185481</v>
      </c>
      <c r="AY98" s="108">
        <v>12</v>
      </c>
      <c r="AZ98" s="43">
        <f t="shared" si="131"/>
        <v>29.067871084324828</v>
      </c>
      <c r="BA98" s="70">
        <f t="shared" si="141"/>
        <v>33.078948923882841</v>
      </c>
      <c r="BB98" s="70">
        <f t="shared" si="142"/>
        <v>26.78173564431853</v>
      </c>
      <c r="BC98" s="70">
        <f t="shared" si="143"/>
        <v>26.987706134300609</v>
      </c>
      <c r="BD98" s="71">
        <f t="shared" si="144"/>
        <v>28.728498735669561</v>
      </c>
      <c r="BP98" s="465">
        <f t="shared" si="163"/>
        <v>1</v>
      </c>
      <c r="BR98" s="109">
        <v>12</v>
      </c>
      <c r="BS98" s="110">
        <v>4</v>
      </c>
      <c r="BT98" s="90"/>
      <c r="BU98" s="111">
        <f>BS98/(BP98-BU86)</f>
        <v>5.9555555555555557</v>
      </c>
      <c r="BV98" s="112">
        <f>BS98/(BP98-BV86)</f>
        <v>5.1538461538461533</v>
      </c>
      <c r="BW98" s="112">
        <f>BS98/(BP98-BW86)</f>
        <v>6.3809523809523805</v>
      </c>
      <c r="BX98" s="112">
        <f>BS98/(BP98-BX86)</f>
        <v>4.1230769230769226</v>
      </c>
      <c r="BY98" s="112">
        <f>BS98/(BP98-BY86)</f>
        <v>4.1875</v>
      </c>
      <c r="BZ98" s="102">
        <f t="shared" si="145"/>
        <v>25.800931013431011</v>
      </c>
      <c r="CA98" s="212">
        <v>12</v>
      </c>
      <c r="CB98" s="43">
        <f t="shared" si="132"/>
        <v>31.364405847713606</v>
      </c>
      <c r="CC98" s="70">
        <f t="shared" si="146"/>
        <v>29.459298021762784</v>
      </c>
      <c r="CD98" s="70">
        <f t="shared" si="147"/>
        <v>34.531481114502</v>
      </c>
      <c r="CE98" s="70">
        <f t="shared" si="148"/>
        <v>25.313674976550011</v>
      </c>
      <c r="CF98" s="71">
        <f t="shared" si="149"/>
        <v>23.580034481391941</v>
      </c>
      <c r="CR98" s="465">
        <f t="shared" si="164"/>
        <v>1</v>
      </c>
      <c r="CT98" s="109">
        <v>12</v>
      </c>
      <c r="CU98" s="110">
        <v>2</v>
      </c>
      <c r="CV98" s="90"/>
      <c r="CW98" s="111">
        <f>CU98/(CR98-CW86)</f>
        <v>2.6451612903225805</v>
      </c>
      <c r="CX98" s="112">
        <f>CU98/(CR98-CX86)</f>
        <v>2.3768115942028984</v>
      </c>
      <c r="CY98" s="112">
        <f>CU98/(CR98-CY86)</f>
        <v>2.7796610169491527</v>
      </c>
      <c r="CZ98" s="112">
        <f>CU98/(CR98-CZ86)</f>
        <v>2.8771929824561404</v>
      </c>
      <c r="DA98" s="112">
        <f>CU98/(CR98-DA86)</f>
        <v>2.0246913580246915</v>
      </c>
      <c r="DB98" s="102">
        <f t="shared" si="150"/>
        <v>12.703518241955463</v>
      </c>
      <c r="DC98" s="212">
        <v>12</v>
      </c>
      <c r="DD98" s="43">
        <f t="shared" si="133"/>
        <v>29.044495547941544</v>
      </c>
      <c r="DE98" s="70">
        <f t="shared" si="151"/>
        <v>28.302461378021547</v>
      </c>
      <c r="DF98" s="70">
        <f t="shared" si="152"/>
        <v>31.842571447887586</v>
      </c>
      <c r="DG98" s="70">
        <f t="shared" si="153"/>
        <v>32.066970347911607</v>
      </c>
      <c r="DH98" s="71">
        <f t="shared" si="154"/>
        <v>23.13248081721726</v>
      </c>
      <c r="DT98" s="465">
        <f t="shared" si="165"/>
        <v>1</v>
      </c>
      <c r="DV98" s="109">
        <v>12</v>
      </c>
      <c r="DW98" s="110">
        <v>8</v>
      </c>
      <c r="DX98" s="90"/>
      <c r="DY98" s="111">
        <f>DW98/(DT98-DY86)</f>
        <v>9.831325301204819</v>
      </c>
      <c r="DZ98" s="112">
        <f>DW98/(DT98-DZ86)</f>
        <v>9.0666666666666664</v>
      </c>
      <c r="EA98" s="112">
        <f>DW98/(DT98-EA86)</f>
        <v>10.199999999999999</v>
      </c>
      <c r="EB98" s="112">
        <f>DW98/(DT98-EB86)</f>
        <v>10.461538461538462</v>
      </c>
      <c r="EC98" s="112">
        <f>DW98/(DT98-EC86)</f>
        <v>10.597402597402597</v>
      </c>
      <c r="ED98" s="102">
        <f t="shared" si="155"/>
        <v>50.156933026812546</v>
      </c>
      <c r="EE98" s="212">
        <v>12</v>
      </c>
      <c r="EF98" s="43">
        <f t="shared" si="156"/>
        <v>27.787569989340177</v>
      </c>
      <c r="EG98" s="70">
        <f t="shared" si="157"/>
        <v>27.736597031600539</v>
      </c>
      <c r="EH98" s="70">
        <f t="shared" si="158"/>
        <v>30.398671660550605</v>
      </c>
      <c r="EI98" s="70">
        <f t="shared" si="159"/>
        <v>30.328200194833201</v>
      </c>
      <c r="EJ98" s="71">
        <f t="shared" si="160"/>
        <v>28.231431213406282</v>
      </c>
    </row>
    <row r="99" spans="2:140" x14ac:dyDescent="0.2">
      <c r="N99" s="10"/>
      <c r="O99" s="90"/>
      <c r="P99" s="90"/>
      <c r="Q99" s="113"/>
      <c r="R99" s="113"/>
      <c r="S99" s="113"/>
      <c r="T99" s="113"/>
      <c r="U99" s="113"/>
      <c r="AP99" s="10"/>
      <c r="AQ99" s="90"/>
      <c r="AR99" s="90"/>
      <c r="AS99" s="113"/>
      <c r="AT99" s="113"/>
      <c r="AU99" s="113"/>
      <c r="AV99" s="113"/>
      <c r="AW99" s="113"/>
      <c r="BR99" s="10"/>
      <c r="BS99" s="90"/>
      <c r="BT99" s="90"/>
      <c r="BU99" s="113"/>
      <c r="BV99" s="113"/>
      <c r="BW99" s="113"/>
      <c r="BX99" s="113"/>
      <c r="BY99" s="113"/>
      <c r="CT99" s="10"/>
      <c r="CU99" s="90"/>
      <c r="CV99" s="90"/>
      <c r="CW99" s="113"/>
      <c r="CX99" s="113"/>
      <c r="CY99" s="113"/>
      <c r="CZ99" s="113"/>
      <c r="DA99" s="113"/>
      <c r="DV99" s="10"/>
      <c r="DW99" s="90"/>
      <c r="DX99" s="90"/>
      <c r="DY99" s="113"/>
      <c r="DZ99" s="113"/>
      <c r="EA99" s="113"/>
      <c r="EB99" s="113"/>
      <c r="EC99" s="113"/>
    </row>
    <row r="101" spans="2:140" x14ac:dyDescent="0.2">
      <c r="B101" s="5" t="s">
        <v>8</v>
      </c>
      <c r="C101" s="5" t="s">
        <v>8</v>
      </c>
      <c r="D101" s="5" t="s">
        <v>8</v>
      </c>
      <c r="E101" s="5" t="s">
        <v>8</v>
      </c>
      <c r="F101" s="5" t="s">
        <v>8</v>
      </c>
      <c r="G101" s="5" t="s">
        <v>8</v>
      </c>
      <c r="H101" s="5" t="s">
        <v>8</v>
      </c>
      <c r="I101" s="5" t="s">
        <v>8</v>
      </c>
      <c r="J101" s="5" t="s">
        <v>8</v>
      </c>
      <c r="K101" s="5" t="s">
        <v>8</v>
      </c>
      <c r="L101" s="5" t="s">
        <v>8</v>
      </c>
      <c r="M101" s="5" t="s">
        <v>8</v>
      </c>
      <c r="N101" s="5" t="s">
        <v>8</v>
      </c>
      <c r="O101" s="5" t="s">
        <v>8</v>
      </c>
      <c r="P101" s="5" t="s">
        <v>8</v>
      </c>
      <c r="Q101" s="5" t="s">
        <v>8</v>
      </c>
      <c r="R101" s="5" t="s">
        <v>8</v>
      </c>
      <c r="S101" s="5" t="s">
        <v>8</v>
      </c>
      <c r="T101" s="5" t="s">
        <v>8</v>
      </c>
      <c r="U101" s="5" t="s">
        <v>8</v>
      </c>
      <c r="V101" s="5" t="s">
        <v>8</v>
      </c>
      <c r="W101" s="5" t="s">
        <v>8</v>
      </c>
      <c r="X101" s="5" t="s">
        <v>8</v>
      </c>
      <c r="Y101" s="5" t="s">
        <v>8</v>
      </c>
      <c r="Z101" s="5" t="s">
        <v>8</v>
      </c>
      <c r="AA101" s="5" t="s">
        <v>8</v>
      </c>
      <c r="AB101" s="5" t="s">
        <v>8</v>
      </c>
      <c r="AD101" s="6" t="s">
        <v>18</v>
      </c>
      <c r="AE101" s="6" t="s">
        <v>18</v>
      </c>
      <c r="AF101" s="6" t="s">
        <v>18</v>
      </c>
      <c r="AG101" s="6" t="s">
        <v>18</v>
      </c>
      <c r="AH101" s="6" t="s">
        <v>18</v>
      </c>
      <c r="AI101" s="6" t="s">
        <v>18</v>
      </c>
      <c r="AJ101" s="6" t="s">
        <v>18</v>
      </c>
      <c r="AK101" s="6" t="s">
        <v>18</v>
      </c>
      <c r="AL101" s="6" t="s">
        <v>18</v>
      </c>
      <c r="AM101" s="6" t="s">
        <v>18</v>
      </c>
      <c r="AN101" s="6" t="s">
        <v>18</v>
      </c>
      <c r="AO101" s="6" t="s">
        <v>18</v>
      </c>
      <c r="AP101" s="6" t="s">
        <v>18</v>
      </c>
      <c r="AQ101" s="6" t="s">
        <v>18</v>
      </c>
      <c r="AR101" s="6" t="s">
        <v>18</v>
      </c>
      <c r="AS101" s="6" t="s">
        <v>18</v>
      </c>
      <c r="AT101" s="6" t="s">
        <v>18</v>
      </c>
      <c r="AU101" s="6" t="s">
        <v>18</v>
      </c>
      <c r="AV101" s="6" t="s">
        <v>18</v>
      </c>
      <c r="AW101" s="6" t="s">
        <v>18</v>
      </c>
      <c r="AX101" s="6" t="s">
        <v>18</v>
      </c>
      <c r="AY101" s="6" t="s">
        <v>18</v>
      </c>
      <c r="AZ101" s="6" t="s">
        <v>18</v>
      </c>
      <c r="BA101" s="6" t="s">
        <v>18</v>
      </c>
      <c r="BB101" s="6" t="s">
        <v>18</v>
      </c>
      <c r="BC101" s="6" t="s">
        <v>18</v>
      </c>
      <c r="BD101" s="6" t="s">
        <v>18</v>
      </c>
      <c r="BF101" s="6" t="s">
        <v>19</v>
      </c>
      <c r="BG101" s="6" t="s">
        <v>19</v>
      </c>
      <c r="BH101" s="6" t="s">
        <v>19</v>
      </c>
      <c r="BI101" s="6" t="s">
        <v>19</v>
      </c>
      <c r="BJ101" s="6" t="s">
        <v>19</v>
      </c>
      <c r="BK101" s="6" t="s">
        <v>19</v>
      </c>
      <c r="BL101" s="6" t="s">
        <v>19</v>
      </c>
      <c r="BM101" s="6" t="s">
        <v>19</v>
      </c>
      <c r="BN101" s="6" t="s">
        <v>19</v>
      </c>
      <c r="BO101" s="6" t="s">
        <v>19</v>
      </c>
      <c r="BP101" s="6" t="s">
        <v>19</v>
      </c>
      <c r="BQ101" s="6" t="s">
        <v>19</v>
      </c>
      <c r="BR101" s="6" t="s">
        <v>19</v>
      </c>
      <c r="BS101" s="6" t="s">
        <v>19</v>
      </c>
      <c r="BT101" s="6" t="s">
        <v>19</v>
      </c>
      <c r="BU101" s="6" t="s">
        <v>19</v>
      </c>
      <c r="BV101" s="6" t="s">
        <v>19</v>
      </c>
      <c r="BW101" s="6" t="s">
        <v>19</v>
      </c>
      <c r="BX101" s="6" t="s">
        <v>19</v>
      </c>
      <c r="BY101" s="6" t="s">
        <v>19</v>
      </c>
      <c r="BZ101" s="6" t="s">
        <v>19</v>
      </c>
      <c r="CA101" s="6" t="s">
        <v>19</v>
      </c>
      <c r="CB101" s="6" t="s">
        <v>19</v>
      </c>
      <c r="CC101" s="6" t="s">
        <v>19</v>
      </c>
      <c r="CD101" s="6" t="s">
        <v>19</v>
      </c>
      <c r="CE101" s="6" t="s">
        <v>19</v>
      </c>
      <c r="CF101" s="6" t="s">
        <v>19</v>
      </c>
      <c r="CH101" s="6" t="s">
        <v>20</v>
      </c>
      <c r="CI101" s="6" t="s">
        <v>20</v>
      </c>
      <c r="CJ101" s="6" t="s">
        <v>20</v>
      </c>
      <c r="CK101" s="6" t="s">
        <v>20</v>
      </c>
      <c r="CL101" s="6" t="s">
        <v>20</v>
      </c>
      <c r="CM101" s="6" t="s">
        <v>20</v>
      </c>
      <c r="CN101" s="6" t="s">
        <v>20</v>
      </c>
      <c r="CO101" s="6" t="s">
        <v>20</v>
      </c>
      <c r="CP101" s="6" t="s">
        <v>20</v>
      </c>
      <c r="CQ101" s="6" t="s">
        <v>20</v>
      </c>
      <c r="CR101" s="6" t="s">
        <v>20</v>
      </c>
      <c r="CS101" s="6" t="s">
        <v>20</v>
      </c>
      <c r="CT101" s="6" t="s">
        <v>20</v>
      </c>
      <c r="CU101" s="6" t="s">
        <v>20</v>
      </c>
      <c r="CV101" s="6" t="s">
        <v>20</v>
      </c>
      <c r="CW101" s="6" t="s">
        <v>20</v>
      </c>
      <c r="CX101" s="6" t="s">
        <v>20</v>
      </c>
      <c r="CY101" s="6" t="s">
        <v>20</v>
      </c>
      <c r="CZ101" s="6" t="s">
        <v>20</v>
      </c>
      <c r="DA101" s="6" t="s">
        <v>20</v>
      </c>
      <c r="DB101" s="6" t="s">
        <v>20</v>
      </c>
      <c r="DC101" s="6" t="s">
        <v>20</v>
      </c>
      <c r="DD101" s="6" t="s">
        <v>20</v>
      </c>
      <c r="DE101" s="6" t="s">
        <v>20</v>
      </c>
      <c r="DF101" s="6" t="s">
        <v>20</v>
      </c>
      <c r="DG101" s="6" t="s">
        <v>20</v>
      </c>
      <c r="DH101" s="6" t="s">
        <v>20</v>
      </c>
      <c r="DJ101" s="6" t="s">
        <v>21</v>
      </c>
      <c r="DK101" s="6" t="s">
        <v>21</v>
      </c>
      <c r="DL101" s="6" t="s">
        <v>21</v>
      </c>
      <c r="DM101" s="6" t="s">
        <v>21</v>
      </c>
      <c r="DN101" s="6" t="s">
        <v>21</v>
      </c>
      <c r="DO101" s="6" t="s">
        <v>21</v>
      </c>
      <c r="DP101" s="6" t="s">
        <v>21</v>
      </c>
      <c r="DQ101" s="6" t="s">
        <v>21</v>
      </c>
      <c r="DR101" s="6" t="s">
        <v>21</v>
      </c>
      <c r="DS101" s="6" t="s">
        <v>21</v>
      </c>
      <c r="DT101" s="6" t="s">
        <v>21</v>
      </c>
      <c r="DU101" s="6" t="s">
        <v>21</v>
      </c>
      <c r="DV101" s="6" t="s">
        <v>21</v>
      </c>
      <c r="DW101" s="6" t="s">
        <v>21</v>
      </c>
      <c r="DX101" s="6" t="s">
        <v>21</v>
      </c>
      <c r="DY101" s="6" t="s">
        <v>21</v>
      </c>
      <c r="DZ101" s="6" t="s">
        <v>21</v>
      </c>
      <c r="EA101" s="6" t="s">
        <v>21</v>
      </c>
      <c r="EB101" s="6" t="s">
        <v>21</v>
      </c>
      <c r="EC101" s="6" t="s">
        <v>21</v>
      </c>
      <c r="ED101" s="6" t="s">
        <v>21</v>
      </c>
      <c r="EE101" s="6" t="s">
        <v>21</v>
      </c>
      <c r="EF101" s="6" t="s">
        <v>21</v>
      </c>
      <c r="EG101" s="6" t="s">
        <v>21</v>
      </c>
      <c r="EH101" s="6" t="s">
        <v>21</v>
      </c>
      <c r="EI101" s="6" t="s">
        <v>21</v>
      </c>
      <c r="EJ101" s="6" t="s">
        <v>21</v>
      </c>
    </row>
    <row r="102" spans="2:140" ht="15" thickBot="1" x14ac:dyDescent="0.25"/>
    <row r="103" spans="2:140" ht="15" thickBot="1" x14ac:dyDescent="0.25">
      <c r="B103" s="7"/>
      <c r="C103" s="8" t="s">
        <v>6</v>
      </c>
      <c r="D103" s="8" t="s">
        <v>7</v>
      </c>
      <c r="E103" s="8" t="s">
        <v>8</v>
      </c>
      <c r="F103" s="8" t="s">
        <v>9</v>
      </c>
      <c r="G103" s="8" t="s">
        <v>10</v>
      </c>
      <c r="H103" s="9"/>
      <c r="I103" s="10"/>
      <c r="J103" s="11" t="s">
        <v>11</v>
      </c>
      <c r="K103" s="12" t="s">
        <v>6</v>
      </c>
      <c r="L103" s="12" t="s">
        <v>7</v>
      </c>
      <c r="M103" s="12" t="s">
        <v>8</v>
      </c>
      <c r="N103" s="12" t="s">
        <v>9</v>
      </c>
      <c r="O103" s="13" t="s">
        <v>10</v>
      </c>
      <c r="P103" s="10"/>
      <c r="W103" s="204" t="s">
        <v>37</v>
      </c>
      <c r="X103" s="835" t="s">
        <v>58</v>
      </c>
      <c r="Y103" s="836"/>
      <c r="Z103" s="836"/>
      <c r="AA103" s="836"/>
      <c r="AB103" s="837"/>
      <c r="AD103" s="7"/>
      <c r="AE103" s="8" t="s">
        <v>6</v>
      </c>
      <c r="AF103" s="8" t="s">
        <v>7</v>
      </c>
      <c r="AG103" s="8" t="s">
        <v>8</v>
      </c>
      <c r="AH103" s="8" t="s">
        <v>9</v>
      </c>
      <c r="AI103" s="8" t="s">
        <v>10</v>
      </c>
      <c r="AJ103" s="9"/>
      <c r="AK103" s="10"/>
      <c r="AL103" s="11" t="s">
        <v>11</v>
      </c>
      <c r="AM103" s="12" t="s">
        <v>6</v>
      </c>
      <c r="AN103" s="12" t="s">
        <v>7</v>
      </c>
      <c r="AO103" s="12" t="s">
        <v>8</v>
      </c>
      <c r="AP103" s="12" t="s">
        <v>9</v>
      </c>
      <c r="AQ103" s="13" t="s">
        <v>10</v>
      </c>
      <c r="AR103" s="10"/>
      <c r="AY103" s="204" t="s">
        <v>37</v>
      </c>
      <c r="AZ103" s="835" t="s">
        <v>70</v>
      </c>
      <c r="BA103" s="836"/>
      <c r="BB103" s="836"/>
      <c r="BC103" s="836"/>
      <c r="BD103" s="837"/>
      <c r="BF103" s="7"/>
      <c r="BG103" s="8" t="s">
        <v>6</v>
      </c>
      <c r="BH103" s="8" t="s">
        <v>7</v>
      </c>
      <c r="BI103" s="8" t="s">
        <v>8</v>
      </c>
      <c r="BJ103" s="8" t="s">
        <v>9</v>
      </c>
      <c r="BK103" s="8" t="s">
        <v>10</v>
      </c>
      <c r="BL103" s="9"/>
      <c r="BM103" s="10"/>
      <c r="BN103" s="11" t="s">
        <v>11</v>
      </c>
      <c r="BO103" s="12" t="s">
        <v>6</v>
      </c>
      <c r="BP103" s="12" t="s">
        <v>7</v>
      </c>
      <c r="BQ103" s="12" t="s">
        <v>8</v>
      </c>
      <c r="BR103" s="12" t="s">
        <v>9</v>
      </c>
      <c r="BS103" s="13" t="s">
        <v>10</v>
      </c>
      <c r="BT103" s="10"/>
      <c r="CA103" s="204" t="s">
        <v>37</v>
      </c>
      <c r="CB103" s="835" t="s">
        <v>88</v>
      </c>
      <c r="CC103" s="836"/>
      <c r="CD103" s="836"/>
      <c r="CE103" s="836"/>
      <c r="CF103" s="837"/>
      <c r="CH103" s="7"/>
      <c r="CI103" s="8" t="s">
        <v>6</v>
      </c>
      <c r="CJ103" s="8" t="s">
        <v>7</v>
      </c>
      <c r="CK103" s="8" t="s">
        <v>8</v>
      </c>
      <c r="CL103" s="8" t="s">
        <v>9</v>
      </c>
      <c r="CM103" s="8" t="s">
        <v>10</v>
      </c>
      <c r="CN103" s="9"/>
      <c r="CO103" s="10"/>
      <c r="CP103" s="11" t="s">
        <v>11</v>
      </c>
      <c r="CQ103" s="12" t="s">
        <v>6</v>
      </c>
      <c r="CR103" s="12" t="s">
        <v>7</v>
      </c>
      <c r="CS103" s="12" t="s">
        <v>8</v>
      </c>
      <c r="CT103" s="12" t="s">
        <v>9</v>
      </c>
      <c r="CU103" s="13" t="s">
        <v>10</v>
      </c>
      <c r="CV103" s="10"/>
      <c r="DC103" s="204" t="s">
        <v>37</v>
      </c>
      <c r="DD103" s="835" t="s">
        <v>103</v>
      </c>
      <c r="DE103" s="836"/>
      <c r="DF103" s="836"/>
      <c r="DG103" s="836"/>
      <c r="DH103" s="837"/>
      <c r="DJ103" s="7"/>
      <c r="DK103" s="8" t="s">
        <v>6</v>
      </c>
      <c r="DL103" s="8" t="s">
        <v>7</v>
      </c>
      <c r="DM103" s="8" t="s">
        <v>8</v>
      </c>
      <c r="DN103" s="8" t="s">
        <v>9</v>
      </c>
      <c r="DO103" s="8" t="s">
        <v>10</v>
      </c>
      <c r="DP103" s="9"/>
      <c r="DQ103" s="10"/>
      <c r="DR103" s="11" t="s">
        <v>11</v>
      </c>
      <c r="DS103" s="12" t="s">
        <v>6</v>
      </c>
      <c r="DT103" s="12" t="s">
        <v>7</v>
      </c>
      <c r="DU103" s="12" t="s">
        <v>8</v>
      </c>
      <c r="DV103" s="12" t="s">
        <v>9</v>
      </c>
      <c r="DW103" s="13" t="s">
        <v>10</v>
      </c>
      <c r="DX103" s="10"/>
      <c r="EE103" s="204" t="s">
        <v>37</v>
      </c>
      <c r="EF103" s="835" t="s">
        <v>118</v>
      </c>
      <c r="EG103" s="836"/>
      <c r="EH103" s="836"/>
      <c r="EI103" s="836"/>
      <c r="EJ103" s="837"/>
    </row>
    <row r="104" spans="2:140" x14ac:dyDescent="0.2">
      <c r="B104" s="14" t="s">
        <v>13</v>
      </c>
      <c r="C104" s="120">
        <f>K136</f>
        <v>14</v>
      </c>
      <c r="D104" s="16">
        <f>K142</f>
        <v>20</v>
      </c>
      <c r="E104" s="16">
        <f>K124</f>
        <v>2</v>
      </c>
      <c r="F104" s="16">
        <f>K137</f>
        <v>15</v>
      </c>
      <c r="G104" s="17">
        <f>K139</f>
        <v>17</v>
      </c>
      <c r="H104" s="18">
        <f>SUM(C104:G104)</f>
        <v>68</v>
      </c>
      <c r="I104" s="10"/>
      <c r="J104" s="19" t="s">
        <v>13</v>
      </c>
      <c r="K104" s="20">
        <f>C104/C109</f>
        <v>0.15730337078651685</v>
      </c>
      <c r="L104" s="21">
        <f>D104/D109</f>
        <v>0.24390243902439024</v>
      </c>
      <c r="M104" s="21">
        <f>E104/E109</f>
        <v>5.5555555555555552E-2</v>
      </c>
      <c r="N104" s="21">
        <f>F104/F109</f>
        <v>0.23809523809523808</v>
      </c>
      <c r="O104" s="22">
        <f>G104/G109</f>
        <v>0.30909090909090908</v>
      </c>
      <c r="P104" s="23"/>
      <c r="W104" s="206">
        <v>1</v>
      </c>
      <c r="X104" s="24">
        <f t="shared" ref="X104:AB115" si="166">X120+X135</f>
        <v>38.186411859422762</v>
      </c>
      <c r="Y104" s="25">
        <f t="shared" si="166"/>
        <v>38.175438953613863</v>
      </c>
      <c r="Z104" s="25">
        <f t="shared" si="166"/>
        <v>37.940929190823546</v>
      </c>
      <c r="AA104" s="25">
        <f t="shared" si="166"/>
        <v>38.881041095888861</v>
      </c>
      <c r="AB104" s="26">
        <f t="shared" si="166"/>
        <v>33.743230967678365</v>
      </c>
      <c r="AD104" s="14" t="s">
        <v>13</v>
      </c>
      <c r="AE104" s="120">
        <f>AM136</f>
        <v>18</v>
      </c>
      <c r="AF104" s="16">
        <f>AM142</f>
        <v>24</v>
      </c>
      <c r="AG104" s="16">
        <f>AM124</f>
        <v>6</v>
      </c>
      <c r="AH104" s="16">
        <f>AM137</f>
        <v>19</v>
      </c>
      <c r="AI104" s="17">
        <f>AM139</f>
        <v>21</v>
      </c>
      <c r="AJ104" s="18">
        <f>SUM(AE104:AI104)</f>
        <v>88</v>
      </c>
      <c r="AK104" s="10"/>
      <c r="AL104" s="19" t="s">
        <v>13</v>
      </c>
      <c r="AM104" s="28">
        <f>AE104/AE109</f>
        <v>0.52941176470588236</v>
      </c>
      <c r="AN104" s="29">
        <f>AF104/AF109</f>
        <v>0.23529411764705882</v>
      </c>
      <c r="AO104" s="21">
        <f>AG104/AG109</f>
        <v>0.10714285714285714</v>
      </c>
      <c r="AP104" s="21">
        <f>AH104/AH109</f>
        <v>0.32758620689655171</v>
      </c>
      <c r="AQ104" s="22">
        <f>AI104/AI109</f>
        <v>0.28000000000000003</v>
      </c>
      <c r="AR104" s="23"/>
      <c r="AY104" s="206">
        <v>1</v>
      </c>
      <c r="AZ104" s="24">
        <f t="shared" ref="AZ104:BD115" si="167">AZ120+AZ135</f>
        <v>42.921649682753319</v>
      </c>
      <c r="BA104" s="25">
        <f t="shared" si="167"/>
        <v>45.169808423593757</v>
      </c>
      <c r="BB104" s="25">
        <f t="shared" si="167"/>
        <v>44.370295299185507</v>
      </c>
      <c r="BC104" s="25">
        <f t="shared" si="167"/>
        <v>34.948995028962784</v>
      </c>
      <c r="BD104" s="26">
        <f t="shared" si="167"/>
        <v>41.717646285970645</v>
      </c>
      <c r="BF104" s="14" t="s">
        <v>13</v>
      </c>
      <c r="BG104" s="120">
        <f>BO136</f>
        <v>20</v>
      </c>
      <c r="BH104" s="16">
        <f>BO142</f>
        <v>1</v>
      </c>
      <c r="BI104" s="16">
        <f>BO124</f>
        <v>8</v>
      </c>
      <c r="BJ104" s="16">
        <f>BO137</f>
        <v>21</v>
      </c>
      <c r="BK104" s="17">
        <f>BO139</f>
        <v>23</v>
      </c>
      <c r="BL104" s="18">
        <f>SUM(BG104:BK104)</f>
        <v>73</v>
      </c>
      <c r="BM104" s="10"/>
      <c r="BN104" s="19" t="s">
        <v>13</v>
      </c>
      <c r="BO104" s="28">
        <f>BG104/BG109</f>
        <v>0.45454545454545453</v>
      </c>
      <c r="BP104" s="21">
        <f>BH104/BH109</f>
        <v>1.6129032258064516E-2</v>
      </c>
      <c r="BQ104" s="29">
        <f>BI104/BI109</f>
        <v>0.12121212121212122</v>
      </c>
      <c r="BR104" s="21">
        <f>BJ104/BJ109</f>
        <v>0.30882352941176472</v>
      </c>
      <c r="BS104" s="22">
        <f>BK104/BK109</f>
        <v>0.27058823529411763</v>
      </c>
      <c r="BT104" s="23"/>
      <c r="CA104" s="206">
        <v>1</v>
      </c>
      <c r="CB104" s="24">
        <f t="shared" ref="CB104:CF115" si="168">CB120+CB135</f>
        <v>39.530400061501389</v>
      </c>
      <c r="CC104" s="25">
        <f t="shared" si="168"/>
        <v>32.932508232960402</v>
      </c>
      <c r="CD104" s="25">
        <f t="shared" si="168"/>
        <v>47.092416591680333</v>
      </c>
      <c r="CE104" s="25">
        <f t="shared" si="168"/>
        <v>33.821153848889253</v>
      </c>
      <c r="CF104" s="26">
        <f t="shared" si="168"/>
        <v>41.647752710883374</v>
      </c>
      <c r="CH104" s="14" t="s">
        <v>13</v>
      </c>
      <c r="CI104" s="120">
        <f>CQ136</f>
        <v>15</v>
      </c>
      <c r="CJ104" s="16">
        <f>CQ142</f>
        <v>21</v>
      </c>
      <c r="CK104" s="16">
        <f>CQ124</f>
        <v>3</v>
      </c>
      <c r="CL104" s="16">
        <f>CQ137</f>
        <v>16</v>
      </c>
      <c r="CM104" s="17">
        <f>CQ139</f>
        <v>18</v>
      </c>
      <c r="CN104" s="18">
        <f>SUM(CI104:CM104)</f>
        <v>73</v>
      </c>
      <c r="CO104" s="10"/>
      <c r="CP104" s="19" t="s">
        <v>13</v>
      </c>
      <c r="CQ104" s="28">
        <f>CI104/CI109</f>
        <v>0.21739130434782608</v>
      </c>
      <c r="CR104" s="21">
        <f>CJ104/CJ109</f>
        <v>0.2413793103448276</v>
      </c>
      <c r="CS104" s="21">
        <f>CK104/CK109</f>
        <v>7.3170731707317069E-2</v>
      </c>
      <c r="CT104" s="29">
        <f>CL104/CL109</f>
        <v>0.23529411764705882</v>
      </c>
      <c r="CU104" s="22">
        <f>CM104/CM109</f>
        <v>0.3</v>
      </c>
      <c r="CV104" s="23"/>
      <c r="DC104" s="206">
        <v>1</v>
      </c>
      <c r="DD104" s="24">
        <f t="shared" ref="DD104:DH115" si="169">DD120+DD135</f>
        <v>40.268899491556979</v>
      </c>
      <c r="DE104" s="25">
        <f t="shared" si="169"/>
        <v>50.759315207848687</v>
      </c>
      <c r="DF104" s="25">
        <f t="shared" si="169"/>
        <v>46.037779210724324</v>
      </c>
      <c r="DG104" s="25">
        <f t="shared" si="169"/>
        <v>52.311489976761649</v>
      </c>
      <c r="DH104" s="26">
        <f t="shared" si="169"/>
        <v>42.878778657674864</v>
      </c>
      <c r="DJ104" s="14" t="s">
        <v>13</v>
      </c>
      <c r="DK104" s="120">
        <f>DS136</f>
        <v>3</v>
      </c>
      <c r="DL104" s="16">
        <f>DS142</f>
        <v>9</v>
      </c>
      <c r="DM104" s="16">
        <f>DS124</f>
        <v>16</v>
      </c>
      <c r="DN104" s="16">
        <f>DS137</f>
        <v>4</v>
      </c>
      <c r="DO104" s="17">
        <f>DS139</f>
        <v>6</v>
      </c>
      <c r="DP104" s="18">
        <f>SUM(DK104:DO104)</f>
        <v>38</v>
      </c>
      <c r="DQ104" s="10"/>
      <c r="DR104" s="19" t="s">
        <v>13</v>
      </c>
      <c r="DS104" s="28">
        <f>DK104/DK109</f>
        <v>5.0847457627118647E-2</v>
      </c>
      <c r="DT104" s="21">
        <f>DL104/DL109</f>
        <v>0.17307692307692307</v>
      </c>
      <c r="DU104" s="21">
        <f>DM104/DM109</f>
        <v>0.19753086419753085</v>
      </c>
      <c r="DV104" s="21">
        <f>DN104/DN109</f>
        <v>6.8965517241379309E-2</v>
      </c>
      <c r="DW104" s="31">
        <f>DO104/DO109</f>
        <v>0.08</v>
      </c>
      <c r="DX104" s="23"/>
      <c r="EE104" s="206">
        <v>1</v>
      </c>
      <c r="EF104" s="24">
        <f t="shared" ref="EF104:EJ115" si="170">EF120+EF135</f>
        <v>40.666009100369827</v>
      </c>
      <c r="EG104" s="25">
        <f t="shared" si="170"/>
        <v>40.344953647342805</v>
      </c>
      <c r="EH104" s="25">
        <f t="shared" si="170"/>
        <v>39.952721481337626</v>
      </c>
      <c r="EI104" s="25">
        <f t="shared" si="170"/>
        <v>41.439046952410123</v>
      </c>
      <c r="EJ104" s="26">
        <f t="shared" si="170"/>
        <v>49.97140391749727</v>
      </c>
    </row>
    <row r="105" spans="2:140" x14ac:dyDescent="0.2">
      <c r="B105" s="14" t="s">
        <v>3</v>
      </c>
      <c r="C105" s="32">
        <f>K120</f>
        <v>23</v>
      </c>
      <c r="D105" s="33">
        <f>K138</f>
        <v>16</v>
      </c>
      <c r="E105" s="33">
        <f>K123</f>
        <v>1</v>
      </c>
      <c r="F105" s="33">
        <f>K125</f>
        <v>3</v>
      </c>
      <c r="G105" s="34">
        <f>K126</f>
        <v>4</v>
      </c>
      <c r="H105" s="18">
        <f t="shared" ref="H105:H108" si="171">SUM(C105:G105)</f>
        <v>47</v>
      </c>
      <c r="I105" s="10"/>
      <c r="J105" s="19" t="s">
        <v>3</v>
      </c>
      <c r="K105" s="35">
        <f>C105/C109</f>
        <v>0.25842696629213485</v>
      </c>
      <c r="L105" s="36">
        <f>D105/D109</f>
        <v>0.1951219512195122</v>
      </c>
      <c r="M105" s="36">
        <f>E105/E109</f>
        <v>2.7777777777777776E-2</v>
      </c>
      <c r="N105" s="36">
        <f>F105/F109</f>
        <v>4.7619047619047616E-2</v>
      </c>
      <c r="O105" s="37">
        <f>G105/G109</f>
        <v>7.2727272727272724E-2</v>
      </c>
      <c r="P105" s="23"/>
      <c r="W105" s="98">
        <v>2</v>
      </c>
      <c r="X105" s="32">
        <f t="shared" si="166"/>
        <v>44.414745192756094</v>
      </c>
      <c r="Y105" s="38">
        <f t="shared" si="166"/>
        <v>44.363058823195757</v>
      </c>
      <c r="Z105" s="38">
        <f t="shared" si="166"/>
        <v>44.07692456119392</v>
      </c>
      <c r="AA105" s="38">
        <f t="shared" si="166"/>
        <v>45.198434392563385</v>
      </c>
      <c r="AB105" s="39">
        <f t="shared" si="166"/>
        <v>39.215207960722765</v>
      </c>
      <c r="AD105" s="14" t="s">
        <v>3</v>
      </c>
      <c r="AE105" s="32">
        <f>AM120</f>
        <v>2</v>
      </c>
      <c r="AF105" s="33">
        <f>AM138</f>
        <v>20</v>
      </c>
      <c r="AG105" s="33">
        <f>AM123</f>
        <v>5</v>
      </c>
      <c r="AH105" s="33">
        <f>AM125</f>
        <v>7</v>
      </c>
      <c r="AI105" s="34">
        <f>AM126</f>
        <v>8</v>
      </c>
      <c r="AJ105" s="18">
        <f t="shared" ref="AJ105:AJ108" si="172">SUM(AE105:AI105)</f>
        <v>42</v>
      </c>
      <c r="AK105" s="10"/>
      <c r="AL105" s="19" t="s">
        <v>3</v>
      </c>
      <c r="AM105" s="40">
        <f>AE105/AE109</f>
        <v>5.8823529411764705E-2</v>
      </c>
      <c r="AN105" s="41">
        <f>AF105/AF109</f>
        <v>0.19607843137254902</v>
      </c>
      <c r="AO105" s="36">
        <f>AG105/AG109</f>
        <v>8.9285714285714288E-2</v>
      </c>
      <c r="AP105" s="36">
        <f>AH105/AH109</f>
        <v>0.1206896551724138</v>
      </c>
      <c r="AQ105" s="37">
        <f>AI105/AI109</f>
        <v>0.10666666666666667</v>
      </c>
      <c r="AR105" s="23"/>
      <c r="AY105" s="98">
        <v>2</v>
      </c>
      <c r="AZ105" s="32">
        <f t="shared" si="167"/>
        <v>43.967104228207859</v>
      </c>
      <c r="BA105" s="38">
        <f t="shared" si="167"/>
        <v>44.162863979149307</v>
      </c>
      <c r="BB105" s="38">
        <f t="shared" si="167"/>
        <v>43.566571894930192</v>
      </c>
      <c r="BC105" s="38">
        <f t="shared" si="167"/>
        <v>34.931412487126515</v>
      </c>
      <c r="BD105" s="39">
        <f t="shared" si="167"/>
        <v>41.573858407182769</v>
      </c>
      <c r="BF105" s="14" t="s">
        <v>3</v>
      </c>
      <c r="BG105" s="32">
        <f>BO120</f>
        <v>4</v>
      </c>
      <c r="BH105" s="33">
        <f>BO138</f>
        <v>22</v>
      </c>
      <c r="BI105" s="33">
        <f>BO123</f>
        <v>7</v>
      </c>
      <c r="BJ105" s="33">
        <f>BO125</f>
        <v>9</v>
      </c>
      <c r="BK105" s="34">
        <f>BO126</f>
        <v>10</v>
      </c>
      <c r="BL105" s="18">
        <f t="shared" ref="BL105:BL108" si="173">SUM(BG105:BK105)</f>
        <v>52</v>
      </c>
      <c r="BM105" s="10"/>
      <c r="BN105" s="19" t="s">
        <v>3</v>
      </c>
      <c r="BO105" s="40">
        <f>BG105/BG109</f>
        <v>9.0909090909090912E-2</v>
      </c>
      <c r="BP105" s="36">
        <f>BH105/BH109</f>
        <v>0.35483870967741937</v>
      </c>
      <c r="BQ105" s="41">
        <f>BI105/BI109</f>
        <v>0.10606060606060606</v>
      </c>
      <c r="BR105" s="36">
        <f>BJ105/BJ109</f>
        <v>0.13235294117647059</v>
      </c>
      <c r="BS105" s="37">
        <f>BK105/BK109</f>
        <v>0.11764705882352941</v>
      </c>
      <c r="BT105" s="23"/>
      <c r="CA105" s="98">
        <v>2</v>
      </c>
      <c r="CB105" s="32">
        <f t="shared" si="168"/>
        <v>49.140093939052413</v>
      </c>
      <c r="CC105" s="38">
        <f t="shared" si="168"/>
        <v>41.300589993966696</v>
      </c>
      <c r="CD105" s="38">
        <f t="shared" si="168"/>
        <v>60.291977995189114</v>
      </c>
      <c r="CE105" s="38">
        <f t="shared" si="168"/>
        <v>42.535991247263233</v>
      </c>
      <c r="CF105" s="39">
        <f t="shared" si="168"/>
        <v>52.706963237199162</v>
      </c>
      <c r="CH105" s="14" t="s">
        <v>3</v>
      </c>
      <c r="CI105" s="32">
        <f>CQ120</f>
        <v>24</v>
      </c>
      <c r="CJ105" s="33">
        <f>CQ138</f>
        <v>17</v>
      </c>
      <c r="CK105" s="33">
        <f>CQ123</f>
        <v>2</v>
      </c>
      <c r="CL105" s="33">
        <f>CQ125</f>
        <v>4</v>
      </c>
      <c r="CM105" s="34">
        <f>CQ126</f>
        <v>5</v>
      </c>
      <c r="CN105" s="18">
        <f t="shared" ref="CN105:CN108" si="174">SUM(CI105:CM105)</f>
        <v>52</v>
      </c>
      <c r="CO105" s="10"/>
      <c r="CP105" s="19" t="s">
        <v>3</v>
      </c>
      <c r="CQ105" s="40">
        <f>CI105/CI109</f>
        <v>0.34782608695652173</v>
      </c>
      <c r="CR105" s="36">
        <f>CJ105/CJ109</f>
        <v>0.19540229885057472</v>
      </c>
      <c r="CS105" s="36">
        <f>CK105/CK109</f>
        <v>4.878048780487805E-2</v>
      </c>
      <c r="CT105" s="41">
        <f>CL105/CL109</f>
        <v>5.8823529411764705E-2</v>
      </c>
      <c r="CU105" s="37">
        <f>CM105/CM109</f>
        <v>8.3333333333333329E-2</v>
      </c>
      <c r="CV105" s="23"/>
      <c r="DC105" s="98">
        <v>2</v>
      </c>
      <c r="DD105" s="32">
        <f t="shared" si="169"/>
        <v>39.550369252457116</v>
      </c>
      <c r="DE105" s="38">
        <f t="shared" si="169"/>
        <v>49.196384173365935</v>
      </c>
      <c r="DF105" s="38">
        <f t="shared" si="169"/>
        <v>44.094151759743937</v>
      </c>
      <c r="DG105" s="38">
        <f t="shared" si="169"/>
        <v>50.489520279791947</v>
      </c>
      <c r="DH105" s="39">
        <f t="shared" si="169"/>
        <v>41.486271654873747</v>
      </c>
      <c r="DJ105" s="14" t="s">
        <v>3</v>
      </c>
      <c r="DK105" s="32">
        <f>DS120</f>
        <v>12</v>
      </c>
      <c r="DL105" s="33">
        <f>DS138</f>
        <v>5</v>
      </c>
      <c r="DM105" s="33">
        <f>DS123</f>
        <v>15</v>
      </c>
      <c r="DN105" s="33">
        <f>DS125</f>
        <v>17</v>
      </c>
      <c r="DO105" s="34">
        <f>DS126</f>
        <v>18</v>
      </c>
      <c r="DP105" s="18">
        <f t="shared" ref="DP105:DP108" si="175">SUM(DK105:DO105)</f>
        <v>67</v>
      </c>
      <c r="DQ105" s="10"/>
      <c r="DR105" s="19" t="s">
        <v>3</v>
      </c>
      <c r="DS105" s="40">
        <f>DK105/DK109</f>
        <v>0.20338983050847459</v>
      </c>
      <c r="DT105" s="36">
        <f>DL105/DL109</f>
        <v>9.6153846153846159E-2</v>
      </c>
      <c r="DU105" s="36">
        <f>DM105/DM109</f>
        <v>0.18518518518518517</v>
      </c>
      <c r="DV105" s="36">
        <f>DN105/DN109</f>
        <v>0.29310344827586204</v>
      </c>
      <c r="DW105" s="42">
        <f>DO105/DO109</f>
        <v>0.24</v>
      </c>
      <c r="DX105" s="23"/>
      <c r="EE105" s="98">
        <v>2</v>
      </c>
      <c r="EF105" s="32">
        <f t="shared" si="170"/>
        <v>45.261247195607922</v>
      </c>
      <c r="EG105" s="38">
        <f t="shared" si="170"/>
        <v>44.975272796278979</v>
      </c>
      <c r="EH105" s="38">
        <f t="shared" si="170"/>
        <v>44.563563775244432</v>
      </c>
      <c r="EI105" s="38">
        <f t="shared" si="170"/>
        <v>46.166020636620644</v>
      </c>
      <c r="EJ105" s="39">
        <f t="shared" si="170"/>
        <v>55.599181695275043</v>
      </c>
    </row>
    <row r="106" spans="2:140" x14ac:dyDescent="0.2">
      <c r="B106" s="14" t="s">
        <v>14</v>
      </c>
      <c r="C106" s="121">
        <f>K122</f>
        <v>25</v>
      </c>
      <c r="D106" s="33">
        <f>K143</f>
        <v>21</v>
      </c>
      <c r="E106" s="33">
        <f>K141</f>
        <v>19</v>
      </c>
      <c r="F106" s="33">
        <f>K121</f>
        <v>24</v>
      </c>
      <c r="G106" s="34">
        <f>K133</f>
        <v>11</v>
      </c>
      <c r="H106" s="18">
        <f t="shared" si="171"/>
        <v>100</v>
      </c>
      <c r="I106" s="10"/>
      <c r="J106" s="19" t="s">
        <v>14</v>
      </c>
      <c r="K106" s="35">
        <f>C106/C109</f>
        <v>0.2808988764044944</v>
      </c>
      <c r="L106" s="36">
        <f>D106/D109</f>
        <v>0.25609756097560976</v>
      </c>
      <c r="M106" s="36">
        <f>E106/E109</f>
        <v>0.52777777777777779</v>
      </c>
      <c r="N106" s="36">
        <f>F106/F109</f>
        <v>0.38095238095238093</v>
      </c>
      <c r="O106" s="37">
        <f>G106/G109</f>
        <v>0.2</v>
      </c>
      <c r="P106" s="23"/>
      <c r="W106" s="98">
        <v>3</v>
      </c>
      <c r="X106" s="32">
        <f t="shared" si="166"/>
        <v>43.976411859422761</v>
      </c>
      <c r="Y106" s="38">
        <f t="shared" si="166"/>
        <v>44.221564768727013</v>
      </c>
      <c r="Z106" s="38">
        <f t="shared" si="166"/>
        <v>44.040080425391452</v>
      </c>
      <c r="AA106" s="38">
        <f t="shared" si="166"/>
        <v>44.936880320816847</v>
      </c>
      <c r="AB106" s="39">
        <f t="shared" si="166"/>
        <v>39.069207425677291</v>
      </c>
      <c r="AD106" s="14" t="s">
        <v>14</v>
      </c>
      <c r="AE106" s="123">
        <f>AM122</f>
        <v>4</v>
      </c>
      <c r="AF106" s="122">
        <f>AM143</f>
        <v>25</v>
      </c>
      <c r="AG106" s="33">
        <f>AM141</f>
        <v>23</v>
      </c>
      <c r="AH106" s="33">
        <f>AM121</f>
        <v>3</v>
      </c>
      <c r="AI106" s="34">
        <f>AM133</f>
        <v>15</v>
      </c>
      <c r="AJ106" s="18">
        <f t="shared" si="172"/>
        <v>70</v>
      </c>
      <c r="AK106" s="10"/>
      <c r="AL106" s="19" t="s">
        <v>14</v>
      </c>
      <c r="AM106" s="40">
        <f>AE106/AE109</f>
        <v>0.11764705882352941</v>
      </c>
      <c r="AN106" s="41">
        <f>AF106/AF109</f>
        <v>0.24509803921568626</v>
      </c>
      <c r="AO106" s="36">
        <f>AG106/AG109</f>
        <v>0.4107142857142857</v>
      </c>
      <c r="AP106" s="36">
        <f>AH106/AH109</f>
        <v>5.1724137931034482E-2</v>
      </c>
      <c r="AQ106" s="37">
        <f>AI106/AI109</f>
        <v>0.2</v>
      </c>
      <c r="AR106" s="23"/>
      <c r="AY106" s="98">
        <v>3</v>
      </c>
      <c r="AZ106" s="32">
        <f t="shared" si="167"/>
        <v>53.49740725851089</v>
      </c>
      <c r="BA106" s="38">
        <f t="shared" si="167"/>
        <v>55.600363979149307</v>
      </c>
      <c r="BB106" s="38">
        <f t="shared" si="167"/>
        <v>54.677742107696147</v>
      </c>
      <c r="BC106" s="38">
        <f t="shared" si="167"/>
        <v>43.272038900514119</v>
      </c>
      <c r="BD106" s="39">
        <f t="shared" si="167"/>
        <v>51.611888710213073</v>
      </c>
      <c r="BF106" s="14" t="s">
        <v>14</v>
      </c>
      <c r="BG106" s="123">
        <f>BO122</f>
        <v>6</v>
      </c>
      <c r="BH106" s="33">
        <f>BO143</f>
        <v>2</v>
      </c>
      <c r="BI106" s="122">
        <f>BO141</f>
        <v>25</v>
      </c>
      <c r="BJ106" s="33">
        <f>BO121</f>
        <v>5</v>
      </c>
      <c r="BK106" s="34">
        <f>BO133</f>
        <v>17</v>
      </c>
      <c r="BL106" s="18">
        <f t="shared" si="173"/>
        <v>55</v>
      </c>
      <c r="BM106" s="10"/>
      <c r="BN106" s="19" t="s">
        <v>14</v>
      </c>
      <c r="BO106" s="40">
        <f>BG106/BG109</f>
        <v>0.13636363636363635</v>
      </c>
      <c r="BP106" s="36">
        <f>BH106/BH109</f>
        <v>3.2258064516129031E-2</v>
      </c>
      <c r="BQ106" s="41">
        <f>BI106/BI109</f>
        <v>0.37878787878787878</v>
      </c>
      <c r="BR106" s="36">
        <f>BJ106/BJ109</f>
        <v>7.3529411764705885E-2</v>
      </c>
      <c r="BS106" s="37">
        <f>BK106/BK109</f>
        <v>0.2</v>
      </c>
      <c r="BT106" s="23"/>
      <c r="CA106" s="98">
        <v>3</v>
      </c>
      <c r="CB106" s="32">
        <f t="shared" si="168"/>
        <v>48.647747000276908</v>
      </c>
      <c r="CC106" s="38">
        <f t="shared" si="168"/>
        <v>40.329049113463554</v>
      </c>
      <c r="CD106" s="38">
        <f t="shared" si="168"/>
        <v>56.991539398697888</v>
      </c>
      <c r="CE106" s="38">
        <f t="shared" si="168"/>
        <v>41.350828645637215</v>
      </c>
      <c r="CF106" s="39">
        <f t="shared" si="168"/>
        <v>50.739857974041264</v>
      </c>
      <c r="CH106" s="14" t="s">
        <v>14</v>
      </c>
      <c r="CI106" s="123">
        <f>CQ122</f>
        <v>1</v>
      </c>
      <c r="CJ106" s="33">
        <f>CQ143</f>
        <v>22</v>
      </c>
      <c r="CK106" s="38">
        <f>CQ141</f>
        <v>20</v>
      </c>
      <c r="CL106" s="122">
        <f>CQ121</f>
        <v>25</v>
      </c>
      <c r="CM106" s="34">
        <f>CQ133</f>
        <v>12</v>
      </c>
      <c r="CN106" s="18">
        <f t="shared" si="174"/>
        <v>80</v>
      </c>
      <c r="CO106" s="10"/>
      <c r="CP106" s="19" t="s">
        <v>14</v>
      </c>
      <c r="CQ106" s="40">
        <f>CI106/CI109</f>
        <v>1.4492753623188406E-2</v>
      </c>
      <c r="CR106" s="36">
        <f>CJ106/CJ109</f>
        <v>0.25287356321839083</v>
      </c>
      <c r="CS106" s="36">
        <f>CK106/CK109</f>
        <v>0.48780487804878048</v>
      </c>
      <c r="CT106" s="41">
        <f>CL106/CL109</f>
        <v>0.36764705882352944</v>
      </c>
      <c r="CU106" s="37">
        <f>CM106/CM109</f>
        <v>0.2</v>
      </c>
      <c r="CV106" s="23"/>
      <c r="DC106" s="98">
        <v>3</v>
      </c>
      <c r="DD106" s="32">
        <f t="shared" si="169"/>
        <v>43.895130152597773</v>
      </c>
      <c r="DE106" s="38">
        <f t="shared" si="169"/>
        <v>54.530004863021105</v>
      </c>
      <c r="DF106" s="38">
        <f t="shared" si="169"/>
        <v>48.817190975430215</v>
      </c>
      <c r="DG106" s="38">
        <f t="shared" si="169"/>
        <v>55.940277855549532</v>
      </c>
      <c r="DH106" s="39">
        <f t="shared" si="169"/>
        <v>45.9761175932491</v>
      </c>
      <c r="DJ106" s="14" t="s">
        <v>14</v>
      </c>
      <c r="DK106" s="123">
        <f>DS122</f>
        <v>14</v>
      </c>
      <c r="DL106" s="33">
        <f>DS143</f>
        <v>10</v>
      </c>
      <c r="DM106" s="38">
        <f>DS141</f>
        <v>8</v>
      </c>
      <c r="DN106" s="38">
        <f>DS121</f>
        <v>13</v>
      </c>
      <c r="DO106" s="117">
        <f>DS133</f>
        <v>25</v>
      </c>
      <c r="DP106" s="18">
        <f t="shared" si="175"/>
        <v>70</v>
      </c>
      <c r="DQ106" s="10"/>
      <c r="DR106" s="19" t="s">
        <v>14</v>
      </c>
      <c r="DS106" s="40">
        <f>DK106/DK109</f>
        <v>0.23728813559322035</v>
      </c>
      <c r="DT106" s="36">
        <f>DL106/DL109</f>
        <v>0.19230769230769232</v>
      </c>
      <c r="DU106" s="36">
        <f>DM106/DM109</f>
        <v>9.8765432098765427E-2</v>
      </c>
      <c r="DV106" s="36">
        <f>DN106/DN109</f>
        <v>0.22413793103448276</v>
      </c>
      <c r="DW106" s="42">
        <f>DO106/DO109</f>
        <v>0.33333333333333331</v>
      </c>
      <c r="DX106" s="23"/>
      <c r="EE106" s="98">
        <v>3</v>
      </c>
      <c r="EF106" s="32">
        <f t="shared" si="170"/>
        <v>39.856485290846017</v>
      </c>
      <c r="EG106" s="38">
        <f t="shared" si="170"/>
        <v>40.27225861188181</v>
      </c>
      <c r="EH106" s="38">
        <f t="shared" si="170"/>
        <v>40.142148004635118</v>
      </c>
      <c r="EI106" s="38">
        <f t="shared" si="170"/>
        <v>41.068432917322404</v>
      </c>
      <c r="EJ106" s="39">
        <f t="shared" si="170"/>
        <v>48.78251502860838</v>
      </c>
    </row>
    <row r="107" spans="2:140" x14ac:dyDescent="0.2">
      <c r="B107" s="14" t="s">
        <v>8</v>
      </c>
      <c r="C107" s="32">
        <f>K144</f>
        <v>22</v>
      </c>
      <c r="D107" s="33">
        <f>K140</f>
        <v>18</v>
      </c>
      <c r="E107" s="33">
        <f>K128</f>
        <v>6</v>
      </c>
      <c r="F107" s="33">
        <f>K134</f>
        <v>12</v>
      </c>
      <c r="G107" s="34">
        <f>K135</f>
        <v>13</v>
      </c>
      <c r="H107" s="18">
        <f t="shared" si="171"/>
        <v>71</v>
      </c>
      <c r="I107" s="10"/>
      <c r="J107" s="19" t="s">
        <v>8</v>
      </c>
      <c r="K107" s="35">
        <f>C107/C109</f>
        <v>0.24719101123595505</v>
      </c>
      <c r="L107" s="36">
        <f>D107/D109</f>
        <v>0.21951219512195122</v>
      </c>
      <c r="M107" s="36">
        <f>E107/E109</f>
        <v>0.16666666666666666</v>
      </c>
      <c r="N107" s="36">
        <f>F107/F109</f>
        <v>0.19047619047619047</v>
      </c>
      <c r="O107" s="37">
        <f>G107/G109</f>
        <v>0.23636363636363636</v>
      </c>
      <c r="P107" s="23"/>
      <c r="W107" s="98">
        <v>4</v>
      </c>
      <c r="X107" s="32">
        <f t="shared" si="166"/>
        <v>51.976411859422761</v>
      </c>
      <c r="Y107" s="38">
        <f t="shared" si="166"/>
        <v>51.816501477587771</v>
      </c>
      <c r="Z107" s="38">
        <f t="shared" si="166"/>
        <v>51.447487832798856</v>
      </c>
      <c r="AA107" s="38">
        <f t="shared" si="166"/>
        <v>52.831617162922115</v>
      </c>
      <c r="AB107" s="39">
        <f t="shared" si="166"/>
        <v>45.810780459385157</v>
      </c>
      <c r="AD107" s="14" t="s">
        <v>8</v>
      </c>
      <c r="AE107" s="32">
        <f>AM144</f>
        <v>1</v>
      </c>
      <c r="AF107" s="38">
        <f>AM140</f>
        <v>22</v>
      </c>
      <c r="AG107" s="33">
        <f>AM128</f>
        <v>10</v>
      </c>
      <c r="AH107" s="33">
        <f>AM134</f>
        <v>16</v>
      </c>
      <c r="AI107" s="34">
        <f>AM135</f>
        <v>17</v>
      </c>
      <c r="AJ107" s="18">
        <f t="shared" si="172"/>
        <v>66</v>
      </c>
      <c r="AK107" s="10"/>
      <c r="AL107" s="19" t="s">
        <v>8</v>
      </c>
      <c r="AM107" s="40">
        <f>AE107/AE109</f>
        <v>2.9411764705882353E-2</v>
      </c>
      <c r="AN107" s="41">
        <f>AF107/AF109</f>
        <v>0.21568627450980393</v>
      </c>
      <c r="AO107" s="36">
        <f>AG107/AG109</f>
        <v>0.17857142857142858</v>
      </c>
      <c r="AP107" s="36">
        <f>AH107/AH109</f>
        <v>0.27586206896551724</v>
      </c>
      <c r="AQ107" s="37">
        <f>AI107/AI109</f>
        <v>0.22666666666666666</v>
      </c>
      <c r="AR107" s="23"/>
      <c r="AY107" s="98">
        <v>4</v>
      </c>
      <c r="AZ107" s="32">
        <f t="shared" si="167"/>
        <v>50.31558907669271</v>
      </c>
      <c r="BA107" s="38">
        <f t="shared" si="167"/>
        <v>50.933697312482643</v>
      </c>
      <c r="BB107" s="38">
        <f t="shared" si="167"/>
        <v>50.209657001313168</v>
      </c>
      <c r="BC107" s="38">
        <f t="shared" si="167"/>
        <v>40.137710542305165</v>
      </c>
      <c r="BD107" s="39">
        <f t="shared" si="167"/>
        <v>47.793706892031253</v>
      </c>
      <c r="BF107" s="14" t="s">
        <v>8</v>
      </c>
      <c r="BG107" s="32">
        <f>BO144</f>
        <v>3</v>
      </c>
      <c r="BH107" s="38">
        <f>BO140</f>
        <v>24</v>
      </c>
      <c r="BI107" s="33">
        <f>BO128</f>
        <v>12</v>
      </c>
      <c r="BJ107" s="33">
        <f>BO134</f>
        <v>18</v>
      </c>
      <c r="BK107" s="34">
        <f>BO135</f>
        <v>19</v>
      </c>
      <c r="BL107" s="18">
        <f t="shared" si="173"/>
        <v>76</v>
      </c>
      <c r="BM107" s="10"/>
      <c r="BN107" s="19" t="s">
        <v>8</v>
      </c>
      <c r="BO107" s="40">
        <f>BG107/BG109</f>
        <v>6.8181818181818177E-2</v>
      </c>
      <c r="BP107" s="36">
        <f>BH107/BH109</f>
        <v>0.38709677419354838</v>
      </c>
      <c r="BQ107" s="41">
        <f>BI107/BI109</f>
        <v>0.18181818181818182</v>
      </c>
      <c r="BR107" s="36">
        <f>BJ107/BJ109</f>
        <v>0.26470588235294118</v>
      </c>
      <c r="BS107" s="37">
        <f>BK107/BK109</f>
        <v>0.22352941176470589</v>
      </c>
      <c r="BT107" s="23"/>
      <c r="CA107" s="98">
        <v>4</v>
      </c>
      <c r="CB107" s="32">
        <f t="shared" si="168"/>
        <v>50.892644959460569</v>
      </c>
      <c r="CC107" s="38">
        <f t="shared" si="168"/>
        <v>42.404520811576759</v>
      </c>
      <c r="CD107" s="38">
        <f t="shared" si="168"/>
        <v>60.658206065364553</v>
      </c>
      <c r="CE107" s="38">
        <f t="shared" si="168"/>
        <v>43.550828645637218</v>
      </c>
      <c r="CF107" s="39">
        <f t="shared" si="168"/>
        <v>53.634594816146532</v>
      </c>
      <c r="CH107" s="14" t="s">
        <v>8</v>
      </c>
      <c r="CI107" s="32">
        <f>CQ144</f>
        <v>23</v>
      </c>
      <c r="CJ107" s="38">
        <f>CQ140</f>
        <v>19</v>
      </c>
      <c r="CK107" s="33">
        <f>CQ128</f>
        <v>7</v>
      </c>
      <c r="CL107" s="38">
        <f>CQ134</f>
        <v>13</v>
      </c>
      <c r="CM107" s="34">
        <f>CQ135</f>
        <v>14</v>
      </c>
      <c r="CN107" s="18">
        <f t="shared" si="174"/>
        <v>76</v>
      </c>
      <c r="CO107" s="10"/>
      <c r="CP107" s="19" t="s">
        <v>8</v>
      </c>
      <c r="CQ107" s="40">
        <f>CI107/CI109</f>
        <v>0.33333333333333331</v>
      </c>
      <c r="CR107" s="36">
        <f>CJ107/CJ109</f>
        <v>0.21839080459770116</v>
      </c>
      <c r="CS107" s="36">
        <f>CK107/CK109</f>
        <v>0.17073170731707318</v>
      </c>
      <c r="CT107" s="41">
        <f>CL107/CL109</f>
        <v>0.19117647058823528</v>
      </c>
      <c r="CU107" s="37">
        <f>CM107/CM109</f>
        <v>0.23333333333333334</v>
      </c>
      <c r="CV107" s="23"/>
      <c r="DC107" s="98">
        <v>4</v>
      </c>
      <c r="DD107" s="32">
        <f t="shared" si="169"/>
        <v>37.819180785509161</v>
      </c>
      <c r="DE107" s="38">
        <f t="shared" si="169"/>
        <v>46.254142794055589</v>
      </c>
      <c r="DF107" s="38">
        <f t="shared" si="169"/>
        <v>40.817190975430208</v>
      </c>
      <c r="DG107" s="38">
        <f t="shared" si="169"/>
        <v>47.213005128276798</v>
      </c>
      <c r="DH107" s="39">
        <f t="shared" si="169"/>
        <v>38.917294063837325</v>
      </c>
      <c r="DJ107" s="14" t="s">
        <v>8</v>
      </c>
      <c r="DK107" s="32">
        <f>DS144</f>
        <v>11</v>
      </c>
      <c r="DL107" s="38">
        <f>DS140</f>
        <v>7</v>
      </c>
      <c r="DM107" s="33">
        <f>DS128</f>
        <v>20</v>
      </c>
      <c r="DN107" s="38">
        <f>DS134</f>
        <v>1</v>
      </c>
      <c r="DO107" s="34">
        <f>DS135</f>
        <v>2</v>
      </c>
      <c r="DP107" s="18">
        <f t="shared" si="175"/>
        <v>41</v>
      </c>
      <c r="DQ107" s="10"/>
      <c r="DR107" s="19" t="s">
        <v>8</v>
      </c>
      <c r="DS107" s="40">
        <f>DK107/DK109</f>
        <v>0.1864406779661017</v>
      </c>
      <c r="DT107" s="36">
        <f>DL107/DL109</f>
        <v>0.13461538461538461</v>
      </c>
      <c r="DU107" s="36">
        <f>DM107/DM109</f>
        <v>0.24691358024691357</v>
      </c>
      <c r="DV107" s="36">
        <f>DN107/DN109</f>
        <v>1.7241379310344827E-2</v>
      </c>
      <c r="DW107" s="42">
        <f>DO107/DO109</f>
        <v>2.6666666666666668E-2</v>
      </c>
      <c r="DX107" s="23"/>
      <c r="EE107" s="98">
        <v>4</v>
      </c>
      <c r="EF107" s="32">
        <f t="shared" si="170"/>
        <v>43.606485290846017</v>
      </c>
      <c r="EG107" s="38">
        <f t="shared" si="170"/>
        <v>43.77225861188181</v>
      </c>
      <c r="EH107" s="38">
        <f t="shared" si="170"/>
        <v>43.529244778828662</v>
      </c>
      <c r="EI107" s="38">
        <f t="shared" si="170"/>
        <v>44.752643443638192</v>
      </c>
      <c r="EJ107" s="39">
        <f t="shared" si="170"/>
        <v>53.449181695275044</v>
      </c>
    </row>
    <row r="108" spans="2:140" ht="15" thickBot="1" x14ac:dyDescent="0.25">
      <c r="B108" s="14" t="s">
        <v>3</v>
      </c>
      <c r="C108" s="124">
        <f>K127</f>
        <v>5</v>
      </c>
      <c r="D108" s="44">
        <f>K129</f>
        <v>7</v>
      </c>
      <c r="E108" s="44">
        <f>K130</f>
        <v>8</v>
      </c>
      <c r="F108" s="44">
        <f>K131</f>
        <v>9</v>
      </c>
      <c r="G108" s="45">
        <f>K132</f>
        <v>10</v>
      </c>
      <c r="H108" s="18">
        <f t="shared" si="171"/>
        <v>39</v>
      </c>
      <c r="I108" s="10"/>
      <c r="J108" s="46" t="s">
        <v>3</v>
      </c>
      <c r="K108" s="47">
        <f>C108/C109</f>
        <v>5.6179775280898875E-2</v>
      </c>
      <c r="L108" s="48">
        <f>D108/D109</f>
        <v>8.5365853658536592E-2</v>
      </c>
      <c r="M108" s="48">
        <f>E108/E109</f>
        <v>0.22222222222222221</v>
      </c>
      <c r="N108" s="48">
        <f>F108/F109</f>
        <v>0.14285714285714285</v>
      </c>
      <c r="O108" s="49">
        <f>G108/G109</f>
        <v>0.18181818181818182</v>
      </c>
      <c r="P108" s="23"/>
      <c r="W108" s="98">
        <v>5</v>
      </c>
      <c r="X108" s="32">
        <f t="shared" si="166"/>
        <v>45.748078526089429</v>
      </c>
      <c r="Y108" s="38">
        <f t="shared" si="166"/>
        <v>45.628881608005884</v>
      </c>
      <c r="Z108" s="38">
        <f t="shared" si="166"/>
        <v>45.311492462428482</v>
      </c>
      <c r="AA108" s="38">
        <f t="shared" si="166"/>
        <v>46.514223866247583</v>
      </c>
      <c r="AB108" s="39">
        <f t="shared" si="166"/>
        <v>40.33880346634075</v>
      </c>
      <c r="AD108" s="14" t="s">
        <v>3</v>
      </c>
      <c r="AE108" s="124">
        <f>AM127</f>
        <v>9</v>
      </c>
      <c r="AF108" s="44">
        <f>AM129</f>
        <v>11</v>
      </c>
      <c r="AG108" s="44">
        <f>AM130</f>
        <v>12</v>
      </c>
      <c r="AH108" s="44">
        <f>AM131</f>
        <v>13</v>
      </c>
      <c r="AI108" s="45">
        <f>AM132</f>
        <v>14</v>
      </c>
      <c r="AJ108" s="18">
        <f t="shared" si="172"/>
        <v>59</v>
      </c>
      <c r="AK108" s="10"/>
      <c r="AL108" s="46" t="s">
        <v>3</v>
      </c>
      <c r="AM108" s="50">
        <f>AE108/AE109</f>
        <v>0.26470588235294118</v>
      </c>
      <c r="AN108" s="51">
        <f>AF108/AF109</f>
        <v>0.10784313725490197</v>
      </c>
      <c r="AO108" s="48">
        <f>AG108/AG109</f>
        <v>0.21428571428571427</v>
      </c>
      <c r="AP108" s="48">
        <f>AH108/AH109</f>
        <v>0.22413793103448276</v>
      </c>
      <c r="AQ108" s="49">
        <f>AI108/AI109</f>
        <v>0.18666666666666668</v>
      </c>
      <c r="AR108" s="23"/>
      <c r="AY108" s="98">
        <v>5</v>
      </c>
      <c r="AZ108" s="32">
        <f t="shared" si="167"/>
        <v>49.270134531238163</v>
      </c>
      <c r="BA108" s="38">
        <f t="shared" si="167"/>
        <v>51.940641756927086</v>
      </c>
      <c r="BB108" s="38">
        <f t="shared" si="167"/>
        <v>51.013380405568476</v>
      </c>
      <c r="BC108" s="38">
        <f t="shared" si="167"/>
        <v>40.155293084141434</v>
      </c>
      <c r="BD108" s="39">
        <f t="shared" si="167"/>
        <v>47.937494770819129</v>
      </c>
      <c r="BF108" s="14" t="s">
        <v>3</v>
      </c>
      <c r="BG108" s="124">
        <f>BO127</f>
        <v>11</v>
      </c>
      <c r="BH108" s="44">
        <f>BO129</f>
        <v>13</v>
      </c>
      <c r="BI108" s="44">
        <f>BO130</f>
        <v>14</v>
      </c>
      <c r="BJ108" s="44">
        <f>BO131</f>
        <v>15</v>
      </c>
      <c r="BK108" s="45">
        <f>BO132</f>
        <v>16</v>
      </c>
      <c r="BL108" s="18">
        <f t="shared" si="173"/>
        <v>69</v>
      </c>
      <c r="BM108" s="10"/>
      <c r="BN108" s="46" t="s">
        <v>3</v>
      </c>
      <c r="BO108" s="50">
        <f>BG108/BG109</f>
        <v>0.25</v>
      </c>
      <c r="BP108" s="48">
        <f>BH108/BH109</f>
        <v>0.20967741935483872</v>
      </c>
      <c r="BQ108" s="51">
        <f>BI108/BI109</f>
        <v>0.21212121212121213</v>
      </c>
      <c r="BR108" s="48">
        <f>BJ108/BJ109</f>
        <v>0.22058823529411764</v>
      </c>
      <c r="BS108" s="49">
        <f>BK108/BK109</f>
        <v>0.18823529411764706</v>
      </c>
      <c r="BT108" s="23"/>
      <c r="CA108" s="98">
        <v>5</v>
      </c>
      <c r="CB108" s="32">
        <f t="shared" si="168"/>
        <v>41.282951081909559</v>
      </c>
      <c r="CC108" s="38">
        <f t="shared" si="168"/>
        <v>34.036439050570472</v>
      </c>
      <c r="CD108" s="38">
        <f t="shared" si="168"/>
        <v>47.458644661855779</v>
      </c>
      <c r="CE108" s="38">
        <f t="shared" si="168"/>
        <v>34.835991247263237</v>
      </c>
      <c r="CF108" s="39">
        <f t="shared" si="168"/>
        <v>42.575384289830744</v>
      </c>
      <c r="CH108" s="14" t="s">
        <v>3</v>
      </c>
      <c r="CI108" s="124">
        <f>CQ127</f>
        <v>6</v>
      </c>
      <c r="CJ108" s="44">
        <f>CQ129</f>
        <v>8</v>
      </c>
      <c r="CK108" s="44">
        <f>CQ130</f>
        <v>9</v>
      </c>
      <c r="CL108" s="44">
        <f>CQ131</f>
        <v>10</v>
      </c>
      <c r="CM108" s="45">
        <f>CQ132</f>
        <v>11</v>
      </c>
      <c r="CN108" s="18">
        <f t="shared" si="174"/>
        <v>44</v>
      </c>
      <c r="CO108" s="10"/>
      <c r="CP108" s="46" t="s">
        <v>3</v>
      </c>
      <c r="CQ108" s="50">
        <f>CI108/CI109</f>
        <v>8.6956521739130432E-2</v>
      </c>
      <c r="CR108" s="48">
        <f>CJ108/CJ109</f>
        <v>9.1954022988505746E-2</v>
      </c>
      <c r="CS108" s="48">
        <f>CK108/CK109</f>
        <v>0.21951219512195122</v>
      </c>
      <c r="CT108" s="51">
        <f>CL108/CL109</f>
        <v>0.14705882352941177</v>
      </c>
      <c r="CU108" s="49">
        <f>CM108/CM109</f>
        <v>0.18333333333333332</v>
      </c>
      <c r="CV108" s="23"/>
      <c r="DC108" s="98">
        <v>5</v>
      </c>
      <c r="DD108" s="32">
        <f t="shared" si="169"/>
        <v>38.537711024609024</v>
      </c>
      <c r="DE108" s="38">
        <f t="shared" si="169"/>
        <v>47.817073828538341</v>
      </c>
      <c r="DF108" s="38">
        <f t="shared" si="169"/>
        <v>42.760818426410594</v>
      </c>
      <c r="DG108" s="38">
        <f t="shared" si="169"/>
        <v>49.034974825246493</v>
      </c>
      <c r="DH108" s="39">
        <f t="shared" si="169"/>
        <v>40.30980106663845</v>
      </c>
      <c r="DJ108" s="14" t="s">
        <v>3</v>
      </c>
      <c r="DK108" s="124">
        <f>DS127</f>
        <v>19</v>
      </c>
      <c r="DL108" s="44">
        <f>DS129</f>
        <v>21</v>
      </c>
      <c r="DM108" s="44">
        <f>DS130</f>
        <v>22</v>
      </c>
      <c r="DN108" s="44">
        <f>DS131</f>
        <v>23</v>
      </c>
      <c r="DO108" s="45">
        <f>DS132</f>
        <v>24</v>
      </c>
      <c r="DP108" s="18">
        <f t="shared" si="175"/>
        <v>109</v>
      </c>
      <c r="DQ108" s="10"/>
      <c r="DR108" s="46" t="s">
        <v>3</v>
      </c>
      <c r="DS108" s="50">
        <f>DK108/DK109</f>
        <v>0.32203389830508472</v>
      </c>
      <c r="DT108" s="48">
        <f>DL108/DL109</f>
        <v>0.40384615384615385</v>
      </c>
      <c r="DU108" s="48">
        <f>DM108/DM109</f>
        <v>0.27160493827160492</v>
      </c>
      <c r="DV108" s="48">
        <f>DN108/DN109</f>
        <v>0.39655172413793105</v>
      </c>
      <c r="DW108" s="52">
        <f>DO108/DO109</f>
        <v>0.32</v>
      </c>
      <c r="DX108" s="23"/>
      <c r="EE108" s="98">
        <v>5</v>
      </c>
      <c r="EF108" s="32">
        <f t="shared" si="170"/>
        <v>39.011247195607922</v>
      </c>
      <c r="EG108" s="38">
        <f t="shared" si="170"/>
        <v>39.141939462945643</v>
      </c>
      <c r="EH108" s="38">
        <f t="shared" si="170"/>
        <v>38.918402484921856</v>
      </c>
      <c r="EI108" s="38">
        <f t="shared" si="170"/>
        <v>40.025669759427664</v>
      </c>
      <c r="EJ108" s="39">
        <f t="shared" si="170"/>
        <v>47.821403917497264</v>
      </c>
    </row>
    <row r="109" spans="2:140" ht="15" thickBot="1" x14ac:dyDescent="0.25">
      <c r="B109" s="53"/>
      <c r="C109" s="55">
        <f>SUM(C104:C108)</f>
        <v>89</v>
      </c>
      <c r="D109" s="55">
        <f t="shared" ref="D109:G109" si="176">SUM(D104:D108)</f>
        <v>82</v>
      </c>
      <c r="E109" s="55">
        <f t="shared" si="176"/>
        <v>36</v>
      </c>
      <c r="F109" s="55">
        <f t="shared" si="176"/>
        <v>63</v>
      </c>
      <c r="G109" s="55">
        <f t="shared" si="176"/>
        <v>55</v>
      </c>
      <c r="H109" s="56"/>
      <c r="I109" s="10"/>
      <c r="K109" s="57"/>
      <c r="L109" s="57"/>
      <c r="M109" s="57"/>
      <c r="N109" s="57"/>
      <c r="O109" s="57"/>
      <c r="P109" s="57"/>
      <c r="W109" s="98">
        <v>6</v>
      </c>
      <c r="X109" s="32">
        <f t="shared" si="166"/>
        <v>46.186411859422769</v>
      </c>
      <c r="Y109" s="38">
        <f t="shared" si="166"/>
        <v>45.770375662474621</v>
      </c>
      <c r="Z109" s="38">
        <f t="shared" si="166"/>
        <v>45.348336598230958</v>
      </c>
      <c r="AA109" s="38">
        <f t="shared" si="166"/>
        <v>46.775777937994121</v>
      </c>
      <c r="AB109" s="39">
        <f t="shared" si="166"/>
        <v>40.484804001386223</v>
      </c>
      <c r="AD109" s="53"/>
      <c r="AE109" s="55">
        <f>SUM(AE104:AE108)</f>
        <v>34</v>
      </c>
      <c r="AF109" s="55">
        <f t="shared" ref="AF109:AI109" si="177">SUM(AF104:AF108)</f>
        <v>102</v>
      </c>
      <c r="AG109" s="55">
        <f t="shared" si="177"/>
        <v>56</v>
      </c>
      <c r="AH109" s="55">
        <f t="shared" si="177"/>
        <v>58</v>
      </c>
      <c r="AI109" s="55">
        <f t="shared" si="177"/>
        <v>75</v>
      </c>
      <c r="AJ109" s="56"/>
      <c r="AK109" s="10"/>
      <c r="AM109" s="57"/>
      <c r="AN109" s="57"/>
      <c r="AO109" s="57"/>
      <c r="AP109" s="57"/>
      <c r="AQ109" s="57"/>
      <c r="AR109" s="57"/>
      <c r="AY109" s="98">
        <v>6</v>
      </c>
      <c r="AZ109" s="32">
        <f t="shared" si="167"/>
        <v>39.739831500935139</v>
      </c>
      <c r="BA109" s="38">
        <f t="shared" si="167"/>
        <v>40.503141756927093</v>
      </c>
      <c r="BB109" s="38">
        <f t="shared" si="167"/>
        <v>39.902210192802528</v>
      </c>
      <c r="BC109" s="38">
        <f t="shared" si="167"/>
        <v>31.81466667075383</v>
      </c>
      <c r="BD109" s="39">
        <f t="shared" si="167"/>
        <v>37.899464467788832</v>
      </c>
      <c r="BF109" s="53"/>
      <c r="BG109" s="55">
        <f>SUM(BG104:BG108)</f>
        <v>44</v>
      </c>
      <c r="BH109" s="55">
        <f t="shared" ref="BH109:BK109" si="178">SUM(BH104:BH108)</f>
        <v>62</v>
      </c>
      <c r="BI109" s="55">
        <f t="shared" si="178"/>
        <v>66</v>
      </c>
      <c r="BJ109" s="55">
        <f t="shared" si="178"/>
        <v>68</v>
      </c>
      <c r="BK109" s="55">
        <f t="shared" si="178"/>
        <v>85</v>
      </c>
      <c r="BL109" s="56"/>
      <c r="BM109" s="10"/>
      <c r="BO109" s="57"/>
      <c r="BP109" s="57"/>
      <c r="BQ109" s="57"/>
      <c r="BR109" s="57"/>
      <c r="BS109" s="57"/>
      <c r="BT109" s="57"/>
      <c r="CA109" s="98">
        <v>6</v>
      </c>
      <c r="CB109" s="32">
        <f t="shared" si="168"/>
        <v>41.775298020685064</v>
      </c>
      <c r="CC109" s="38">
        <f t="shared" si="168"/>
        <v>35.007979931073613</v>
      </c>
      <c r="CD109" s="38">
        <f t="shared" si="168"/>
        <v>50.759083258347005</v>
      </c>
      <c r="CE109" s="38">
        <f t="shared" si="168"/>
        <v>36.021153848889249</v>
      </c>
      <c r="CF109" s="39">
        <f t="shared" si="168"/>
        <v>44.542489552988634</v>
      </c>
      <c r="CH109" s="53"/>
      <c r="CI109" s="55">
        <f>SUM(CI104:CI108)</f>
        <v>69</v>
      </c>
      <c r="CJ109" s="55">
        <f t="shared" ref="CJ109:CM109" si="179">SUM(CJ104:CJ108)</f>
        <v>87</v>
      </c>
      <c r="CK109" s="55">
        <f t="shared" si="179"/>
        <v>41</v>
      </c>
      <c r="CL109" s="55">
        <f t="shared" si="179"/>
        <v>68</v>
      </c>
      <c r="CM109" s="55">
        <f t="shared" si="179"/>
        <v>60</v>
      </c>
      <c r="CN109" s="56"/>
      <c r="CO109" s="10"/>
      <c r="CQ109" s="57"/>
      <c r="CR109" s="57"/>
      <c r="CS109" s="57"/>
      <c r="CT109" s="57"/>
      <c r="CU109" s="57"/>
      <c r="CV109" s="57"/>
      <c r="DC109" s="98">
        <v>6</v>
      </c>
      <c r="DD109" s="32">
        <f t="shared" si="169"/>
        <v>34.192950124468375</v>
      </c>
      <c r="DE109" s="38">
        <f t="shared" si="169"/>
        <v>42.483453138883178</v>
      </c>
      <c r="DF109" s="38">
        <f t="shared" si="169"/>
        <v>38.037779210724324</v>
      </c>
      <c r="DG109" s="38">
        <f t="shared" si="169"/>
        <v>43.584217249488923</v>
      </c>
      <c r="DH109" s="39">
        <f t="shared" si="169"/>
        <v>35.819955128263103</v>
      </c>
      <c r="DJ109" s="53"/>
      <c r="DK109" s="55">
        <f>SUM(DK104:DK108)</f>
        <v>59</v>
      </c>
      <c r="DL109" s="55">
        <f t="shared" ref="DL109:DO109" si="180">SUM(DL104:DL108)</f>
        <v>52</v>
      </c>
      <c r="DM109" s="55">
        <f t="shared" si="180"/>
        <v>81</v>
      </c>
      <c r="DN109" s="55">
        <f t="shared" si="180"/>
        <v>58</v>
      </c>
      <c r="DO109" s="55">
        <f t="shared" si="180"/>
        <v>75</v>
      </c>
      <c r="DP109" s="56"/>
      <c r="DQ109" s="10"/>
      <c r="DS109" s="57"/>
      <c r="DT109" s="57"/>
      <c r="DU109" s="57"/>
      <c r="DV109" s="57"/>
      <c r="DW109" s="57"/>
      <c r="DX109" s="57"/>
      <c r="EE109" s="98">
        <v>6</v>
      </c>
      <c r="EF109" s="32">
        <f t="shared" si="170"/>
        <v>44.41600910036982</v>
      </c>
      <c r="EG109" s="38">
        <f t="shared" si="170"/>
        <v>43.844953647342805</v>
      </c>
      <c r="EH109" s="38">
        <f t="shared" si="170"/>
        <v>43.339818255531171</v>
      </c>
      <c r="EI109" s="38">
        <f t="shared" si="170"/>
        <v>45.123257478725911</v>
      </c>
      <c r="EJ109" s="39">
        <f t="shared" si="170"/>
        <v>54.638070584163941</v>
      </c>
    </row>
    <row r="110" spans="2:140" ht="15" thickBot="1" x14ac:dyDescent="0.25">
      <c r="B110" s="10"/>
      <c r="H110" s="10"/>
      <c r="I110" s="10"/>
      <c r="K110" s="57"/>
      <c r="L110" s="57"/>
      <c r="M110" s="57"/>
      <c r="N110" s="57"/>
      <c r="O110" s="57"/>
      <c r="P110" s="57"/>
      <c r="W110" s="98">
        <v>7</v>
      </c>
      <c r="X110" s="32">
        <f t="shared" si="166"/>
        <v>38.186411859422762</v>
      </c>
      <c r="Y110" s="38">
        <f t="shared" si="166"/>
        <v>38.175438953613863</v>
      </c>
      <c r="Z110" s="38">
        <f t="shared" si="166"/>
        <v>37.940929190823546</v>
      </c>
      <c r="AA110" s="38">
        <f t="shared" si="166"/>
        <v>38.881041095888861</v>
      </c>
      <c r="AB110" s="39">
        <f t="shared" si="166"/>
        <v>33.743230967678365</v>
      </c>
      <c r="AD110" s="10"/>
      <c r="AJ110" s="10"/>
      <c r="AK110" s="10"/>
      <c r="AM110" s="57"/>
      <c r="AN110" s="57"/>
      <c r="AO110" s="57"/>
      <c r="AP110" s="57"/>
      <c r="AQ110" s="57"/>
      <c r="AR110" s="57"/>
      <c r="AY110" s="98">
        <v>7</v>
      </c>
      <c r="AZ110" s="32">
        <f t="shared" si="167"/>
        <v>42.921649682753319</v>
      </c>
      <c r="BA110" s="38">
        <f t="shared" si="167"/>
        <v>45.169808423593757</v>
      </c>
      <c r="BB110" s="38">
        <f t="shared" si="167"/>
        <v>44.370295299185507</v>
      </c>
      <c r="BC110" s="38">
        <f t="shared" si="167"/>
        <v>34.948995028962784</v>
      </c>
      <c r="BD110" s="39">
        <f t="shared" si="167"/>
        <v>41.717646285970645</v>
      </c>
      <c r="BF110" s="10"/>
      <c r="BL110" s="10"/>
      <c r="BM110" s="10"/>
      <c r="BO110" s="57"/>
      <c r="BP110" s="57"/>
      <c r="BQ110" s="57"/>
      <c r="BR110" s="57"/>
      <c r="BS110" s="57"/>
      <c r="BT110" s="57"/>
      <c r="CA110" s="98">
        <v>7</v>
      </c>
      <c r="CB110" s="32">
        <f t="shared" si="168"/>
        <v>39.530400061501389</v>
      </c>
      <c r="CC110" s="38">
        <f t="shared" si="168"/>
        <v>32.932508232960402</v>
      </c>
      <c r="CD110" s="38">
        <f t="shared" si="168"/>
        <v>47.092416591680333</v>
      </c>
      <c r="CE110" s="38">
        <f t="shared" si="168"/>
        <v>33.821153848889253</v>
      </c>
      <c r="CF110" s="39">
        <f t="shared" si="168"/>
        <v>41.647752710883374</v>
      </c>
      <c r="CH110" s="10"/>
      <c r="CN110" s="10"/>
      <c r="CO110" s="10"/>
      <c r="CQ110" s="57"/>
      <c r="CR110" s="57"/>
      <c r="CS110" s="57"/>
      <c r="CT110" s="57"/>
      <c r="CU110" s="57"/>
      <c r="CV110" s="57"/>
      <c r="DC110" s="98">
        <v>7</v>
      </c>
      <c r="DD110" s="32">
        <f t="shared" si="169"/>
        <v>40.268899491556979</v>
      </c>
      <c r="DE110" s="38">
        <f t="shared" si="169"/>
        <v>50.759315207848687</v>
      </c>
      <c r="DF110" s="38">
        <f t="shared" si="169"/>
        <v>46.037779210724324</v>
      </c>
      <c r="DG110" s="38">
        <f t="shared" si="169"/>
        <v>52.311489976761649</v>
      </c>
      <c r="DH110" s="39">
        <f t="shared" si="169"/>
        <v>42.878778657674864</v>
      </c>
      <c r="DJ110" s="10"/>
      <c r="DP110" s="10"/>
      <c r="DQ110" s="10"/>
      <c r="DS110" s="57"/>
      <c r="DT110" s="57"/>
      <c r="DU110" s="57"/>
      <c r="DV110" s="57"/>
      <c r="DW110" s="57"/>
      <c r="DX110" s="57"/>
      <c r="EE110" s="98">
        <v>7</v>
      </c>
      <c r="EF110" s="32">
        <f t="shared" si="170"/>
        <v>40.666009100369827</v>
      </c>
      <c r="EG110" s="38">
        <f t="shared" si="170"/>
        <v>40.344953647342805</v>
      </c>
      <c r="EH110" s="38">
        <f t="shared" si="170"/>
        <v>39.952721481337626</v>
      </c>
      <c r="EI110" s="38">
        <f t="shared" si="170"/>
        <v>41.439046952410123</v>
      </c>
      <c r="EJ110" s="39">
        <f t="shared" si="170"/>
        <v>49.97140391749727</v>
      </c>
    </row>
    <row r="111" spans="2:140" ht="15" thickBot="1" x14ac:dyDescent="0.25">
      <c r="B111" s="58"/>
      <c r="C111" s="60" t="s">
        <v>6</v>
      </c>
      <c r="D111" s="60" t="s">
        <v>7</v>
      </c>
      <c r="E111" s="60" t="s">
        <v>8</v>
      </c>
      <c r="F111" s="60" t="s">
        <v>9</v>
      </c>
      <c r="G111" s="60" t="s">
        <v>10</v>
      </c>
      <c r="H111" s="61"/>
      <c r="I111" s="10"/>
      <c r="J111" s="11" t="s">
        <v>15</v>
      </c>
      <c r="K111" s="62" t="s">
        <v>6</v>
      </c>
      <c r="L111" s="62" t="s">
        <v>7</v>
      </c>
      <c r="M111" s="62" t="s">
        <v>8</v>
      </c>
      <c r="N111" s="62" t="s">
        <v>9</v>
      </c>
      <c r="O111" s="63" t="s">
        <v>10</v>
      </c>
      <c r="P111" s="23"/>
      <c r="W111" s="98">
        <v>8</v>
      </c>
      <c r="X111" s="32">
        <f t="shared" si="166"/>
        <v>44.414745192756094</v>
      </c>
      <c r="Y111" s="38">
        <f t="shared" si="166"/>
        <v>44.363058823195757</v>
      </c>
      <c r="Z111" s="38">
        <f t="shared" si="166"/>
        <v>44.07692456119392</v>
      </c>
      <c r="AA111" s="38">
        <f t="shared" si="166"/>
        <v>45.198434392563385</v>
      </c>
      <c r="AB111" s="39">
        <f t="shared" si="166"/>
        <v>39.215207960722765</v>
      </c>
      <c r="AD111" s="58"/>
      <c r="AE111" s="60" t="s">
        <v>6</v>
      </c>
      <c r="AF111" s="60" t="s">
        <v>7</v>
      </c>
      <c r="AG111" s="60" t="s">
        <v>8</v>
      </c>
      <c r="AH111" s="60" t="s">
        <v>9</v>
      </c>
      <c r="AI111" s="60" t="s">
        <v>10</v>
      </c>
      <c r="AJ111" s="61"/>
      <c r="AK111" s="10"/>
      <c r="AL111" s="11" t="s">
        <v>15</v>
      </c>
      <c r="AM111" s="62" t="s">
        <v>6</v>
      </c>
      <c r="AN111" s="62" t="s">
        <v>7</v>
      </c>
      <c r="AO111" s="62" t="s">
        <v>8</v>
      </c>
      <c r="AP111" s="62" t="s">
        <v>9</v>
      </c>
      <c r="AQ111" s="63" t="s">
        <v>10</v>
      </c>
      <c r="AR111" s="23"/>
      <c r="AY111" s="98">
        <v>8</v>
      </c>
      <c r="AZ111" s="32">
        <f t="shared" si="167"/>
        <v>43.967104228207859</v>
      </c>
      <c r="BA111" s="38">
        <f t="shared" si="167"/>
        <v>44.162863979149307</v>
      </c>
      <c r="BB111" s="38">
        <f t="shared" si="167"/>
        <v>43.566571894930192</v>
      </c>
      <c r="BC111" s="38">
        <f t="shared" si="167"/>
        <v>34.931412487126515</v>
      </c>
      <c r="BD111" s="39">
        <f t="shared" si="167"/>
        <v>41.573858407182769</v>
      </c>
      <c r="BF111" s="58"/>
      <c r="BG111" s="60" t="s">
        <v>6</v>
      </c>
      <c r="BH111" s="60" t="s">
        <v>7</v>
      </c>
      <c r="BI111" s="60" t="s">
        <v>8</v>
      </c>
      <c r="BJ111" s="60" t="s">
        <v>9</v>
      </c>
      <c r="BK111" s="60" t="s">
        <v>10</v>
      </c>
      <c r="BL111" s="61"/>
      <c r="BM111" s="10"/>
      <c r="BN111" s="11" t="s">
        <v>15</v>
      </c>
      <c r="BO111" s="62" t="s">
        <v>6</v>
      </c>
      <c r="BP111" s="62" t="s">
        <v>7</v>
      </c>
      <c r="BQ111" s="62" t="s">
        <v>8</v>
      </c>
      <c r="BR111" s="62" t="s">
        <v>9</v>
      </c>
      <c r="BS111" s="63" t="s">
        <v>10</v>
      </c>
      <c r="BT111" s="23"/>
      <c r="CA111" s="98">
        <v>8</v>
      </c>
      <c r="CB111" s="32">
        <f t="shared" si="168"/>
        <v>49.140093939052413</v>
      </c>
      <c r="CC111" s="38">
        <f t="shared" si="168"/>
        <v>41.300589993966696</v>
      </c>
      <c r="CD111" s="38">
        <f t="shared" si="168"/>
        <v>60.291977995189114</v>
      </c>
      <c r="CE111" s="38">
        <f t="shared" si="168"/>
        <v>42.535991247263233</v>
      </c>
      <c r="CF111" s="39">
        <f t="shared" si="168"/>
        <v>52.706963237199162</v>
      </c>
      <c r="CH111" s="58"/>
      <c r="CI111" s="60" t="s">
        <v>6</v>
      </c>
      <c r="CJ111" s="60" t="s">
        <v>7</v>
      </c>
      <c r="CK111" s="60" t="s">
        <v>8</v>
      </c>
      <c r="CL111" s="60" t="s">
        <v>9</v>
      </c>
      <c r="CM111" s="60" t="s">
        <v>10</v>
      </c>
      <c r="CN111" s="61"/>
      <c r="CO111" s="10"/>
      <c r="CP111" s="11" t="s">
        <v>15</v>
      </c>
      <c r="CQ111" s="62" t="s">
        <v>6</v>
      </c>
      <c r="CR111" s="62" t="s">
        <v>7</v>
      </c>
      <c r="CS111" s="62" t="s">
        <v>8</v>
      </c>
      <c r="CT111" s="62" t="s">
        <v>9</v>
      </c>
      <c r="CU111" s="63" t="s">
        <v>10</v>
      </c>
      <c r="CV111" s="23"/>
      <c r="DC111" s="98">
        <v>8</v>
      </c>
      <c r="DD111" s="32">
        <f t="shared" si="169"/>
        <v>39.550369252457116</v>
      </c>
      <c r="DE111" s="38">
        <f t="shared" si="169"/>
        <v>49.196384173365935</v>
      </c>
      <c r="DF111" s="38">
        <f t="shared" si="169"/>
        <v>44.094151759743937</v>
      </c>
      <c r="DG111" s="38">
        <f t="shared" si="169"/>
        <v>50.489520279791947</v>
      </c>
      <c r="DH111" s="39">
        <f t="shared" si="169"/>
        <v>41.486271654873747</v>
      </c>
      <c r="DJ111" s="58"/>
      <c r="DK111" s="60" t="s">
        <v>6</v>
      </c>
      <c r="DL111" s="60" t="s">
        <v>7</v>
      </c>
      <c r="DM111" s="60" t="s">
        <v>8</v>
      </c>
      <c r="DN111" s="60" t="s">
        <v>9</v>
      </c>
      <c r="DO111" s="60" t="s">
        <v>10</v>
      </c>
      <c r="DP111" s="61"/>
      <c r="DQ111" s="10"/>
      <c r="DR111" s="11" t="s">
        <v>15</v>
      </c>
      <c r="DS111" s="62" t="s">
        <v>6</v>
      </c>
      <c r="DT111" s="62" t="s">
        <v>7</v>
      </c>
      <c r="DU111" s="62" t="s">
        <v>8</v>
      </c>
      <c r="DV111" s="62" t="s">
        <v>9</v>
      </c>
      <c r="DW111" s="63" t="s">
        <v>10</v>
      </c>
      <c r="DX111" s="23"/>
      <c r="EE111" s="98">
        <v>8</v>
      </c>
      <c r="EF111" s="32">
        <f t="shared" si="170"/>
        <v>45.261247195607922</v>
      </c>
      <c r="EG111" s="38">
        <f t="shared" si="170"/>
        <v>44.975272796278979</v>
      </c>
      <c r="EH111" s="38">
        <f t="shared" si="170"/>
        <v>44.563563775244432</v>
      </c>
      <c r="EI111" s="38">
        <f t="shared" si="170"/>
        <v>46.166020636620644</v>
      </c>
      <c r="EJ111" s="39">
        <f t="shared" si="170"/>
        <v>55.599181695275043</v>
      </c>
    </row>
    <row r="112" spans="2:140" x14ac:dyDescent="0.2">
      <c r="B112" s="64" t="s">
        <v>13</v>
      </c>
      <c r="C112" s="24" t="s">
        <v>1</v>
      </c>
      <c r="D112" s="25" t="s">
        <v>2</v>
      </c>
      <c r="E112" s="25" t="s">
        <v>3</v>
      </c>
      <c r="F112" s="25" t="s">
        <v>4</v>
      </c>
      <c r="G112" s="26" t="s">
        <v>5</v>
      </c>
      <c r="H112" s="65"/>
      <c r="I112" s="10"/>
      <c r="J112" s="66" t="s">
        <v>13</v>
      </c>
      <c r="K112" s="125">
        <f>C104/H104</f>
        <v>0.20588235294117646</v>
      </c>
      <c r="L112" s="126">
        <f>D104/H104</f>
        <v>0.29411764705882354</v>
      </c>
      <c r="M112" s="126">
        <f>E104/H104</f>
        <v>2.9411764705882353E-2</v>
      </c>
      <c r="N112" s="126">
        <f>F104/H104</f>
        <v>0.22058823529411764</v>
      </c>
      <c r="O112" s="127">
        <f>G104/H104</f>
        <v>0.25</v>
      </c>
      <c r="P112" s="23"/>
      <c r="W112" s="98">
        <v>9</v>
      </c>
      <c r="X112" s="32">
        <f t="shared" si="166"/>
        <v>43.976411859422761</v>
      </c>
      <c r="Y112" s="38">
        <f t="shared" si="166"/>
        <v>44.221564768727013</v>
      </c>
      <c r="Z112" s="38">
        <f t="shared" si="166"/>
        <v>44.040080425391452</v>
      </c>
      <c r="AA112" s="38">
        <f t="shared" si="166"/>
        <v>44.936880320816847</v>
      </c>
      <c r="AB112" s="39">
        <f t="shared" si="166"/>
        <v>39.069207425677291</v>
      </c>
      <c r="AD112" s="64" t="s">
        <v>13</v>
      </c>
      <c r="AE112" s="24" t="s">
        <v>1</v>
      </c>
      <c r="AF112" s="25" t="s">
        <v>2</v>
      </c>
      <c r="AG112" s="25" t="s">
        <v>3</v>
      </c>
      <c r="AH112" s="25" t="s">
        <v>4</v>
      </c>
      <c r="AI112" s="26" t="s">
        <v>5</v>
      </c>
      <c r="AJ112" s="65"/>
      <c r="AK112" s="10"/>
      <c r="AL112" s="66" t="s">
        <v>13</v>
      </c>
      <c r="AM112" s="125">
        <f>AE104/AJ104</f>
        <v>0.20454545454545456</v>
      </c>
      <c r="AN112" s="126">
        <f>AF104/AJ104</f>
        <v>0.27272727272727271</v>
      </c>
      <c r="AO112" s="126">
        <f>AG104/AJ104</f>
        <v>6.8181818181818177E-2</v>
      </c>
      <c r="AP112" s="126">
        <f>AH104/AJ104</f>
        <v>0.21590909090909091</v>
      </c>
      <c r="AQ112" s="127">
        <f>AI104/AJ104</f>
        <v>0.23863636363636365</v>
      </c>
      <c r="AR112" s="23"/>
      <c r="AY112" s="98">
        <v>9</v>
      </c>
      <c r="AZ112" s="32">
        <f t="shared" si="167"/>
        <v>53.49740725851089</v>
      </c>
      <c r="BA112" s="38">
        <f t="shared" si="167"/>
        <v>55.600363979149307</v>
      </c>
      <c r="BB112" s="38">
        <f t="shared" si="167"/>
        <v>54.677742107696147</v>
      </c>
      <c r="BC112" s="38">
        <f t="shared" si="167"/>
        <v>43.272038900514119</v>
      </c>
      <c r="BD112" s="39">
        <f t="shared" si="167"/>
        <v>51.611888710213073</v>
      </c>
      <c r="BF112" s="64" t="s">
        <v>13</v>
      </c>
      <c r="BG112" s="24" t="s">
        <v>1</v>
      </c>
      <c r="BH112" s="25" t="s">
        <v>2</v>
      </c>
      <c r="BI112" s="25" t="s">
        <v>3</v>
      </c>
      <c r="BJ112" s="25" t="s">
        <v>4</v>
      </c>
      <c r="BK112" s="26" t="s">
        <v>5</v>
      </c>
      <c r="BL112" s="65"/>
      <c r="BM112" s="10"/>
      <c r="BN112" s="66" t="s">
        <v>13</v>
      </c>
      <c r="BO112" s="125">
        <f>BG104/BL104</f>
        <v>0.27397260273972601</v>
      </c>
      <c r="BP112" s="126">
        <f>BH104/BL104</f>
        <v>1.3698630136986301E-2</v>
      </c>
      <c r="BQ112" s="126">
        <f>BI104/BL104</f>
        <v>0.1095890410958904</v>
      </c>
      <c r="BR112" s="126">
        <f>BJ104/BL104</f>
        <v>0.28767123287671231</v>
      </c>
      <c r="BS112" s="127">
        <f>BK104/BL104</f>
        <v>0.31506849315068491</v>
      </c>
      <c r="BT112" s="23"/>
      <c r="CA112" s="98">
        <v>9</v>
      </c>
      <c r="CB112" s="32">
        <f t="shared" si="168"/>
        <v>48.647747000276908</v>
      </c>
      <c r="CC112" s="38">
        <f t="shared" si="168"/>
        <v>40.329049113463554</v>
      </c>
      <c r="CD112" s="38">
        <f t="shared" si="168"/>
        <v>56.991539398697888</v>
      </c>
      <c r="CE112" s="38">
        <f t="shared" si="168"/>
        <v>41.350828645637215</v>
      </c>
      <c r="CF112" s="39">
        <f t="shared" si="168"/>
        <v>50.739857974041264</v>
      </c>
      <c r="CH112" s="64" t="s">
        <v>13</v>
      </c>
      <c r="CI112" s="24" t="s">
        <v>1</v>
      </c>
      <c r="CJ112" s="25" t="s">
        <v>2</v>
      </c>
      <c r="CK112" s="25" t="s">
        <v>3</v>
      </c>
      <c r="CL112" s="25" t="s">
        <v>4</v>
      </c>
      <c r="CM112" s="26" t="s">
        <v>5</v>
      </c>
      <c r="CN112" s="65"/>
      <c r="CO112" s="10"/>
      <c r="CP112" s="66" t="s">
        <v>13</v>
      </c>
      <c r="CQ112" s="125">
        <f>CI104/CN104</f>
        <v>0.20547945205479451</v>
      </c>
      <c r="CR112" s="126">
        <f>CJ104/CN104</f>
        <v>0.28767123287671231</v>
      </c>
      <c r="CS112" s="126">
        <f>CK104/CN104</f>
        <v>4.1095890410958902E-2</v>
      </c>
      <c r="CT112" s="126">
        <f>CL104/CN104</f>
        <v>0.21917808219178081</v>
      </c>
      <c r="CU112" s="127">
        <f>CM104/CN104</f>
        <v>0.24657534246575341</v>
      </c>
      <c r="CV112" s="23"/>
      <c r="DC112" s="98">
        <v>9</v>
      </c>
      <c r="DD112" s="32">
        <f t="shared" si="169"/>
        <v>43.895130152597773</v>
      </c>
      <c r="DE112" s="38">
        <f t="shared" si="169"/>
        <v>54.530004863021105</v>
      </c>
      <c r="DF112" s="38">
        <f t="shared" si="169"/>
        <v>48.817190975430215</v>
      </c>
      <c r="DG112" s="38">
        <f t="shared" si="169"/>
        <v>55.940277855549532</v>
      </c>
      <c r="DH112" s="39">
        <f t="shared" si="169"/>
        <v>45.9761175932491</v>
      </c>
      <c r="DJ112" s="64" t="s">
        <v>13</v>
      </c>
      <c r="DK112" s="24" t="s">
        <v>1</v>
      </c>
      <c r="DL112" s="25" t="s">
        <v>2</v>
      </c>
      <c r="DM112" s="25" t="s">
        <v>3</v>
      </c>
      <c r="DN112" s="25" t="s">
        <v>4</v>
      </c>
      <c r="DO112" s="26" t="s">
        <v>5</v>
      </c>
      <c r="DP112" s="65"/>
      <c r="DQ112" s="10"/>
      <c r="DR112" s="66" t="s">
        <v>13</v>
      </c>
      <c r="DS112" s="125">
        <f>DK104/DP104</f>
        <v>7.8947368421052627E-2</v>
      </c>
      <c r="DT112" s="126">
        <f>DL104/DP104</f>
        <v>0.23684210526315788</v>
      </c>
      <c r="DU112" s="126">
        <f>DM104/DP104</f>
        <v>0.42105263157894735</v>
      </c>
      <c r="DV112" s="126">
        <f>DN104/DP104</f>
        <v>0.10526315789473684</v>
      </c>
      <c r="DW112" s="127">
        <f>DO104/DP104</f>
        <v>0.15789473684210525</v>
      </c>
      <c r="DX112" s="23"/>
      <c r="EE112" s="98">
        <v>9</v>
      </c>
      <c r="EF112" s="32">
        <f t="shared" si="170"/>
        <v>39.856485290846017</v>
      </c>
      <c r="EG112" s="38">
        <f t="shared" si="170"/>
        <v>40.27225861188181</v>
      </c>
      <c r="EH112" s="38">
        <f t="shared" si="170"/>
        <v>40.142148004635118</v>
      </c>
      <c r="EI112" s="38">
        <f t="shared" si="170"/>
        <v>41.068432917322404</v>
      </c>
      <c r="EJ112" s="39">
        <f t="shared" si="170"/>
        <v>48.78251502860838</v>
      </c>
    </row>
    <row r="113" spans="2:140" x14ac:dyDescent="0.2">
      <c r="B113" s="64" t="s">
        <v>3</v>
      </c>
      <c r="C113" s="32" t="s">
        <v>14</v>
      </c>
      <c r="D113" s="38" t="s">
        <v>10</v>
      </c>
      <c r="E113" s="38" t="s">
        <v>16</v>
      </c>
      <c r="F113" s="38" t="s">
        <v>6</v>
      </c>
      <c r="G113" s="39" t="s">
        <v>17</v>
      </c>
      <c r="H113" s="65"/>
      <c r="I113" s="10"/>
      <c r="J113" s="66" t="s">
        <v>3</v>
      </c>
      <c r="K113" s="40">
        <f>C105/H105</f>
        <v>0.48936170212765956</v>
      </c>
      <c r="L113" s="36">
        <f>D105/H105</f>
        <v>0.34042553191489361</v>
      </c>
      <c r="M113" s="36">
        <f>E105/H105</f>
        <v>2.1276595744680851E-2</v>
      </c>
      <c r="N113" s="36">
        <f>F105/H105</f>
        <v>6.3829787234042548E-2</v>
      </c>
      <c r="O113" s="37">
        <f>G105/H105</f>
        <v>8.5106382978723402E-2</v>
      </c>
      <c r="P113" s="23"/>
      <c r="W113" s="98">
        <v>10</v>
      </c>
      <c r="X113" s="32">
        <f t="shared" si="166"/>
        <v>51.976411859422761</v>
      </c>
      <c r="Y113" s="38">
        <f t="shared" si="166"/>
        <v>51.816501477587771</v>
      </c>
      <c r="Z113" s="38">
        <f t="shared" si="166"/>
        <v>51.447487832798856</v>
      </c>
      <c r="AA113" s="38">
        <f t="shared" si="166"/>
        <v>52.831617162922115</v>
      </c>
      <c r="AB113" s="39">
        <f t="shared" si="166"/>
        <v>45.810780459385157</v>
      </c>
      <c r="AD113" s="64" t="s">
        <v>3</v>
      </c>
      <c r="AE113" s="32" t="s">
        <v>14</v>
      </c>
      <c r="AF113" s="38" t="s">
        <v>10</v>
      </c>
      <c r="AG113" s="38" t="s">
        <v>16</v>
      </c>
      <c r="AH113" s="38" t="s">
        <v>6</v>
      </c>
      <c r="AI113" s="39" t="s">
        <v>17</v>
      </c>
      <c r="AJ113" s="65"/>
      <c r="AK113" s="10"/>
      <c r="AL113" s="66" t="s">
        <v>3</v>
      </c>
      <c r="AM113" s="40">
        <f>AE105/AJ105</f>
        <v>4.7619047619047616E-2</v>
      </c>
      <c r="AN113" s="36">
        <f>AF105/AJ105</f>
        <v>0.47619047619047616</v>
      </c>
      <c r="AO113" s="36">
        <f>AG105/AJ105</f>
        <v>0.11904761904761904</v>
      </c>
      <c r="AP113" s="36">
        <f>AH105/AJ105</f>
        <v>0.16666666666666666</v>
      </c>
      <c r="AQ113" s="37">
        <f>AI105/AJ105</f>
        <v>0.19047619047619047</v>
      </c>
      <c r="AR113" s="23"/>
      <c r="AY113" s="98">
        <v>10</v>
      </c>
      <c r="AZ113" s="32">
        <f t="shared" si="167"/>
        <v>50.31558907669271</v>
      </c>
      <c r="BA113" s="38">
        <f t="shared" si="167"/>
        <v>50.933697312482643</v>
      </c>
      <c r="BB113" s="38">
        <f t="shared" si="167"/>
        <v>50.209657001313168</v>
      </c>
      <c r="BC113" s="38">
        <f t="shared" si="167"/>
        <v>40.137710542305165</v>
      </c>
      <c r="BD113" s="39">
        <f t="shared" si="167"/>
        <v>47.793706892031253</v>
      </c>
      <c r="BF113" s="64" t="s">
        <v>3</v>
      </c>
      <c r="BG113" s="32" t="s">
        <v>14</v>
      </c>
      <c r="BH113" s="38" t="s">
        <v>10</v>
      </c>
      <c r="BI113" s="38" t="s">
        <v>16</v>
      </c>
      <c r="BJ113" s="38" t="s">
        <v>6</v>
      </c>
      <c r="BK113" s="39" t="s">
        <v>17</v>
      </c>
      <c r="BL113" s="65"/>
      <c r="BM113" s="10"/>
      <c r="BN113" s="66" t="s">
        <v>3</v>
      </c>
      <c r="BO113" s="40">
        <f>BG105/BL105</f>
        <v>7.6923076923076927E-2</v>
      </c>
      <c r="BP113" s="36">
        <f>BH105/BL105</f>
        <v>0.42307692307692307</v>
      </c>
      <c r="BQ113" s="36">
        <f>BI105/BL105</f>
        <v>0.13461538461538461</v>
      </c>
      <c r="BR113" s="36">
        <f>BJ105/BL105</f>
        <v>0.17307692307692307</v>
      </c>
      <c r="BS113" s="37">
        <f>BK105/BL105</f>
        <v>0.19230769230769232</v>
      </c>
      <c r="BT113" s="23"/>
      <c r="CA113" s="98">
        <v>10</v>
      </c>
      <c r="CB113" s="32">
        <f t="shared" si="168"/>
        <v>50.892644959460569</v>
      </c>
      <c r="CC113" s="38">
        <f t="shared" si="168"/>
        <v>42.404520811576759</v>
      </c>
      <c r="CD113" s="38">
        <f t="shared" si="168"/>
        <v>60.658206065364553</v>
      </c>
      <c r="CE113" s="38">
        <f t="shared" si="168"/>
        <v>43.550828645637218</v>
      </c>
      <c r="CF113" s="39">
        <f t="shared" si="168"/>
        <v>53.634594816146532</v>
      </c>
      <c r="CH113" s="64" t="s">
        <v>3</v>
      </c>
      <c r="CI113" s="32" t="s">
        <v>14</v>
      </c>
      <c r="CJ113" s="38" t="s">
        <v>10</v>
      </c>
      <c r="CK113" s="38" t="s">
        <v>16</v>
      </c>
      <c r="CL113" s="38" t="s">
        <v>6</v>
      </c>
      <c r="CM113" s="39" t="s">
        <v>17</v>
      </c>
      <c r="CN113" s="65"/>
      <c r="CO113" s="10"/>
      <c r="CP113" s="66" t="s">
        <v>3</v>
      </c>
      <c r="CQ113" s="40">
        <f>CI105/CN105</f>
        <v>0.46153846153846156</v>
      </c>
      <c r="CR113" s="36">
        <f>CJ105/CN105</f>
        <v>0.32692307692307693</v>
      </c>
      <c r="CS113" s="36">
        <f>CK105/CN105</f>
        <v>3.8461538461538464E-2</v>
      </c>
      <c r="CT113" s="36">
        <f>CL105/CN105</f>
        <v>7.6923076923076927E-2</v>
      </c>
      <c r="CU113" s="37">
        <f>CM105/CN105</f>
        <v>9.6153846153846159E-2</v>
      </c>
      <c r="CV113" s="23"/>
      <c r="DC113" s="98">
        <v>10</v>
      </c>
      <c r="DD113" s="32">
        <f t="shared" si="169"/>
        <v>37.819180785509161</v>
      </c>
      <c r="DE113" s="38">
        <f t="shared" si="169"/>
        <v>46.254142794055589</v>
      </c>
      <c r="DF113" s="38">
        <f t="shared" si="169"/>
        <v>40.817190975430208</v>
      </c>
      <c r="DG113" s="38">
        <f t="shared" si="169"/>
        <v>47.213005128276798</v>
      </c>
      <c r="DH113" s="39">
        <f t="shared" si="169"/>
        <v>38.917294063837325</v>
      </c>
      <c r="DJ113" s="64" t="s">
        <v>3</v>
      </c>
      <c r="DK113" s="32" t="s">
        <v>14</v>
      </c>
      <c r="DL113" s="38" t="s">
        <v>10</v>
      </c>
      <c r="DM113" s="38" t="s">
        <v>16</v>
      </c>
      <c r="DN113" s="38" t="s">
        <v>6</v>
      </c>
      <c r="DO113" s="39" t="s">
        <v>17</v>
      </c>
      <c r="DP113" s="65"/>
      <c r="DQ113" s="10"/>
      <c r="DR113" s="66" t="s">
        <v>3</v>
      </c>
      <c r="DS113" s="40">
        <f>DK105/DP105</f>
        <v>0.17910447761194029</v>
      </c>
      <c r="DT113" s="36">
        <f>DL105/DP105</f>
        <v>7.4626865671641784E-2</v>
      </c>
      <c r="DU113" s="36">
        <f>DM105/DP105</f>
        <v>0.22388059701492538</v>
      </c>
      <c r="DV113" s="36">
        <f>DN105/DP105</f>
        <v>0.2537313432835821</v>
      </c>
      <c r="DW113" s="37">
        <f>DO105/DP105</f>
        <v>0.26865671641791045</v>
      </c>
      <c r="DX113" s="23"/>
      <c r="EE113" s="98">
        <v>10</v>
      </c>
      <c r="EF113" s="32">
        <f t="shared" si="170"/>
        <v>43.606485290846017</v>
      </c>
      <c r="EG113" s="38">
        <f t="shared" si="170"/>
        <v>43.77225861188181</v>
      </c>
      <c r="EH113" s="38">
        <f t="shared" si="170"/>
        <v>43.529244778828662</v>
      </c>
      <c r="EI113" s="38">
        <f t="shared" si="170"/>
        <v>44.752643443638192</v>
      </c>
      <c r="EJ113" s="39">
        <f t="shared" si="170"/>
        <v>53.449181695275044</v>
      </c>
    </row>
    <row r="114" spans="2:140" x14ac:dyDescent="0.2">
      <c r="B114" s="64" t="s">
        <v>14</v>
      </c>
      <c r="C114" s="121" t="s">
        <v>8</v>
      </c>
      <c r="D114" s="38" t="s">
        <v>18</v>
      </c>
      <c r="E114" s="38" t="s">
        <v>19</v>
      </c>
      <c r="F114" s="38" t="s">
        <v>20</v>
      </c>
      <c r="G114" s="39" t="s">
        <v>21</v>
      </c>
      <c r="H114" s="65"/>
      <c r="I114" s="10"/>
      <c r="J114" s="66" t="s">
        <v>14</v>
      </c>
      <c r="K114" s="128">
        <f>C106/H106</f>
        <v>0.25</v>
      </c>
      <c r="L114" s="129">
        <f>D106/H106</f>
        <v>0.21</v>
      </c>
      <c r="M114" s="129">
        <f>E106/H106</f>
        <v>0.19</v>
      </c>
      <c r="N114" s="129">
        <f>F106/H106</f>
        <v>0.24</v>
      </c>
      <c r="O114" s="130">
        <f>G106/H106</f>
        <v>0.11</v>
      </c>
      <c r="P114" s="23"/>
      <c r="W114" s="98">
        <v>11</v>
      </c>
      <c r="X114" s="32">
        <f t="shared" si="166"/>
        <v>45.748078526089429</v>
      </c>
      <c r="Y114" s="38">
        <f t="shared" si="166"/>
        <v>45.628881608005884</v>
      </c>
      <c r="Z114" s="38">
        <f t="shared" si="166"/>
        <v>45.311492462428482</v>
      </c>
      <c r="AA114" s="38">
        <f t="shared" si="166"/>
        <v>46.514223866247583</v>
      </c>
      <c r="AB114" s="39">
        <f t="shared" si="166"/>
        <v>40.33880346634075</v>
      </c>
      <c r="AD114" s="64" t="s">
        <v>14</v>
      </c>
      <c r="AE114" s="32" t="s">
        <v>8</v>
      </c>
      <c r="AF114" s="122" t="s">
        <v>18</v>
      </c>
      <c r="AG114" s="38" t="s">
        <v>19</v>
      </c>
      <c r="AH114" s="38" t="s">
        <v>20</v>
      </c>
      <c r="AI114" s="39" t="s">
        <v>21</v>
      </c>
      <c r="AJ114" s="65"/>
      <c r="AK114" s="10"/>
      <c r="AL114" s="66" t="s">
        <v>14</v>
      </c>
      <c r="AM114" s="128">
        <f>AE106/AJ106</f>
        <v>5.7142857142857141E-2</v>
      </c>
      <c r="AN114" s="129">
        <f>AF106/AJ106</f>
        <v>0.35714285714285715</v>
      </c>
      <c r="AO114" s="129">
        <f>AG106/AJ106</f>
        <v>0.32857142857142857</v>
      </c>
      <c r="AP114" s="129">
        <f>AH106/AJ106</f>
        <v>4.2857142857142858E-2</v>
      </c>
      <c r="AQ114" s="130">
        <f>AI106/AJ106</f>
        <v>0.21428571428571427</v>
      </c>
      <c r="AR114" s="23"/>
      <c r="AY114" s="98">
        <v>11</v>
      </c>
      <c r="AZ114" s="32">
        <f t="shared" si="167"/>
        <v>49.270134531238163</v>
      </c>
      <c r="BA114" s="38">
        <f t="shared" si="167"/>
        <v>51.940641756927086</v>
      </c>
      <c r="BB114" s="38">
        <f t="shared" si="167"/>
        <v>51.013380405568476</v>
      </c>
      <c r="BC114" s="38">
        <f t="shared" si="167"/>
        <v>40.155293084141434</v>
      </c>
      <c r="BD114" s="39">
        <f t="shared" si="167"/>
        <v>47.937494770819129</v>
      </c>
      <c r="BF114" s="64" t="s">
        <v>14</v>
      </c>
      <c r="BG114" s="32" t="s">
        <v>8</v>
      </c>
      <c r="BH114" s="38" t="s">
        <v>18</v>
      </c>
      <c r="BI114" s="122" t="s">
        <v>19</v>
      </c>
      <c r="BJ114" s="38" t="s">
        <v>20</v>
      </c>
      <c r="BK114" s="39" t="s">
        <v>21</v>
      </c>
      <c r="BL114" s="65"/>
      <c r="BM114" s="10"/>
      <c r="BN114" s="66" t="s">
        <v>14</v>
      </c>
      <c r="BO114" s="128">
        <f>BG106/BL106</f>
        <v>0.10909090909090909</v>
      </c>
      <c r="BP114" s="129">
        <f>BH106/BL106</f>
        <v>3.6363636363636362E-2</v>
      </c>
      <c r="BQ114" s="129">
        <f>BI106/BL106</f>
        <v>0.45454545454545453</v>
      </c>
      <c r="BR114" s="129">
        <f>BJ106/BL106</f>
        <v>9.0909090909090912E-2</v>
      </c>
      <c r="BS114" s="130">
        <f>BK106/BL106</f>
        <v>0.30909090909090908</v>
      </c>
      <c r="BT114" s="23"/>
      <c r="CA114" s="98">
        <v>11</v>
      </c>
      <c r="CB114" s="32">
        <f t="shared" si="168"/>
        <v>41.282951081909559</v>
      </c>
      <c r="CC114" s="38">
        <f t="shared" si="168"/>
        <v>34.036439050570472</v>
      </c>
      <c r="CD114" s="38">
        <f t="shared" si="168"/>
        <v>47.458644661855779</v>
      </c>
      <c r="CE114" s="38">
        <f t="shared" si="168"/>
        <v>34.835991247263237</v>
      </c>
      <c r="CF114" s="39">
        <f t="shared" si="168"/>
        <v>42.575384289830744</v>
      </c>
      <c r="CH114" s="64" t="s">
        <v>14</v>
      </c>
      <c r="CI114" s="32" t="s">
        <v>8</v>
      </c>
      <c r="CJ114" s="38" t="s">
        <v>18</v>
      </c>
      <c r="CK114" s="38" t="s">
        <v>19</v>
      </c>
      <c r="CL114" s="122" t="s">
        <v>20</v>
      </c>
      <c r="CM114" s="39" t="s">
        <v>21</v>
      </c>
      <c r="CN114" s="65"/>
      <c r="CO114" s="10"/>
      <c r="CP114" s="66" t="s">
        <v>14</v>
      </c>
      <c r="CQ114" s="128">
        <f>CI106/CN106</f>
        <v>1.2500000000000001E-2</v>
      </c>
      <c r="CR114" s="129">
        <f>CJ106/CN106</f>
        <v>0.27500000000000002</v>
      </c>
      <c r="CS114" s="129">
        <f>CK106/CN106</f>
        <v>0.25</v>
      </c>
      <c r="CT114" s="129">
        <f>CL106/CN106</f>
        <v>0.3125</v>
      </c>
      <c r="CU114" s="130">
        <f>CM106/CN106</f>
        <v>0.15</v>
      </c>
      <c r="CV114" s="23"/>
      <c r="DC114" s="98">
        <v>11</v>
      </c>
      <c r="DD114" s="32">
        <f t="shared" si="169"/>
        <v>38.537711024609024</v>
      </c>
      <c r="DE114" s="38">
        <f t="shared" si="169"/>
        <v>47.817073828538341</v>
      </c>
      <c r="DF114" s="38">
        <f t="shared" si="169"/>
        <v>42.760818426410594</v>
      </c>
      <c r="DG114" s="38">
        <f t="shared" si="169"/>
        <v>49.034974825246493</v>
      </c>
      <c r="DH114" s="39">
        <f t="shared" si="169"/>
        <v>40.30980106663845</v>
      </c>
      <c r="DJ114" s="64" t="s">
        <v>14</v>
      </c>
      <c r="DK114" s="32" t="s">
        <v>8</v>
      </c>
      <c r="DL114" s="38" t="s">
        <v>18</v>
      </c>
      <c r="DM114" s="38" t="s">
        <v>19</v>
      </c>
      <c r="DN114" s="38" t="s">
        <v>20</v>
      </c>
      <c r="DO114" s="117" t="s">
        <v>21</v>
      </c>
      <c r="DP114" s="65"/>
      <c r="DQ114" s="10"/>
      <c r="DR114" s="66" t="s">
        <v>14</v>
      </c>
      <c r="DS114" s="128">
        <f>DK106/DP106</f>
        <v>0.2</v>
      </c>
      <c r="DT114" s="129">
        <f>DL106/DP106</f>
        <v>0.14285714285714285</v>
      </c>
      <c r="DU114" s="129">
        <f>DM106/DP106</f>
        <v>0.11428571428571428</v>
      </c>
      <c r="DV114" s="129">
        <f>DN106/DP106</f>
        <v>0.18571428571428572</v>
      </c>
      <c r="DW114" s="130">
        <f>DO106/DP106</f>
        <v>0.35714285714285715</v>
      </c>
      <c r="DX114" s="23"/>
      <c r="EE114" s="98">
        <v>11</v>
      </c>
      <c r="EF114" s="32">
        <f t="shared" si="170"/>
        <v>39.011247195607922</v>
      </c>
      <c r="EG114" s="38">
        <f t="shared" si="170"/>
        <v>39.141939462945643</v>
      </c>
      <c r="EH114" s="38">
        <f t="shared" si="170"/>
        <v>38.918402484921856</v>
      </c>
      <c r="EI114" s="38">
        <f t="shared" si="170"/>
        <v>40.025669759427664</v>
      </c>
      <c r="EJ114" s="39">
        <f t="shared" si="170"/>
        <v>47.821403917497264</v>
      </c>
    </row>
    <row r="115" spans="2:140" ht="15" thickBot="1" x14ac:dyDescent="0.25">
      <c r="B115" s="64" t="s">
        <v>8</v>
      </c>
      <c r="C115" s="32" t="s">
        <v>22</v>
      </c>
      <c r="D115" s="38" t="s">
        <v>9</v>
      </c>
      <c r="E115" s="38" t="s">
        <v>23</v>
      </c>
      <c r="F115" s="38" t="s">
        <v>7</v>
      </c>
      <c r="G115" s="39" t="s">
        <v>13</v>
      </c>
      <c r="H115" s="65"/>
      <c r="I115" s="10"/>
      <c r="J115" s="66" t="s">
        <v>8</v>
      </c>
      <c r="K115" s="40">
        <f>C107/H107</f>
        <v>0.30985915492957744</v>
      </c>
      <c r="L115" s="36">
        <f>D107/H107</f>
        <v>0.25352112676056338</v>
      </c>
      <c r="M115" s="36">
        <f>E107/H107</f>
        <v>8.4507042253521125E-2</v>
      </c>
      <c r="N115" s="36">
        <f>F107/H107</f>
        <v>0.16901408450704225</v>
      </c>
      <c r="O115" s="37">
        <f>G107/H107</f>
        <v>0.18309859154929578</v>
      </c>
      <c r="P115" s="23"/>
      <c r="W115" s="108">
        <v>12</v>
      </c>
      <c r="X115" s="43">
        <f t="shared" si="166"/>
        <v>46.186411859422769</v>
      </c>
      <c r="Y115" s="70">
        <f t="shared" si="166"/>
        <v>45.770375662474621</v>
      </c>
      <c r="Z115" s="70">
        <f t="shared" si="166"/>
        <v>45.348336598230958</v>
      </c>
      <c r="AA115" s="70">
        <f t="shared" si="166"/>
        <v>46.775777937994121</v>
      </c>
      <c r="AB115" s="71">
        <f t="shared" si="166"/>
        <v>40.484804001386223</v>
      </c>
      <c r="AD115" s="64" t="s">
        <v>8</v>
      </c>
      <c r="AE115" s="32" t="s">
        <v>22</v>
      </c>
      <c r="AF115" s="38" t="s">
        <v>9</v>
      </c>
      <c r="AG115" s="38" t="s">
        <v>23</v>
      </c>
      <c r="AH115" s="38" t="s">
        <v>7</v>
      </c>
      <c r="AI115" s="39" t="s">
        <v>13</v>
      </c>
      <c r="AJ115" s="65"/>
      <c r="AK115" s="10"/>
      <c r="AL115" s="66" t="s">
        <v>8</v>
      </c>
      <c r="AM115" s="40">
        <f>AE107/AJ107</f>
        <v>1.5151515151515152E-2</v>
      </c>
      <c r="AN115" s="36">
        <f>AF107/AJ107</f>
        <v>0.33333333333333331</v>
      </c>
      <c r="AO115" s="36">
        <f>AG107/AJ107</f>
        <v>0.15151515151515152</v>
      </c>
      <c r="AP115" s="36">
        <f>AH107/AJ107</f>
        <v>0.24242424242424243</v>
      </c>
      <c r="AQ115" s="37">
        <f>AI107/AJ107</f>
        <v>0.25757575757575757</v>
      </c>
      <c r="AR115" s="23"/>
      <c r="AY115" s="108">
        <v>12</v>
      </c>
      <c r="AZ115" s="43">
        <f t="shared" si="167"/>
        <v>39.739831500935139</v>
      </c>
      <c r="BA115" s="70">
        <f t="shared" si="167"/>
        <v>40.503141756927093</v>
      </c>
      <c r="BB115" s="70">
        <f t="shared" si="167"/>
        <v>39.902210192802528</v>
      </c>
      <c r="BC115" s="70">
        <f t="shared" si="167"/>
        <v>31.81466667075383</v>
      </c>
      <c r="BD115" s="71">
        <f t="shared" si="167"/>
        <v>37.899464467788832</v>
      </c>
      <c r="BF115" s="64" t="s">
        <v>8</v>
      </c>
      <c r="BG115" s="32" t="s">
        <v>22</v>
      </c>
      <c r="BH115" s="38" t="s">
        <v>9</v>
      </c>
      <c r="BI115" s="38" t="s">
        <v>23</v>
      </c>
      <c r="BJ115" s="38" t="s">
        <v>7</v>
      </c>
      <c r="BK115" s="39" t="s">
        <v>13</v>
      </c>
      <c r="BL115" s="65"/>
      <c r="BM115" s="10"/>
      <c r="BN115" s="66" t="s">
        <v>8</v>
      </c>
      <c r="BO115" s="40">
        <f>BG107/BL107</f>
        <v>3.9473684210526314E-2</v>
      </c>
      <c r="BP115" s="36">
        <f>BH107/BL107</f>
        <v>0.31578947368421051</v>
      </c>
      <c r="BQ115" s="36">
        <f>BI107/BL107</f>
        <v>0.15789473684210525</v>
      </c>
      <c r="BR115" s="36">
        <f>BJ107/BL107</f>
        <v>0.23684210526315788</v>
      </c>
      <c r="BS115" s="37">
        <f>BK107/BL107</f>
        <v>0.25</v>
      </c>
      <c r="BT115" s="23"/>
      <c r="CA115" s="108">
        <v>12</v>
      </c>
      <c r="CB115" s="43">
        <f t="shared" si="168"/>
        <v>41.775298020685064</v>
      </c>
      <c r="CC115" s="70">
        <f t="shared" si="168"/>
        <v>35.007979931073613</v>
      </c>
      <c r="CD115" s="70">
        <f t="shared" si="168"/>
        <v>50.759083258347005</v>
      </c>
      <c r="CE115" s="70">
        <f t="shared" si="168"/>
        <v>36.021153848889249</v>
      </c>
      <c r="CF115" s="71">
        <f t="shared" si="168"/>
        <v>44.542489552988634</v>
      </c>
      <c r="CH115" s="64" t="s">
        <v>8</v>
      </c>
      <c r="CI115" s="32" t="s">
        <v>22</v>
      </c>
      <c r="CJ115" s="38" t="s">
        <v>9</v>
      </c>
      <c r="CK115" s="38" t="s">
        <v>23</v>
      </c>
      <c r="CL115" s="38" t="s">
        <v>7</v>
      </c>
      <c r="CM115" s="39" t="s">
        <v>13</v>
      </c>
      <c r="CN115" s="65"/>
      <c r="CO115" s="10"/>
      <c r="CP115" s="66" t="s">
        <v>8</v>
      </c>
      <c r="CQ115" s="40">
        <f>CI107/CN107</f>
        <v>0.30263157894736842</v>
      </c>
      <c r="CR115" s="36">
        <f>CJ107/CN107</f>
        <v>0.25</v>
      </c>
      <c r="CS115" s="36">
        <f>CK107/CN107</f>
        <v>9.2105263157894732E-2</v>
      </c>
      <c r="CT115" s="36">
        <f>CL107/CN107</f>
        <v>0.17105263157894737</v>
      </c>
      <c r="CU115" s="37">
        <f>CM107/CN107</f>
        <v>0.18421052631578946</v>
      </c>
      <c r="CV115" s="23"/>
      <c r="DC115" s="108">
        <v>12</v>
      </c>
      <c r="DD115" s="43">
        <f t="shared" si="169"/>
        <v>34.192950124468375</v>
      </c>
      <c r="DE115" s="70">
        <f t="shared" si="169"/>
        <v>42.483453138883178</v>
      </c>
      <c r="DF115" s="70">
        <f t="shared" si="169"/>
        <v>38.037779210724324</v>
      </c>
      <c r="DG115" s="70">
        <f t="shared" si="169"/>
        <v>43.584217249488923</v>
      </c>
      <c r="DH115" s="71">
        <f t="shared" si="169"/>
        <v>35.819955128263103</v>
      </c>
      <c r="DJ115" s="64" t="s">
        <v>8</v>
      </c>
      <c r="DK115" s="32" t="s">
        <v>22</v>
      </c>
      <c r="DL115" s="38" t="s">
        <v>9</v>
      </c>
      <c r="DM115" s="38" t="s">
        <v>23</v>
      </c>
      <c r="DN115" s="38" t="s">
        <v>7</v>
      </c>
      <c r="DO115" s="39" t="s">
        <v>13</v>
      </c>
      <c r="DP115" s="65"/>
      <c r="DQ115" s="10"/>
      <c r="DR115" s="66" t="s">
        <v>8</v>
      </c>
      <c r="DS115" s="40">
        <f>DK107/DP107</f>
        <v>0.26829268292682928</v>
      </c>
      <c r="DT115" s="36">
        <f>DL107/DP107</f>
        <v>0.17073170731707318</v>
      </c>
      <c r="DU115" s="36">
        <f>DM107/DP107</f>
        <v>0.48780487804878048</v>
      </c>
      <c r="DV115" s="36">
        <f>DN107/DP107</f>
        <v>2.4390243902439025E-2</v>
      </c>
      <c r="DW115" s="37">
        <f>DO107/DP107</f>
        <v>4.878048780487805E-2</v>
      </c>
      <c r="DX115" s="23"/>
      <c r="EE115" s="108">
        <v>12</v>
      </c>
      <c r="EF115" s="43">
        <f t="shared" si="170"/>
        <v>44.41600910036982</v>
      </c>
      <c r="EG115" s="70">
        <f t="shared" si="170"/>
        <v>43.844953647342805</v>
      </c>
      <c r="EH115" s="70">
        <f t="shared" si="170"/>
        <v>43.339818255531171</v>
      </c>
      <c r="EI115" s="70">
        <f t="shared" si="170"/>
        <v>45.123257478725911</v>
      </c>
      <c r="EJ115" s="71">
        <f t="shared" si="170"/>
        <v>54.638070584163941</v>
      </c>
    </row>
    <row r="116" spans="2:140" ht="15" thickBot="1" x14ac:dyDescent="0.25">
      <c r="B116" s="64" t="s">
        <v>3</v>
      </c>
      <c r="C116" s="43" t="s">
        <v>24</v>
      </c>
      <c r="D116" s="70" t="s">
        <v>25</v>
      </c>
      <c r="E116" s="70" t="s">
        <v>26</v>
      </c>
      <c r="F116" s="70" t="s">
        <v>27</v>
      </c>
      <c r="G116" s="71" t="s">
        <v>28</v>
      </c>
      <c r="H116" s="65"/>
      <c r="I116" s="10"/>
      <c r="J116" s="72" t="s">
        <v>3</v>
      </c>
      <c r="K116" s="50">
        <f>C108/H108</f>
        <v>0.12820512820512819</v>
      </c>
      <c r="L116" s="48">
        <f>D108/H108</f>
        <v>0.17948717948717949</v>
      </c>
      <c r="M116" s="48">
        <f>E108/H108</f>
        <v>0.20512820512820512</v>
      </c>
      <c r="N116" s="48">
        <f>F108/H108</f>
        <v>0.23076923076923078</v>
      </c>
      <c r="O116" s="49">
        <f>G108/H108</f>
        <v>0.25641025641025639</v>
      </c>
      <c r="P116" s="23"/>
      <c r="AD116" s="64" t="s">
        <v>3</v>
      </c>
      <c r="AE116" s="43" t="s">
        <v>24</v>
      </c>
      <c r="AF116" s="70" t="s">
        <v>25</v>
      </c>
      <c r="AG116" s="70" t="s">
        <v>26</v>
      </c>
      <c r="AH116" s="70" t="s">
        <v>27</v>
      </c>
      <c r="AI116" s="71" t="s">
        <v>28</v>
      </c>
      <c r="AJ116" s="65"/>
      <c r="AK116" s="10"/>
      <c r="AL116" s="72" t="s">
        <v>3</v>
      </c>
      <c r="AM116" s="50">
        <f>AE108/AJ108</f>
        <v>0.15254237288135594</v>
      </c>
      <c r="AN116" s="48">
        <f>AF108/AJ108</f>
        <v>0.1864406779661017</v>
      </c>
      <c r="AO116" s="48">
        <f>AG108/AJ108</f>
        <v>0.20338983050847459</v>
      </c>
      <c r="AP116" s="48">
        <f>AH108/AJ108</f>
        <v>0.22033898305084745</v>
      </c>
      <c r="AQ116" s="49">
        <f>AI108/AJ108</f>
        <v>0.23728813559322035</v>
      </c>
      <c r="AR116" s="23"/>
      <c r="BF116" s="64" t="s">
        <v>3</v>
      </c>
      <c r="BG116" s="43" t="s">
        <v>24</v>
      </c>
      <c r="BH116" s="70" t="s">
        <v>25</v>
      </c>
      <c r="BI116" s="70" t="s">
        <v>26</v>
      </c>
      <c r="BJ116" s="70" t="s">
        <v>27</v>
      </c>
      <c r="BK116" s="71" t="s">
        <v>28</v>
      </c>
      <c r="BL116" s="65"/>
      <c r="BM116" s="10"/>
      <c r="BN116" s="72" t="s">
        <v>3</v>
      </c>
      <c r="BO116" s="50">
        <f>BG108/BL108</f>
        <v>0.15942028985507245</v>
      </c>
      <c r="BP116" s="48">
        <f>BH108/BL108</f>
        <v>0.18840579710144928</v>
      </c>
      <c r="BQ116" s="48">
        <f>BI108/BL108</f>
        <v>0.20289855072463769</v>
      </c>
      <c r="BR116" s="48">
        <f>BJ108/BL108</f>
        <v>0.21739130434782608</v>
      </c>
      <c r="BS116" s="49">
        <f>BK108/BL108</f>
        <v>0.2318840579710145</v>
      </c>
      <c r="BT116" s="23"/>
      <c r="CH116" s="64" t="s">
        <v>3</v>
      </c>
      <c r="CI116" s="43" t="s">
        <v>24</v>
      </c>
      <c r="CJ116" s="70" t="s">
        <v>25</v>
      </c>
      <c r="CK116" s="70" t="s">
        <v>26</v>
      </c>
      <c r="CL116" s="70" t="s">
        <v>27</v>
      </c>
      <c r="CM116" s="71" t="s">
        <v>28</v>
      </c>
      <c r="CN116" s="65"/>
      <c r="CO116" s="10"/>
      <c r="CP116" s="72" t="s">
        <v>3</v>
      </c>
      <c r="CQ116" s="50">
        <f>CI108/CN108</f>
        <v>0.13636363636363635</v>
      </c>
      <c r="CR116" s="48">
        <f>CJ108/CN108</f>
        <v>0.18181818181818182</v>
      </c>
      <c r="CS116" s="48">
        <f>CK108/CN108</f>
        <v>0.20454545454545456</v>
      </c>
      <c r="CT116" s="48">
        <f>CL108/CN108</f>
        <v>0.22727272727272727</v>
      </c>
      <c r="CU116" s="49">
        <f>CM108/CN108</f>
        <v>0.25</v>
      </c>
      <c r="CV116" s="23"/>
      <c r="DJ116" s="64" t="s">
        <v>3</v>
      </c>
      <c r="DK116" s="43" t="s">
        <v>24</v>
      </c>
      <c r="DL116" s="70" t="s">
        <v>25</v>
      </c>
      <c r="DM116" s="70" t="s">
        <v>26</v>
      </c>
      <c r="DN116" s="70" t="s">
        <v>27</v>
      </c>
      <c r="DO116" s="71" t="s">
        <v>28</v>
      </c>
      <c r="DP116" s="65"/>
      <c r="DQ116" s="10"/>
      <c r="DR116" s="72" t="s">
        <v>3</v>
      </c>
      <c r="DS116" s="50">
        <f>DK108/DP108</f>
        <v>0.1743119266055046</v>
      </c>
      <c r="DT116" s="48">
        <f>DL108/DP108</f>
        <v>0.19266055045871561</v>
      </c>
      <c r="DU116" s="48">
        <f>DM108/DP108</f>
        <v>0.20183486238532111</v>
      </c>
      <c r="DV116" s="48">
        <f>DN108/DP108</f>
        <v>0.21100917431192662</v>
      </c>
      <c r="DW116" s="49">
        <f>DO108/DP108</f>
        <v>0.22018348623853212</v>
      </c>
      <c r="DX116" s="23"/>
    </row>
    <row r="117" spans="2:140" ht="15" thickBot="1" x14ac:dyDescent="0.25">
      <c r="B117" s="73"/>
      <c r="C117" s="74"/>
      <c r="D117" s="74"/>
      <c r="E117" s="74"/>
      <c r="F117" s="74"/>
      <c r="G117" s="74"/>
      <c r="H117" s="75"/>
      <c r="I117" s="10"/>
      <c r="AD117" s="73"/>
      <c r="AE117" s="74"/>
      <c r="AF117" s="74"/>
      <c r="AG117" s="74"/>
      <c r="AH117" s="74"/>
      <c r="AI117" s="74"/>
      <c r="AJ117" s="75"/>
      <c r="AK117" s="10"/>
      <c r="BF117" s="73"/>
      <c r="BG117" s="74"/>
      <c r="BH117" s="74"/>
      <c r="BI117" s="74"/>
      <c r="BJ117" s="74"/>
      <c r="BK117" s="74"/>
      <c r="BL117" s="75"/>
      <c r="BM117" s="10"/>
      <c r="CH117" s="73"/>
      <c r="CI117" s="74"/>
      <c r="CJ117" s="74"/>
      <c r="CK117" s="74"/>
      <c r="CL117" s="74"/>
      <c r="CM117" s="74"/>
      <c r="CN117" s="75"/>
      <c r="CO117" s="10"/>
      <c r="DJ117" s="73"/>
      <c r="DK117" s="74"/>
      <c r="DL117" s="74"/>
      <c r="DM117" s="74"/>
      <c r="DN117" s="74"/>
      <c r="DO117" s="74"/>
      <c r="DP117" s="75"/>
      <c r="DQ117" s="10"/>
    </row>
    <row r="118" spans="2:140" ht="15" thickBot="1" x14ac:dyDescent="0.25">
      <c r="B118" s="10"/>
      <c r="C118" s="10"/>
      <c r="D118" s="10"/>
      <c r="E118" s="10"/>
      <c r="F118" s="10"/>
      <c r="G118" s="10"/>
      <c r="H118" s="10"/>
      <c r="I118" s="10"/>
      <c r="K118" s="10"/>
      <c r="L118" s="10"/>
      <c r="M118" s="10"/>
      <c r="N118" s="10"/>
      <c r="O118" s="10" t="s">
        <v>580</v>
      </c>
      <c r="P118" s="10"/>
      <c r="Q118" s="76" t="s">
        <v>30</v>
      </c>
      <c r="R118" s="76" t="s">
        <v>31</v>
      </c>
      <c r="S118" s="76" t="s">
        <v>32</v>
      </c>
      <c r="T118" s="76" t="s">
        <v>33</v>
      </c>
      <c r="U118" s="76" t="s">
        <v>34</v>
      </c>
      <c r="W118" s="170" t="s">
        <v>59</v>
      </c>
      <c r="X118" s="171"/>
      <c r="Y118" s="171"/>
      <c r="Z118" s="171"/>
      <c r="AA118" s="171"/>
      <c r="AB118" s="171"/>
      <c r="AD118" s="10"/>
      <c r="AE118" s="10"/>
      <c r="AF118" s="10"/>
      <c r="AG118" s="10"/>
      <c r="AH118" s="10"/>
      <c r="AI118" s="10"/>
      <c r="AJ118" s="10"/>
      <c r="AK118" s="10"/>
      <c r="AM118" s="10"/>
      <c r="AN118" s="10"/>
      <c r="AO118" s="10"/>
      <c r="AP118" s="10"/>
      <c r="AQ118" s="10" t="s">
        <v>580</v>
      </c>
      <c r="AR118" s="10"/>
      <c r="AS118" s="76" t="s">
        <v>30</v>
      </c>
      <c r="AT118" s="76" t="s">
        <v>31</v>
      </c>
      <c r="AU118" s="76" t="s">
        <v>32</v>
      </c>
      <c r="AV118" s="76" t="s">
        <v>33</v>
      </c>
      <c r="AW118" s="76" t="s">
        <v>34</v>
      </c>
      <c r="AY118" s="170" t="s">
        <v>71</v>
      </c>
      <c r="AZ118" s="171"/>
      <c r="BA118" s="171"/>
      <c r="BB118" s="171"/>
      <c r="BC118" s="171"/>
      <c r="BD118" s="171"/>
      <c r="BF118" s="10"/>
      <c r="BG118" s="10"/>
      <c r="BH118" s="10"/>
      <c r="BI118" s="10"/>
      <c r="BJ118" s="10"/>
      <c r="BK118" s="10"/>
      <c r="BL118" s="10"/>
      <c r="BM118" s="10"/>
      <c r="BO118" s="10"/>
      <c r="BP118" s="10"/>
      <c r="BQ118" s="10"/>
      <c r="BR118" s="10"/>
      <c r="BS118" s="10" t="s">
        <v>580</v>
      </c>
      <c r="BT118" s="10"/>
      <c r="BU118" s="76" t="s">
        <v>30</v>
      </c>
      <c r="BV118" s="76" t="s">
        <v>31</v>
      </c>
      <c r="BW118" s="76" t="s">
        <v>32</v>
      </c>
      <c r="BX118" s="76" t="s">
        <v>33</v>
      </c>
      <c r="BY118" s="76" t="s">
        <v>34</v>
      </c>
      <c r="CA118" s="170" t="s">
        <v>89</v>
      </c>
      <c r="CB118" s="171"/>
      <c r="CC118" s="171"/>
      <c r="CD118" s="171"/>
      <c r="CE118" s="171"/>
      <c r="CF118" s="171"/>
      <c r="CH118" s="10"/>
      <c r="CI118" s="10"/>
      <c r="CJ118" s="10"/>
      <c r="CK118" s="10"/>
      <c r="CL118" s="10"/>
      <c r="CM118" s="10"/>
      <c r="CN118" s="10"/>
      <c r="CO118" s="10"/>
      <c r="CQ118" s="10"/>
      <c r="CR118" s="10"/>
      <c r="CS118" s="10"/>
      <c r="CT118" s="10"/>
      <c r="CU118" s="10" t="s">
        <v>580</v>
      </c>
      <c r="CV118" s="10"/>
      <c r="CW118" s="76" t="s">
        <v>30</v>
      </c>
      <c r="CX118" s="76" t="s">
        <v>31</v>
      </c>
      <c r="CY118" s="76" t="s">
        <v>32</v>
      </c>
      <c r="CZ118" s="76" t="s">
        <v>33</v>
      </c>
      <c r="DA118" s="76" t="s">
        <v>34</v>
      </c>
      <c r="DC118" s="170" t="s">
        <v>104</v>
      </c>
      <c r="DD118" s="171"/>
      <c r="DE118" s="171"/>
      <c r="DF118" s="171"/>
      <c r="DG118" s="171"/>
      <c r="DH118" s="171"/>
      <c r="DJ118" s="10"/>
      <c r="DK118" s="10"/>
      <c r="DL118" s="10"/>
      <c r="DM118" s="10"/>
      <c r="DN118" s="10"/>
      <c r="DO118" s="10"/>
      <c r="DP118" s="10"/>
      <c r="DQ118" s="10"/>
      <c r="DS118" s="10"/>
      <c r="DT118" s="10"/>
      <c r="DU118" s="10"/>
      <c r="DV118" s="10"/>
      <c r="DW118" s="10" t="s">
        <v>580</v>
      </c>
      <c r="DX118" s="10"/>
      <c r="DY118" s="76" t="s">
        <v>30</v>
      </c>
      <c r="DZ118" s="76" t="s">
        <v>31</v>
      </c>
      <c r="EA118" s="76" t="s">
        <v>32</v>
      </c>
      <c r="EB118" s="76" t="s">
        <v>33</v>
      </c>
      <c r="EC118" s="76" t="s">
        <v>34</v>
      </c>
      <c r="EE118" s="170" t="s">
        <v>119</v>
      </c>
      <c r="EF118" s="171"/>
      <c r="EG118" s="171"/>
      <c r="EH118" s="171"/>
      <c r="EI118" s="171"/>
      <c r="EJ118" s="171"/>
    </row>
    <row r="119" spans="2:140" ht="15" thickBot="1" x14ac:dyDescent="0.25">
      <c r="B119" s="10"/>
      <c r="C119" s="10"/>
      <c r="D119" s="10"/>
      <c r="E119" s="10"/>
      <c r="F119" s="10"/>
      <c r="G119" s="10"/>
      <c r="H119" s="10"/>
      <c r="I119" s="10"/>
      <c r="J119" s="838" t="s">
        <v>35</v>
      </c>
      <c r="K119" s="839"/>
      <c r="L119" s="77" t="s">
        <v>36</v>
      </c>
      <c r="M119" s="78" t="s">
        <v>11</v>
      </c>
      <c r="N119" s="79" t="s">
        <v>37</v>
      </c>
      <c r="O119" s="80" t="s">
        <v>38</v>
      </c>
      <c r="P119" s="10"/>
      <c r="Q119" s="81">
        <f>K104</f>
        <v>0.15730337078651685</v>
      </c>
      <c r="R119" s="82">
        <f>K105</f>
        <v>0.25842696629213485</v>
      </c>
      <c r="S119" s="82">
        <f>K106</f>
        <v>0.2808988764044944</v>
      </c>
      <c r="T119" s="82">
        <f>K107</f>
        <v>0.24719101123595505</v>
      </c>
      <c r="U119" s="83">
        <f>K108</f>
        <v>5.6179775280898875E-2</v>
      </c>
      <c r="V119" s="84">
        <f>SUM(Q119:U119)</f>
        <v>1</v>
      </c>
      <c r="W119" s="193" t="s">
        <v>37</v>
      </c>
      <c r="X119" s="173" t="s">
        <v>30</v>
      </c>
      <c r="Y119" s="174" t="s">
        <v>31</v>
      </c>
      <c r="Z119" s="174" t="s">
        <v>32</v>
      </c>
      <c r="AA119" s="174" t="s">
        <v>33</v>
      </c>
      <c r="AB119" s="175" t="s">
        <v>34</v>
      </c>
      <c r="AD119" s="10"/>
      <c r="AE119" s="10"/>
      <c r="AF119" s="10"/>
      <c r="AG119" s="10"/>
      <c r="AH119" s="10"/>
      <c r="AI119" s="10"/>
      <c r="AJ119" s="10"/>
      <c r="AK119" s="10"/>
      <c r="AL119" s="838" t="s">
        <v>35</v>
      </c>
      <c r="AM119" s="839"/>
      <c r="AN119" s="77" t="s">
        <v>36</v>
      </c>
      <c r="AO119" s="78" t="s">
        <v>11</v>
      </c>
      <c r="AP119" s="79" t="s">
        <v>37</v>
      </c>
      <c r="AQ119" s="80" t="s">
        <v>38</v>
      </c>
      <c r="AR119" s="10"/>
      <c r="AS119" s="81">
        <f>AM104</f>
        <v>0.52941176470588236</v>
      </c>
      <c r="AT119" s="82">
        <f>AM105</f>
        <v>5.8823529411764705E-2</v>
      </c>
      <c r="AU119" s="82">
        <f>AM106</f>
        <v>0.11764705882352941</v>
      </c>
      <c r="AV119" s="82">
        <f>AM107</f>
        <v>2.9411764705882353E-2</v>
      </c>
      <c r="AW119" s="83">
        <f>AM108</f>
        <v>0.26470588235294118</v>
      </c>
      <c r="AX119" s="84">
        <f>SUM(AS119:AW119)</f>
        <v>1</v>
      </c>
      <c r="AY119" s="198" t="s">
        <v>37</v>
      </c>
      <c r="AZ119" s="194" t="s">
        <v>30</v>
      </c>
      <c r="BA119" s="195" t="s">
        <v>31</v>
      </c>
      <c r="BB119" s="195" t="s">
        <v>32</v>
      </c>
      <c r="BC119" s="195" t="s">
        <v>33</v>
      </c>
      <c r="BD119" s="196" t="s">
        <v>34</v>
      </c>
      <c r="BF119" s="10"/>
      <c r="BG119" s="10"/>
      <c r="BH119" s="10"/>
      <c r="BI119" s="10"/>
      <c r="BJ119" s="10"/>
      <c r="BK119" s="10"/>
      <c r="BL119" s="10"/>
      <c r="BM119" s="10"/>
      <c r="BN119" s="838" t="s">
        <v>35</v>
      </c>
      <c r="BO119" s="839"/>
      <c r="BP119" s="77" t="s">
        <v>36</v>
      </c>
      <c r="BQ119" s="78" t="s">
        <v>11</v>
      </c>
      <c r="BR119" s="79" t="s">
        <v>37</v>
      </c>
      <c r="BS119" s="80" t="s">
        <v>38</v>
      </c>
      <c r="BT119" s="10"/>
      <c r="BU119" s="81">
        <f>BO104</f>
        <v>0.45454545454545453</v>
      </c>
      <c r="BV119" s="82">
        <f>BO105</f>
        <v>9.0909090909090912E-2</v>
      </c>
      <c r="BW119" s="82">
        <f>BO106</f>
        <v>0.13636363636363635</v>
      </c>
      <c r="BX119" s="82">
        <f>BO107</f>
        <v>6.8181818181818177E-2</v>
      </c>
      <c r="BY119" s="83">
        <f>BO108</f>
        <v>0.25</v>
      </c>
      <c r="BZ119" s="84">
        <f>SUM(BU119:BY119)</f>
        <v>1</v>
      </c>
      <c r="CA119" s="198" t="s">
        <v>37</v>
      </c>
      <c r="CB119" s="194" t="s">
        <v>30</v>
      </c>
      <c r="CC119" s="195" t="s">
        <v>31</v>
      </c>
      <c r="CD119" s="195" t="s">
        <v>32</v>
      </c>
      <c r="CE119" s="195" t="s">
        <v>33</v>
      </c>
      <c r="CF119" s="196" t="s">
        <v>34</v>
      </c>
      <c r="CH119" s="10"/>
      <c r="CI119" s="10"/>
      <c r="CJ119" s="10"/>
      <c r="CK119" s="10"/>
      <c r="CL119" s="10"/>
      <c r="CM119" s="10"/>
      <c r="CN119" s="10"/>
      <c r="CO119" s="10"/>
      <c r="CP119" s="838" t="s">
        <v>35</v>
      </c>
      <c r="CQ119" s="839"/>
      <c r="CR119" s="77" t="s">
        <v>36</v>
      </c>
      <c r="CS119" s="78" t="s">
        <v>11</v>
      </c>
      <c r="CT119" s="79" t="s">
        <v>37</v>
      </c>
      <c r="CU119" s="80" t="s">
        <v>38</v>
      </c>
      <c r="CV119" s="10"/>
      <c r="CW119" s="81">
        <f>CQ104</f>
        <v>0.21739130434782608</v>
      </c>
      <c r="CX119" s="82">
        <f>CQ105</f>
        <v>0.34782608695652173</v>
      </c>
      <c r="CY119" s="82">
        <f>CQ106</f>
        <v>1.4492753623188406E-2</v>
      </c>
      <c r="CZ119" s="82">
        <f>CQ107</f>
        <v>0.33333333333333331</v>
      </c>
      <c r="DA119" s="83">
        <f>CQ108</f>
        <v>8.6956521739130432E-2</v>
      </c>
      <c r="DB119" s="84">
        <f>SUM(CW119:DA119)</f>
        <v>0.99999999999999978</v>
      </c>
      <c r="DC119" s="198" t="s">
        <v>37</v>
      </c>
      <c r="DD119" s="194" t="s">
        <v>30</v>
      </c>
      <c r="DE119" s="195" t="s">
        <v>31</v>
      </c>
      <c r="DF119" s="195" t="s">
        <v>32</v>
      </c>
      <c r="DG119" s="195" t="s">
        <v>33</v>
      </c>
      <c r="DH119" s="196" t="s">
        <v>34</v>
      </c>
      <c r="DJ119" s="10"/>
      <c r="DK119" s="10"/>
      <c r="DL119" s="10"/>
      <c r="DM119" s="10"/>
      <c r="DN119" s="10"/>
      <c r="DO119" s="10"/>
      <c r="DP119" s="10"/>
      <c r="DQ119" s="10"/>
      <c r="DR119" s="838" t="s">
        <v>35</v>
      </c>
      <c r="DS119" s="839"/>
      <c r="DT119" s="77" t="s">
        <v>36</v>
      </c>
      <c r="DU119" s="153" t="s">
        <v>11</v>
      </c>
      <c r="DV119" s="79" t="s">
        <v>37</v>
      </c>
      <c r="DW119" s="80" t="s">
        <v>38</v>
      </c>
      <c r="DX119" s="10"/>
      <c r="DY119" s="81">
        <f>DS104</f>
        <v>5.0847457627118647E-2</v>
      </c>
      <c r="DZ119" s="82">
        <f>DS105</f>
        <v>0.20338983050847459</v>
      </c>
      <c r="EA119" s="82">
        <f>DS106</f>
        <v>0.23728813559322035</v>
      </c>
      <c r="EB119" s="82">
        <f>DS107</f>
        <v>0.1864406779661017</v>
      </c>
      <c r="EC119" s="83">
        <f>DS108</f>
        <v>0.32203389830508472</v>
      </c>
      <c r="ED119" s="84">
        <f>SUM(DY119:EC119)</f>
        <v>1</v>
      </c>
      <c r="EE119" s="198" t="s">
        <v>37</v>
      </c>
      <c r="EF119" s="194" t="s">
        <v>30</v>
      </c>
      <c r="EG119" s="195" t="s">
        <v>31</v>
      </c>
      <c r="EH119" s="195" t="s">
        <v>32</v>
      </c>
      <c r="EI119" s="195" t="s">
        <v>33</v>
      </c>
      <c r="EJ119" s="196" t="s">
        <v>34</v>
      </c>
    </row>
    <row r="120" spans="2:140" x14ac:dyDescent="0.2">
      <c r="B120" s="10"/>
      <c r="C120" s="10"/>
      <c r="D120" s="10"/>
      <c r="E120" s="86" t="s">
        <v>39</v>
      </c>
      <c r="F120" s="10"/>
      <c r="G120" s="10"/>
      <c r="H120" s="10"/>
      <c r="I120" s="10"/>
      <c r="J120" s="87" t="s">
        <v>14</v>
      </c>
      <c r="K120" s="26">
        <v>23</v>
      </c>
      <c r="L120" s="465">
        <f>L23</f>
        <v>1</v>
      </c>
      <c r="N120" s="88">
        <v>1</v>
      </c>
      <c r="O120" s="89">
        <v>7</v>
      </c>
      <c r="P120" s="90"/>
      <c r="Q120" s="91">
        <f>O120/(L120-Q119)</f>
        <v>8.3066666666666666</v>
      </c>
      <c r="R120" s="92">
        <f>O120/(L120-R119)</f>
        <v>9.4393939393939394</v>
      </c>
      <c r="S120" s="92">
        <f>O120/(L120-S119)</f>
        <v>9.734375</v>
      </c>
      <c r="T120" s="92">
        <f>O120/(L120-T119)</f>
        <v>9.2985074626865671</v>
      </c>
      <c r="U120" s="93">
        <f>O120/(L120-U119)</f>
        <v>7.416666666666667</v>
      </c>
      <c r="W120" s="14">
        <v>1</v>
      </c>
      <c r="X120" s="24">
        <f>(Q120/Q132*100+Q135)*$L120</f>
        <v>8.625</v>
      </c>
      <c r="Y120" s="205">
        <f>(R120/R132*100+R135)*$L120</f>
        <v>8.5574894514767941</v>
      </c>
      <c r="Z120" s="205">
        <f t="shared" ref="Z120" si="181">(S120/S132*100+S135)*$L120</f>
        <v>8.5262345679012341</v>
      </c>
      <c r="AA120" s="205">
        <f t="shared" ref="AA120" si="182">(T120/T132*100+T135)*$L120</f>
        <v>8.6074561403508767</v>
      </c>
      <c r="AB120" s="382">
        <f t="shared" ref="AB120" si="183">(U120/U132*100+U135)*$L120</f>
        <v>8.4152621722846437</v>
      </c>
      <c r="AD120" s="10"/>
      <c r="AE120" s="10"/>
      <c r="AF120" s="10"/>
      <c r="AG120" s="86" t="s">
        <v>39</v>
      </c>
      <c r="AH120" s="10"/>
      <c r="AI120" s="10"/>
      <c r="AJ120" s="10"/>
      <c r="AK120" s="10"/>
      <c r="AL120" s="87" t="s">
        <v>14</v>
      </c>
      <c r="AM120" s="26">
        <v>2</v>
      </c>
      <c r="AN120" s="465">
        <f>AN23</f>
        <v>1</v>
      </c>
      <c r="AP120" s="88">
        <v>1</v>
      </c>
      <c r="AQ120" s="89">
        <v>7</v>
      </c>
      <c r="AR120" s="90"/>
      <c r="AS120" s="91">
        <f>AQ120/(AN120-AS119)</f>
        <v>14.875</v>
      </c>
      <c r="AT120" s="92">
        <f>AQ120/(AN120-AT119)</f>
        <v>7.4375</v>
      </c>
      <c r="AU120" s="92">
        <f>AQ120/(AN120-AU119)</f>
        <v>7.9333333333333336</v>
      </c>
      <c r="AV120" s="92">
        <f>AQ120/(AN120-AV119)</f>
        <v>7.2121212121212119</v>
      </c>
      <c r="AW120" s="93">
        <f>AQ120/(AN120-AW119)</f>
        <v>9.52</v>
      </c>
      <c r="AY120" s="199">
        <v>1</v>
      </c>
      <c r="AZ120" s="24">
        <f>(AS120/AS132*100+AS135)*AN120</f>
        <v>11.53409090909091</v>
      </c>
      <c r="BA120" s="205">
        <f>(AT120/AT132*100+AT135)*AN120</f>
        <v>13.513888888888889</v>
      </c>
      <c r="BB120" s="205">
        <f>(AU120/AU132*100+AU135)*AN120</f>
        <v>13.249113475177303</v>
      </c>
      <c r="BC120" s="205">
        <f>(AV120/AV132*100+AV135)*AN120</f>
        <v>11.470771144278604</v>
      </c>
      <c r="BD120" s="382">
        <f>(AW120/AW132*100+AW135)*AN120</f>
        <v>12.382575757575758</v>
      </c>
      <c r="BF120" s="10"/>
      <c r="BG120" s="10"/>
      <c r="BH120" s="10"/>
      <c r="BI120" s="86" t="s">
        <v>39</v>
      </c>
      <c r="BJ120" s="10"/>
      <c r="BK120" s="10"/>
      <c r="BL120" s="10"/>
      <c r="BM120" s="10"/>
      <c r="BN120" s="87" t="s">
        <v>14</v>
      </c>
      <c r="BO120" s="39">
        <v>4</v>
      </c>
      <c r="BP120" s="465">
        <f>BP23</f>
        <v>1</v>
      </c>
      <c r="BR120" s="88">
        <v>1</v>
      </c>
      <c r="BS120" s="89">
        <v>7</v>
      </c>
      <c r="BT120" s="90"/>
      <c r="BU120" s="91">
        <f>BS120/(BP120-BU119)</f>
        <v>12.833333333333334</v>
      </c>
      <c r="BV120" s="92">
        <f>BS120/(BP120-BV119)</f>
        <v>7.7</v>
      </c>
      <c r="BW120" s="92">
        <f>BS120/(BP120-BW119)</f>
        <v>8.1052631578947363</v>
      </c>
      <c r="BX120" s="92">
        <f>BS120/(BP120-BX119)</f>
        <v>7.5121951219512191</v>
      </c>
      <c r="BY120" s="93">
        <f>BS120/(BP120-BY119)</f>
        <v>9.3333333333333339</v>
      </c>
      <c r="CA120" s="207">
        <v>1</v>
      </c>
      <c r="CB120" s="24">
        <f>(BU120/BU132*100+BU135)*BP120</f>
        <v>9.5365646258503407</v>
      </c>
      <c r="CC120" s="205">
        <f>(BV120/BV132*100+BV135)*BP120</f>
        <v>9.3671383647798727</v>
      </c>
      <c r="CD120" s="205">
        <f>(BW120/BW132*100+BW135)*BP120</f>
        <v>10.958333333333332</v>
      </c>
      <c r="CE120" s="205">
        <f>(BX120/BX132*100+BX135)*BP120</f>
        <v>9.4916666666666671</v>
      </c>
      <c r="CF120" s="382">
        <f>(BY120/BY132*100+BY135)*BP120</f>
        <v>10.18640350877193</v>
      </c>
      <c r="CH120" s="10"/>
      <c r="CI120" s="10"/>
      <c r="CJ120" s="10"/>
      <c r="CK120" s="86" t="s">
        <v>39</v>
      </c>
      <c r="CL120" s="10"/>
      <c r="CM120" s="10"/>
      <c r="CN120" s="10"/>
      <c r="CO120" s="10"/>
      <c r="CP120" s="87" t="s">
        <v>14</v>
      </c>
      <c r="CQ120" s="39">
        <v>24</v>
      </c>
      <c r="CR120" s="465">
        <f>CR23</f>
        <v>1</v>
      </c>
      <c r="CT120" s="88">
        <v>1</v>
      </c>
      <c r="CU120" s="89">
        <v>7</v>
      </c>
      <c r="CV120" s="90"/>
      <c r="CW120" s="91">
        <f>CU120/(CR120-CW119)</f>
        <v>8.9444444444444446</v>
      </c>
      <c r="CX120" s="92">
        <f>CU120/(CR120-CX119)</f>
        <v>10.733333333333333</v>
      </c>
      <c r="CY120" s="92">
        <f>CU120/(CR120-CY119)</f>
        <v>7.1029411764705879</v>
      </c>
      <c r="CZ120" s="92">
        <f>CU120/(CR120-CZ119)</f>
        <v>10.499999999999998</v>
      </c>
      <c r="DA120" s="93">
        <f>CU120/(CR120-DA119)</f>
        <v>7.6666666666666661</v>
      </c>
      <c r="DC120" s="207">
        <v>1</v>
      </c>
      <c r="DD120" s="24">
        <f>(CW120/CW132*100+CW135)*CR120</f>
        <v>15.392932489451475</v>
      </c>
      <c r="DE120" s="205">
        <f>(CX120/CX132*100+CX135)*CR120</f>
        <v>18.326149425287358</v>
      </c>
      <c r="DF120" s="205">
        <f>(CY120/CY132*100+CY135)*CR120</f>
        <v>17.958333333333332</v>
      </c>
      <c r="DG120" s="205">
        <f>(CZ120/CZ132*100+CZ135)*CR120</f>
        <v>18.928030303030305</v>
      </c>
      <c r="DH120" s="382">
        <f>(DA120/DA132*100+DA135)*CR120</f>
        <v>16.703431372549019</v>
      </c>
      <c r="DJ120" s="10"/>
      <c r="DK120" s="10"/>
      <c r="DL120" s="10"/>
      <c r="DM120" s="86" t="s">
        <v>39</v>
      </c>
      <c r="DN120" s="10"/>
      <c r="DO120" s="10"/>
      <c r="DP120" s="10"/>
      <c r="DQ120" s="10"/>
      <c r="DR120" s="87" t="s">
        <v>14</v>
      </c>
      <c r="DS120" s="39">
        <v>12</v>
      </c>
      <c r="DT120" s="465">
        <f>DT23</f>
        <v>1</v>
      </c>
      <c r="DV120" s="88">
        <v>1</v>
      </c>
      <c r="DW120" s="89">
        <v>7</v>
      </c>
      <c r="DX120" s="90"/>
      <c r="DY120" s="91">
        <f>DW120/(DT120-DY119)</f>
        <v>7.375</v>
      </c>
      <c r="DZ120" s="92">
        <f>DW120/(DT120-DZ119)</f>
        <v>8.787234042553191</v>
      </c>
      <c r="EA120" s="92">
        <f>DW120/(DT120-EA119)</f>
        <v>9.1777777777777789</v>
      </c>
      <c r="EB120" s="92">
        <f>DW120/(DT120-EB119)</f>
        <v>8.6041666666666661</v>
      </c>
      <c r="EC120" s="93">
        <f>DW120/(DT120-EC119)</f>
        <v>10.325000000000001</v>
      </c>
      <c r="EE120" s="207">
        <v>1</v>
      </c>
      <c r="EF120" s="24">
        <f>(DY120/DY132*100+DY135)*DT120</f>
        <v>13.541666666666666</v>
      </c>
      <c r="EG120" s="205">
        <f>(DZ120/DZ132*100+DZ135)*DT120</f>
        <v>13.125</v>
      </c>
      <c r="EH120" s="205">
        <f>(EA120/EA132*100+EA135)*DT120</f>
        <v>12.936827956989248</v>
      </c>
      <c r="EI120" s="205">
        <f>(EB120/EB132*100+EB135)*DT120</f>
        <v>13.432017543859651</v>
      </c>
      <c r="EJ120" s="382">
        <f>(EC120/EC132*100+EC135)*DT120</f>
        <v>15.069444444444446</v>
      </c>
    </row>
    <row r="121" spans="2:140" x14ac:dyDescent="0.2">
      <c r="B121" s="10"/>
      <c r="C121" s="10"/>
      <c r="D121" s="10"/>
      <c r="E121" s="86" t="s">
        <v>39</v>
      </c>
      <c r="F121" s="10"/>
      <c r="G121" s="10"/>
      <c r="H121" s="10"/>
      <c r="I121" s="10"/>
      <c r="J121" s="96" t="s">
        <v>20</v>
      </c>
      <c r="K121" s="97">
        <v>24</v>
      </c>
      <c r="L121" s="465">
        <f>L120</f>
        <v>1</v>
      </c>
      <c r="N121" s="88">
        <v>2</v>
      </c>
      <c r="O121" s="95">
        <v>8</v>
      </c>
      <c r="P121" s="90"/>
      <c r="Q121" s="99">
        <f>O121/(L121-Q119)</f>
        <v>9.4933333333333323</v>
      </c>
      <c r="R121" s="100">
        <f>O121/(L121-R119)</f>
        <v>10.787878787878787</v>
      </c>
      <c r="S121" s="100">
        <f>O121/(L121-S119)</f>
        <v>11.125</v>
      </c>
      <c r="T121" s="100">
        <f>O121/(L121-T119)</f>
        <v>10.62686567164179</v>
      </c>
      <c r="U121" s="100">
        <f>O121/(L121-U119)</f>
        <v>8.4761904761904763</v>
      </c>
      <c r="W121" s="14">
        <v>2</v>
      </c>
      <c r="X121" s="32">
        <f>(Q121/Q132*100+Q136)*$L121</f>
        <v>13.666666666666664</v>
      </c>
      <c r="Y121" s="202">
        <f>(R121/R132*100+R136)*$L121</f>
        <v>13.396624472573841</v>
      </c>
      <c r="Z121" s="202">
        <f t="shared" ref="Z121" si="184">(S121/S132*100+S136)*$L121</f>
        <v>13.271604938271604</v>
      </c>
      <c r="AA121" s="202">
        <f t="shared" ref="AA121" si="185">(T121/T132*100+T136)*$L121</f>
        <v>13.596491228070175</v>
      </c>
      <c r="AB121" s="383">
        <f t="shared" ref="AB121" si="186">(U121/U132*100+U136)*$L121</f>
        <v>12.827715355805243</v>
      </c>
      <c r="AD121" s="10"/>
      <c r="AE121" s="10"/>
      <c r="AF121" s="10"/>
      <c r="AG121" s="86" t="s">
        <v>39</v>
      </c>
      <c r="AH121" s="10"/>
      <c r="AI121" s="10"/>
      <c r="AJ121" s="10"/>
      <c r="AK121" s="10"/>
      <c r="AL121" s="96" t="s">
        <v>20</v>
      </c>
      <c r="AM121" s="97">
        <v>3</v>
      </c>
      <c r="AN121" s="465">
        <f>AN120</f>
        <v>1</v>
      </c>
      <c r="AP121" s="88">
        <v>2</v>
      </c>
      <c r="AQ121" s="95">
        <v>8</v>
      </c>
      <c r="AR121" s="90"/>
      <c r="AS121" s="99">
        <f>AQ121/(AN121-AS119)</f>
        <v>17</v>
      </c>
      <c r="AT121" s="100">
        <f>AQ121/(AN121-AT119)</f>
        <v>8.5</v>
      </c>
      <c r="AU121" s="100">
        <f>AQ121/(AN121-AU119)</f>
        <v>9.0666666666666664</v>
      </c>
      <c r="AV121" s="100">
        <f>AQ121/(AN121-AV119)</f>
        <v>8.2424242424242422</v>
      </c>
      <c r="AW121" s="100">
        <f>AQ121/(AN121-AW119)</f>
        <v>10.879999999999999</v>
      </c>
      <c r="AY121" s="200">
        <v>2</v>
      </c>
      <c r="AZ121" s="32">
        <f>(AS121/AS132*100+AS136)*AN121</f>
        <v>10.454545454545453</v>
      </c>
      <c r="BA121" s="202">
        <f>(AT121/AT132*100+AT136)*AN121</f>
        <v>11.444444444444443</v>
      </c>
      <c r="BB121" s="202">
        <f>(AU121/AU132*100+AU136)*AN121</f>
        <v>11.312056737588652</v>
      </c>
      <c r="BC121" s="202">
        <f>(AV121/AV132*100+AV136)*AN121</f>
        <v>10.422885572139302</v>
      </c>
      <c r="BD121" s="383">
        <f>(AW121/AW132*100+AW136)*AN121</f>
        <v>10.878787878787879</v>
      </c>
      <c r="BF121" s="10"/>
      <c r="BG121" s="10"/>
      <c r="BH121" s="10"/>
      <c r="BI121" s="86" t="s">
        <v>39</v>
      </c>
      <c r="BJ121" s="10"/>
      <c r="BK121" s="10"/>
      <c r="BL121" s="10"/>
      <c r="BM121" s="10"/>
      <c r="BN121" s="96" t="s">
        <v>20</v>
      </c>
      <c r="BO121" s="97">
        <v>5</v>
      </c>
      <c r="BP121" s="465">
        <f>BP120</f>
        <v>1</v>
      </c>
      <c r="BR121" s="88">
        <v>2</v>
      </c>
      <c r="BS121" s="95">
        <v>8</v>
      </c>
      <c r="BT121" s="90"/>
      <c r="BU121" s="99">
        <f>BS121/(BP121-BU119)</f>
        <v>14.666666666666668</v>
      </c>
      <c r="BV121" s="100">
        <f>BS121/(BP121-BV119)</f>
        <v>8.8000000000000007</v>
      </c>
      <c r="BW121" s="100">
        <f>BS121/(BP121-BW119)</f>
        <v>9.2631578947368425</v>
      </c>
      <c r="BX121" s="100">
        <f>BS121/(BP121-BX119)</f>
        <v>8.5853658536585353</v>
      </c>
      <c r="BY121" s="100">
        <f>BS121/(BP121-BY119)</f>
        <v>10.666666666666666</v>
      </c>
      <c r="CA121" s="208">
        <v>2</v>
      </c>
      <c r="CB121" s="32">
        <f>(BU121/BU132*100+BU136)*BP121</f>
        <v>17.312925170068027</v>
      </c>
      <c r="CC121" s="202">
        <f>(BV121/BV132*100+BV136)*BP121</f>
        <v>16.635220125786162</v>
      </c>
      <c r="CD121" s="202">
        <f>(BW121/BW132*100+BW136)*BP121</f>
        <v>23</v>
      </c>
      <c r="CE121" s="202">
        <f>(BX121/BX132*100+BX136)*BP121</f>
        <v>17.133333333333333</v>
      </c>
      <c r="CF121" s="383">
        <f>(BY121/BY132*100+BY136)*BP121</f>
        <v>19.912280701754383</v>
      </c>
      <c r="CH121" s="10"/>
      <c r="CI121" s="10"/>
      <c r="CJ121" s="10"/>
      <c r="CK121" s="86" t="s">
        <v>39</v>
      </c>
      <c r="CL121" s="10"/>
      <c r="CM121" s="10"/>
      <c r="CN121" s="10"/>
      <c r="CO121" s="10"/>
      <c r="CP121" s="105" t="s">
        <v>20</v>
      </c>
      <c r="CQ121" s="118">
        <v>25</v>
      </c>
      <c r="CR121" s="465">
        <f>CR120</f>
        <v>1</v>
      </c>
      <c r="CT121" s="88">
        <v>2</v>
      </c>
      <c r="CU121" s="95">
        <v>8</v>
      </c>
      <c r="CV121" s="90"/>
      <c r="CW121" s="99">
        <f>CU121/(CR121-CW119)</f>
        <v>10.222222222222221</v>
      </c>
      <c r="CX121" s="100">
        <f>CU121/(CR121-CX119)</f>
        <v>12.266666666666666</v>
      </c>
      <c r="CY121" s="100">
        <f>CU121/(CR121-CY119)</f>
        <v>8.117647058823529</v>
      </c>
      <c r="CZ121" s="100">
        <f>CU121/(CR121-CZ119)</f>
        <v>11.999999999999998</v>
      </c>
      <c r="DA121" s="100">
        <f>CU121/(CR121-DA119)</f>
        <v>8.761904761904761</v>
      </c>
      <c r="DC121" s="208">
        <v>2</v>
      </c>
      <c r="DD121" s="32">
        <f>(CW121/CW132*100+CW136)*CR121</f>
        <v>13.396624472573837</v>
      </c>
      <c r="DE121" s="202">
        <f>(CX121/CX132*100+CX136)*CR121</f>
        <v>15.229885057471265</v>
      </c>
      <c r="DF121" s="202">
        <f>(CY121/CY132*100+CY136)*CR121</f>
        <v>15</v>
      </c>
      <c r="DG121" s="202">
        <f>(CZ121/CZ132*100+CZ136)*CR121</f>
        <v>15.606060606060606</v>
      </c>
      <c r="DH121" s="383">
        <f>(DA121/DA132*100+DA136)*CR121</f>
        <v>14.215686274509803</v>
      </c>
      <c r="DJ121" s="10"/>
      <c r="DK121" s="10"/>
      <c r="DL121" s="10"/>
      <c r="DM121" s="86" t="s">
        <v>39</v>
      </c>
      <c r="DN121" s="10"/>
      <c r="DO121" s="10"/>
      <c r="DP121" s="10"/>
      <c r="DQ121" s="10"/>
      <c r="DR121" s="96" t="s">
        <v>20</v>
      </c>
      <c r="DS121" s="97">
        <v>13</v>
      </c>
      <c r="DT121" s="465">
        <f>DT120</f>
        <v>1</v>
      </c>
      <c r="DV121" s="88">
        <v>2</v>
      </c>
      <c r="DW121" s="95">
        <v>8</v>
      </c>
      <c r="DX121" s="90"/>
      <c r="DY121" s="99">
        <f>DW121/(DT121-DY119)</f>
        <v>8.4285714285714288</v>
      </c>
      <c r="DZ121" s="100">
        <f>DW121/(DT121-DZ119)</f>
        <v>10.042553191489361</v>
      </c>
      <c r="EA121" s="100">
        <f>DW121/(DT121-EA119)</f>
        <v>10.488888888888889</v>
      </c>
      <c r="EB121" s="100">
        <f>DW121/(DT121-EB119)</f>
        <v>9.8333333333333321</v>
      </c>
      <c r="EC121" s="100">
        <f>DW121/(DT121-EC119)</f>
        <v>11.8</v>
      </c>
      <c r="EE121" s="208">
        <v>2</v>
      </c>
      <c r="EF121" s="32">
        <f>(DY121/DY132*100+DY136)*DT121</f>
        <v>17.083333333333332</v>
      </c>
      <c r="EG121" s="202">
        <f>(DZ121/DZ132*100+DZ136)*DT121</f>
        <v>16.5</v>
      </c>
      <c r="EH121" s="202">
        <f>(EA121/EA132*100+EA136)*DT121</f>
        <v>16.236559139784944</v>
      </c>
      <c r="EI121" s="202">
        <f>(EB121/EB132*100+EB136)*DT121</f>
        <v>16.929824561403507</v>
      </c>
      <c r="EJ121" s="383">
        <f>(EC121/EC132*100+EC136)*DT121</f>
        <v>19.222222222222221</v>
      </c>
    </row>
    <row r="122" spans="2:140" x14ac:dyDescent="0.2">
      <c r="B122" s="10"/>
      <c r="C122" s="102"/>
      <c r="D122" s="10"/>
      <c r="E122" s="86" t="s">
        <v>39</v>
      </c>
      <c r="F122" s="10"/>
      <c r="G122" s="10"/>
      <c r="H122" s="10"/>
      <c r="I122" s="10"/>
      <c r="J122" s="105" t="s">
        <v>8</v>
      </c>
      <c r="K122" s="117">
        <v>25</v>
      </c>
      <c r="L122" s="465">
        <f t="shared" ref="L122:L131" si="187">L121</f>
        <v>1</v>
      </c>
      <c r="N122" s="88">
        <v>3</v>
      </c>
      <c r="O122" s="95">
        <v>9</v>
      </c>
      <c r="P122" s="90"/>
      <c r="Q122" s="99">
        <f>O122/(L122-Q119)</f>
        <v>10.68</v>
      </c>
      <c r="R122" s="100">
        <f>O122/(L122-R119)</f>
        <v>12.136363636363635</v>
      </c>
      <c r="S122" s="100">
        <f>O122/(L122-S119)</f>
        <v>12.515625</v>
      </c>
      <c r="T122" s="100">
        <f>O122/(L122-T119)</f>
        <v>11.955223880597014</v>
      </c>
      <c r="U122" s="100">
        <f>O122/(L122-U119)</f>
        <v>9.5357142857142865</v>
      </c>
      <c r="W122" s="14">
        <v>3</v>
      </c>
      <c r="X122" s="32">
        <f>(Q122/Q132*100+Q137)*$L122</f>
        <v>12.041666666666664</v>
      </c>
      <c r="Y122" s="202">
        <f>(R122/R132*100+R137)*$L122</f>
        <v>11.906645569620252</v>
      </c>
      <c r="Z122" s="202">
        <f t="shared" ref="Z122" si="188">(S122/S132*100+S137)*$L122</f>
        <v>11.844135802469136</v>
      </c>
      <c r="AA122" s="202">
        <f t="shared" ref="AA122" si="189">(T122/T132*100+T137)*$L122</f>
        <v>12.006578947368418</v>
      </c>
      <c r="AB122" s="383">
        <f t="shared" ref="AB122" si="190">(U122/U132*100+U137)*$L122</f>
        <v>11.622191011235953</v>
      </c>
      <c r="AD122" s="10"/>
      <c r="AE122" s="102"/>
      <c r="AF122" s="10"/>
      <c r="AG122" s="86" t="s">
        <v>39</v>
      </c>
      <c r="AH122" s="10"/>
      <c r="AI122" s="10"/>
      <c r="AJ122" s="10"/>
      <c r="AK122" s="10"/>
      <c r="AL122" s="96" t="s">
        <v>8</v>
      </c>
      <c r="AM122" s="39">
        <v>4</v>
      </c>
      <c r="AN122" s="465">
        <f t="shared" ref="AN122:AN131" si="191">AN121</f>
        <v>1</v>
      </c>
      <c r="AP122" s="88">
        <v>3</v>
      </c>
      <c r="AQ122" s="95">
        <v>9</v>
      </c>
      <c r="AR122" s="90"/>
      <c r="AS122" s="99">
        <f>AQ122/(AN122-AS119)</f>
        <v>19.125</v>
      </c>
      <c r="AT122" s="100">
        <f>AQ122/(AN122-AT119)</f>
        <v>9.5625</v>
      </c>
      <c r="AU122" s="100">
        <f>AQ122/(AN122-AU119)</f>
        <v>10.200000000000001</v>
      </c>
      <c r="AV122" s="100">
        <f>AQ122/(AN122-AV119)</f>
        <v>9.2727272727272734</v>
      </c>
      <c r="AW122" s="100">
        <f>AQ122/(AN122-AW119)</f>
        <v>12.239999999999998</v>
      </c>
      <c r="AY122" s="200">
        <v>3</v>
      </c>
      <c r="AZ122" s="32">
        <f>(AS122/AS132*100+AS137)*AN122</f>
        <v>17.859848484848484</v>
      </c>
      <c r="BA122" s="202">
        <f>(AT122/AT132*100+AT137)*AN122</f>
        <v>21.819444444444446</v>
      </c>
      <c r="BB122" s="202">
        <f>(AU122/AU132*100+AU137)*AN122</f>
        <v>21.289893617021278</v>
      </c>
      <c r="BC122" s="202">
        <f>(AV122/AV132*100+AV137)*AN122</f>
        <v>17.73320895522388</v>
      </c>
      <c r="BD122" s="383">
        <f>(AW122/AW132*100+AW137)*AN122</f>
        <v>19.55681818181818</v>
      </c>
      <c r="BF122" s="10"/>
      <c r="BG122" s="102"/>
      <c r="BH122" s="10"/>
      <c r="BI122" s="86" t="s">
        <v>39</v>
      </c>
      <c r="BJ122" s="10"/>
      <c r="BK122" s="10"/>
      <c r="BL122" s="10"/>
      <c r="BM122" s="10"/>
      <c r="BN122" s="96" t="s">
        <v>8</v>
      </c>
      <c r="BO122" s="39">
        <v>6</v>
      </c>
      <c r="BP122" s="465">
        <f t="shared" ref="BP122:BP131" si="192">BP121</f>
        <v>1</v>
      </c>
      <c r="BR122" s="88">
        <v>3</v>
      </c>
      <c r="BS122" s="95">
        <v>9</v>
      </c>
      <c r="BT122" s="90"/>
      <c r="BU122" s="99">
        <f>BS122/(BP122-BU119)</f>
        <v>16.5</v>
      </c>
      <c r="BV122" s="100">
        <f>BS122/(BP122-BV119)</f>
        <v>9.9</v>
      </c>
      <c r="BW122" s="100">
        <f>BS122/(BP122-BW119)</f>
        <v>10.421052631578947</v>
      </c>
      <c r="BX122" s="100">
        <f>BS122/(BP122-BX119)</f>
        <v>9.6585365853658534</v>
      </c>
      <c r="BY122" s="100">
        <f>BS122/(BP122-BY119)</f>
        <v>12</v>
      </c>
      <c r="CA122" s="208">
        <v>3</v>
      </c>
      <c r="CB122" s="32">
        <f>(BU122/BU132*100+BU137)*BP122</f>
        <v>14.987244897959183</v>
      </c>
      <c r="CC122" s="202">
        <f>(BV122/BV132*100+BV137)*BP122</f>
        <v>14.563679245283019</v>
      </c>
      <c r="CD122" s="202">
        <f>(BW122/BW132*100+BW137)*BP122</f>
        <v>18.541666666666664</v>
      </c>
      <c r="CE122" s="202">
        <f>(BX122/BX132*100+BX137)*BP122</f>
        <v>14.875000000000002</v>
      </c>
      <c r="CF122" s="383">
        <f>(BY122/BY132*100+BY137)*BP122</f>
        <v>16.611842105263158</v>
      </c>
      <c r="CH122" s="10"/>
      <c r="CI122" s="102"/>
      <c r="CJ122" s="10"/>
      <c r="CK122" s="86" t="s">
        <v>39</v>
      </c>
      <c r="CL122" s="10"/>
      <c r="CM122" s="10"/>
      <c r="CN122" s="10"/>
      <c r="CO122" s="10"/>
      <c r="CP122" s="96" t="s">
        <v>8</v>
      </c>
      <c r="CQ122" s="39">
        <v>1</v>
      </c>
      <c r="CR122" s="465">
        <f t="shared" ref="CR122:CR131" si="193">CR121</f>
        <v>1</v>
      </c>
      <c r="CT122" s="88">
        <v>3</v>
      </c>
      <c r="CU122" s="95">
        <v>9</v>
      </c>
      <c r="CV122" s="90"/>
      <c r="CW122" s="99">
        <f>CU122/(CR122-CW119)</f>
        <v>11.5</v>
      </c>
      <c r="CX122" s="100">
        <f>CU122/(CR122-CX119)</f>
        <v>13.799999999999999</v>
      </c>
      <c r="CY122" s="100">
        <f>CU122/(CR122-CY119)</f>
        <v>9.132352941176471</v>
      </c>
      <c r="CZ122" s="100">
        <f>CU122/(CR122-CZ119)</f>
        <v>13.499999999999998</v>
      </c>
      <c r="DA122" s="100">
        <f>CU122/(CR122-DA119)</f>
        <v>9.8571428571428559</v>
      </c>
      <c r="DC122" s="208">
        <v>3</v>
      </c>
      <c r="DD122" s="32">
        <f>(CW122/CW132*100+CW137)*CR122</f>
        <v>16.463607594936708</v>
      </c>
      <c r="DE122" s="202">
        <f>(CX122/CX132*100+CX137)*CR122</f>
        <v>19.030172413793103</v>
      </c>
      <c r="DF122" s="202">
        <f>(CY122/CY132*100+CY137)*CR122</f>
        <v>18.708333333333336</v>
      </c>
      <c r="DG122" s="202">
        <f>(CZ122/CZ132*100+CZ137)*CR122</f>
        <v>19.55681818181818</v>
      </c>
      <c r="DH122" s="383">
        <f>(DA122/DA132*100+DA137)*CR122</f>
        <v>17.610294117647058</v>
      </c>
      <c r="DJ122" s="10"/>
      <c r="DK122" s="102"/>
      <c r="DL122" s="10"/>
      <c r="DM122" s="86" t="s">
        <v>39</v>
      </c>
      <c r="DN122" s="10"/>
      <c r="DO122" s="10"/>
      <c r="DP122" s="10"/>
      <c r="DQ122" s="10"/>
      <c r="DR122" s="96" t="s">
        <v>8</v>
      </c>
      <c r="DS122" s="39">
        <v>14</v>
      </c>
      <c r="DT122" s="465">
        <f t="shared" ref="DT122:DT131" si="194">DT121</f>
        <v>1</v>
      </c>
      <c r="DV122" s="88">
        <v>3</v>
      </c>
      <c r="DW122" s="95">
        <v>9</v>
      </c>
      <c r="DX122" s="90"/>
      <c r="DY122" s="99">
        <f>DW122/(DT122-DY119)</f>
        <v>9.4821428571428577</v>
      </c>
      <c r="DZ122" s="100">
        <f>DW122/(DT122-DZ119)</f>
        <v>11.297872340425531</v>
      </c>
      <c r="EA122" s="100">
        <f>DW122/(DT122-EA119)</f>
        <v>11.8</v>
      </c>
      <c r="EB122" s="100">
        <f>DW122/(DT122-EB119)</f>
        <v>11.0625</v>
      </c>
      <c r="EC122" s="100">
        <f>DW122/(DT122-EC119)</f>
        <v>13.275</v>
      </c>
      <c r="EE122" s="208">
        <v>3</v>
      </c>
      <c r="EF122" s="32">
        <f>(DY122/DY132*100+DY137)*DT122</f>
        <v>10.625</v>
      </c>
      <c r="EG122" s="202">
        <f>(DZ122/DZ132*100+DZ137)*DT122</f>
        <v>10.541666666666666</v>
      </c>
      <c r="EH122" s="202">
        <f>(EA122/EA132*100+EA137)*DT122</f>
        <v>10.504032258064516</v>
      </c>
      <c r="EI122" s="202">
        <f>(EB122/EB132*100+EB137)*DT122</f>
        <v>10.603070175438598</v>
      </c>
      <c r="EJ122" s="383">
        <f>(EC122/EC132*100+EC137)*DT122</f>
        <v>10.930555555555555</v>
      </c>
    </row>
    <row r="123" spans="2:140" x14ac:dyDescent="0.2">
      <c r="B123" s="10"/>
      <c r="C123" s="102"/>
      <c r="D123" s="10"/>
      <c r="E123" s="86" t="s">
        <v>39</v>
      </c>
      <c r="F123" s="10"/>
      <c r="G123" s="10"/>
      <c r="H123" s="10"/>
      <c r="I123" s="10"/>
      <c r="J123" s="96" t="s">
        <v>16</v>
      </c>
      <c r="K123" s="97">
        <v>1</v>
      </c>
      <c r="L123" s="465">
        <f t="shared" si="187"/>
        <v>1</v>
      </c>
      <c r="N123" s="88">
        <v>4</v>
      </c>
      <c r="O123" s="95">
        <v>9</v>
      </c>
      <c r="P123" s="90"/>
      <c r="Q123" s="99">
        <f>O123/(L123-Q119)</f>
        <v>10.68</v>
      </c>
      <c r="R123" s="100">
        <f>O123/(L123-R119)</f>
        <v>12.136363636363635</v>
      </c>
      <c r="S123" s="100">
        <f>O123/(L123-S119)</f>
        <v>12.515625</v>
      </c>
      <c r="T123" s="104">
        <f>O123/(L123-T119)</f>
        <v>11.955223880597014</v>
      </c>
      <c r="U123" s="100">
        <f>O123/(L123-U119)</f>
        <v>9.5357142857142865</v>
      </c>
      <c r="W123" s="14">
        <v>4</v>
      </c>
      <c r="X123" s="32">
        <f>(Q123/Q132*100+Q138)*$L123</f>
        <v>20.041666666666664</v>
      </c>
      <c r="Y123" s="202">
        <f>(R123/R132*100+R138)*$L123</f>
        <v>19.50158227848101</v>
      </c>
      <c r="Z123" s="202">
        <f t="shared" ref="Z123" si="195">(S123/S132*100+S138)*$L123</f>
        <v>19.251543209876544</v>
      </c>
      <c r="AA123" s="202">
        <f t="shared" ref="AA123" si="196">(T123/T132*100+T138)*$L123</f>
        <v>19.901315789473681</v>
      </c>
      <c r="AB123" s="383">
        <f t="shared" ref="AB123" si="197">(U123/U132*100+U138)*$L123</f>
        <v>18.363764044943821</v>
      </c>
      <c r="AD123" s="10"/>
      <c r="AE123" s="102"/>
      <c r="AF123" s="10"/>
      <c r="AG123" s="86" t="s">
        <v>39</v>
      </c>
      <c r="AH123" s="10"/>
      <c r="AI123" s="10"/>
      <c r="AJ123" s="10"/>
      <c r="AK123" s="10"/>
      <c r="AL123" s="96" t="s">
        <v>16</v>
      </c>
      <c r="AM123" s="97">
        <v>5</v>
      </c>
      <c r="AN123" s="465">
        <f t="shared" si="191"/>
        <v>1</v>
      </c>
      <c r="AP123" s="88">
        <v>4</v>
      </c>
      <c r="AQ123" s="95">
        <v>9</v>
      </c>
      <c r="AR123" s="90"/>
      <c r="AS123" s="99">
        <f>AQ123/(AN123-AS119)</f>
        <v>19.125</v>
      </c>
      <c r="AT123" s="100">
        <f>AQ123/(AN123-AT119)</f>
        <v>9.5625</v>
      </c>
      <c r="AU123" s="100">
        <f>AQ123/(AN123-AU119)</f>
        <v>10.200000000000001</v>
      </c>
      <c r="AV123" s="104">
        <f>AQ123/(AN123-AV119)</f>
        <v>9.2727272727272734</v>
      </c>
      <c r="AW123" s="100">
        <f>AQ123/(AN123-AW119)</f>
        <v>12.239999999999998</v>
      </c>
      <c r="AY123" s="200">
        <v>4</v>
      </c>
      <c r="AZ123" s="32">
        <f>(AS123/AS132*100+AS138)*AN123</f>
        <v>14.678030303030303</v>
      </c>
      <c r="BA123" s="202">
        <f>(AT123/AT132*100+AT138)*AN123</f>
        <v>17.152777777777779</v>
      </c>
      <c r="BB123" s="202">
        <f>(AU123/AU132*100+AU138)*AN123</f>
        <v>16.821808510638299</v>
      </c>
      <c r="BC123" s="202">
        <f>(AV123/AV132*100+AV138)*AN123</f>
        <v>14.598880597014922</v>
      </c>
      <c r="BD123" s="383">
        <f>(AW123/AW132*100+AW138)*AN123</f>
        <v>15.738636363636363</v>
      </c>
      <c r="BF123" s="10"/>
      <c r="BG123" s="102"/>
      <c r="BH123" s="10"/>
      <c r="BI123" s="86" t="s">
        <v>39</v>
      </c>
      <c r="BJ123" s="10"/>
      <c r="BK123" s="10"/>
      <c r="BL123" s="10"/>
      <c r="BM123" s="10"/>
      <c r="BN123" s="96" t="s">
        <v>16</v>
      </c>
      <c r="BO123" s="97">
        <v>7</v>
      </c>
      <c r="BP123" s="465">
        <f t="shared" si="192"/>
        <v>1</v>
      </c>
      <c r="BR123" s="88">
        <v>4</v>
      </c>
      <c r="BS123" s="95">
        <v>9</v>
      </c>
      <c r="BT123" s="90"/>
      <c r="BU123" s="99">
        <f>BS123/(BP123-BU119)</f>
        <v>16.5</v>
      </c>
      <c r="BV123" s="100">
        <f>BS123/(BP123-BV119)</f>
        <v>9.9</v>
      </c>
      <c r="BW123" s="100">
        <f>BS123/(BP123-BW119)</f>
        <v>10.421052631578947</v>
      </c>
      <c r="BX123" s="104">
        <f>BS123/(BP123-BX119)</f>
        <v>9.6585365853658534</v>
      </c>
      <c r="BY123" s="100">
        <f>BS123/(BP123-BY119)</f>
        <v>12</v>
      </c>
      <c r="CA123" s="208">
        <v>4</v>
      </c>
      <c r="CB123" s="32">
        <f>(BU123/BU132*100+BU138)*BP123</f>
        <v>17.232142857142858</v>
      </c>
      <c r="CC123" s="202">
        <f>(BV123/BV132*100+BV138)*BP123</f>
        <v>16.639150943396228</v>
      </c>
      <c r="CD123" s="202">
        <f>(BW123/BW132*100+BW138)*BP123</f>
        <v>22.208333333333332</v>
      </c>
      <c r="CE123" s="202">
        <f>(BX123/BX132*100+BX138)*BP123</f>
        <v>17.075000000000003</v>
      </c>
      <c r="CF123" s="383">
        <f>(BY123/BY132*100+BY138)*BP123</f>
        <v>19.506578947368421</v>
      </c>
      <c r="CH123" s="10"/>
      <c r="CI123" s="102"/>
      <c r="CJ123" s="10"/>
      <c r="CK123" s="86" t="s">
        <v>39</v>
      </c>
      <c r="CL123" s="10"/>
      <c r="CM123" s="10"/>
      <c r="CN123" s="10"/>
      <c r="CO123" s="10"/>
      <c r="CP123" s="96" t="s">
        <v>16</v>
      </c>
      <c r="CQ123" s="97">
        <v>2</v>
      </c>
      <c r="CR123" s="465">
        <f t="shared" si="193"/>
        <v>1</v>
      </c>
      <c r="CT123" s="88">
        <v>4</v>
      </c>
      <c r="CU123" s="95">
        <v>9</v>
      </c>
      <c r="CV123" s="90"/>
      <c r="CW123" s="99">
        <f>CU123/(CR123-CW119)</f>
        <v>11.5</v>
      </c>
      <c r="CX123" s="100">
        <f>CU123/(CR123-CX119)</f>
        <v>13.799999999999999</v>
      </c>
      <c r="CY123" s="100">
        <f>CU123/(CR123-CY119)</f>
        <v>9.132352941176471</v>
      </c>
      <c r="CZ123" s="104">
        <f>CU123/(CR123-CZ119)</f>
        <v>13.499999999999998</v>
      </c>
      <c r="DA123" s="100">
        <f>CU123/(CR123-DA119)</f>
        <v>9.8571428571428559</v>
      </c>
      <c r="DC123" s="208">
        <v>4</v>
      </c>
      <c r="DD123" s="32">
        <f>(CW123/CW132*100+CW138)*CR123</f>
        <v>10.387658227848101</v>
      </c>
      <c r="DE123" s="202">
        <f>(CX123/CX132*100+CX138)*CR123</f>
        <v>10.754310344827587</v>
      </c>
      <c r="DF123" s="202">
        <f>(CY123/CY132*100+CY138)*CR123</f>
        <v>10.708333333333334</v>
      </c>
      <c r="DG123" s="202">
        <f>(CZ123/CZ132*100+CZ138)*CR123</f>
        <v>10.829545454545455</v>
      </c>
      <c r="DH123" s="383">
        <f>(DA123/DA132*100+DA138)*CR123</f>
        <v>10.551470588235292</v>
      </c>
      <c r="DJ123" s="10"/>
      <c r="DK123" s="102"/>
      <c r="DL123" s="10"/>
      <c r="DM123" s="86" t="s">
        <v>39</v>
      </c>
      <c r="DN123" s="10"/>
      <c r="DO123" s="10"/>
      <c r="DP123" s="10"/>
      <c r="DQ123" s="10"/>
      <c r="DR123" s="96" t="s">
        <v>16</v>
      </c>
      <c r="DS123" s="97">
        <v>15</v>
      </c>
      <c r="DT123" s="465">
        <f t="shared" si="194"/>
        <v>1</v>
      </c>
      <c r="DV123" s="88">
        <v>4</v>
      </c>
      <c r="DW123" s="95">
        <v>9</v>
      </c>
      <c r="DX123" s="90"/>
      <c r="DY123" s="99">
        <f>DW123/(DT123-DY119)</f>
        <v>9.4821428571428577</v>
      </c>
      <c r="DZ123" s="100">
        <f>DW123/(DT123-DZ119)</f>
        <v>11.297872340425531</v>
      </c>
      <c r="EA123" s="100">
        <f>DW123/(DT123-EA119)</f>
        <v>11.8</v>
      </c>
      <c r="EB123" s="104">
        <f>DW123/(DT123-EB119)</f>
        <v>11.0625</v>
      </c>
      <c r="EC123" s="100">
        <f>DW123/(DT123-EC119)</f>
        <v>13.275</v>
      </c>
      <c r="EE123" s="208">
        <v>4</v>
      </c>
      <c r="EF123" s="32">
        <f>(DY123/DY132*100+DY138)*DT123</f>
        <v>14.375</v>
      </c>
      <c r="EG123" s="202">
        <f>(DZ123/DZ132*100+DZ138)*DT123</f>
        <v>14.041666666666666</v>
      </c>
      <c r="EH123" s="202">
        <f>(EA123/EA132*100+EA138)*DT123</f>
        <v>13.891129032258064</v>
      </c>
      <c r="EI123" s="202">
        <f>(EB123/EB132*100+EB138)*DT123</f>
        <v>14.287280701754387</v>
      </c>
      <c r="EJ123" s="383">
        <f>(EC123/EC132*100+EC138)*DT123</f>
        <v>15.597222222222223</v>
      </c>
    </row>
    <row r="124" spans="2:140" x14ac:dyDescent="0.2">
      <c r="B124" s="10"/>
      <c r="C124" s="102"/>
      <c r="D124" s="10"/>
      <c r="E124" s="86" t="s">
        <v>39</v>
      </c>
      <c r="F124" s="10"/>
      <c r="G124" s="10"/>
      <c r="H124" s="10"/>
      <c r="I124" s="10"/>
      <c r="J124" s="96" t="s">
        <v>3</v>
      </c>
      <c r="K124" s="39">
        <v>2</v>
      </c>
      <c r="L124" s="465">
        <f t="shared" si="187"/>
        <v>1</v>
      </c>
      <c r="N124" s="88">
        <v>5</v>
      </c>
      <c r="O124" s="95">
        <v>8</v>
      </c>
      <c r="P124" s="90"/>
      <c r="Q124" s="99">
        <f>O124/(L124-Q119)</f>
        <v>9.4933333333333323</v>
      </c>
      <c r="R124" s="100">
        <f>O124/(L124-R119)</f>
        <v>10.787878787878787</v>
      </c>
      <c r="S124" s="100">
        <f>O124/(L124-S119)</f>
        <v>11.125</v>
      </c>
      <c r="T124" s="100">
        <f>O124/(L124-T119)</f>
        <v>10.62686567164179</v>
      </c>
      <c r="U124" s="100">
        <f>O124/(L124-U119)</f>
        <v>8.4761904761904763</v>
      </c>
      <c r="W124" s="14">
        <v>5</v>
      </c>
      <c r="X124" s="32">
        <f>(Q124/Q132*100+Q139)*$L124</f>
        <v>15</v>
      </c>
      <c r="Y124" s="202">
        <f>(R124/R132*100+R139)*$L124</f>
        <v>14.662447257383967</v>
      </c>
      <c r="Z124" s="202">
        <f t="shared" ref="Z124" si="198">(S124/S132*100+S139)*$L124</f>
        <v>14.506172839506171</v>
      </c>
      <c r="AA124" s="202">
        <f t="shared" ref="AA124" si="199">(T124/T132*100+T139)*$L124</f>
        <v>14.912280701754383</v>
      </c>
      <c r="AB124" s="383">
        <f t="shared" ref="AB124" si="200">(U124/U132*100+U139)*$L124</f>
        <v>13.95131086142322</v>
      </c>
      <c r="AD124" s="10"/>
      <c r="AE124" s="102"/>
      <c r="AF124" s="10"/>
      <c r="AG124" s="86" t="s">
        <v>39</v>
      </c>
      <c r="AH124" s="10"/>
      <c r="AI124" s="10"/>
      <c r="AJ124" s="10"/>
      <c r="AK124" s="10"/>
      <c r="AL124" s="96" t="s">
        <v>3</v>
      </c>
      <c r="AM124" s="39">
        <v>6</v>
      </c>
      <c r="AN124" s="465">
        <f t="shared" si="191"/>
        <v>1</v>
      </c>
      <c r="AP124" s="88">
        <v>5</v>
      </c>
      <c r="AQ124" s="95">
        <v>8</v>
      </c>
      <c r="AR124" s="90"/>
      <c r="AS124" s="99">
        <f>AQ124/(AN124-AS119)</f>
        <v>17</v>
      </c>
      <c r="AT124" s="100">
        <f>AQ124/(AN124-AT119)</f>
        <v>8.5</v>
      </c>
      <c r="AU124" s="100">
        <f>AQ124/(AN124-AU119)</f>
        <v>9.0666666666666664</v>
      </c>
      <c r="AV124" s="100">
        <f>AQ124/(AN124-AV119)</f>
        <v>8.2424242424242422</v>
      </c>
      <c r="AW124" s="100">
        <f>AQ124/(AN124-AW119)</f>
        <v>10.879999999999999</v>
      </c>
      <c r="AY124" s="200">
        <v>5</v>
      </c>
      <c r="AZ124" s="32">
        <f>(AS124/AS132*100+AS139)*AN124</f>
        <v>15.757575757575758</v>
      </c>
      <c r="BA124" s="202">
        <f>(AT124/AT132*100+AT139)*AN124</f>
        <v>19.222222222222221</v>
      </c>
      <c r="BB124" s="202">
        <f>(AU124/AU132*100+AU139)*AN124</f>
        <v>18.758865248226947</v>
      </c>
      <c r="BC124" s="202">
        <f>(AV124/AV132*100+AV139)*AN124</f>
        <v>15.646766169154226</v>
      </c>
      <c r="BD124" s="383">
        <f>(AW124/AW132*100+AW139)*AN124</f>
        <v>17.242424242424242</v>
      </c>
      <c r="BF124" s="10"/>
      <c r="BG124" s="102"/>
      <c r="BH124" s="10"/>
      <c r="BI124" s="86" t="s">
        <v>39</v>
      </c>
      <c r="BJ124" s="10"/>
      <c r="BK124" s="10"/>
      <c r="BL124" s="10"/>
      <c r="BM124" s="10"/>
      <c r="BN124" s="96" t="s">
        <v>3</v>
      </c>
      <c r="BO124" s="39">
        <v>8</v>
      </c>
      <c r="BP124" s="465">
        <f t="shared" si="192"/>
        <v>1</v>
      </c>
      <c r="BR124" s="88">
        <v>5</v>
      </c>
      <c r="BS124" s="95">
        <v>8</v>
      </c>
      <c r="BT124" s="90"/>
      <c r="BU124" s="99">
        <f>BS124/(BP124-BU119)</f>
        <v>14.666666666666668</v>
      </c>
      <c r="BV124" s="100">
        <f>BS124/(BP124-BV119)</f>
        <v>8.8000000000000007</v>
      </c>
      <c r="BW124" s="100">
        <f>BS124/(BP124-BW119)</f>
        <v>9.2631578947368425</v>
      </c>
      <c r="BX124" s="100">
        <f>BS124/(BP124-BX119)</f>
        <v>8.5853658536585353</v>
      </c>
      <c r="BY124" s="100">
        <f>BS124/(BP124-BY119)</f>
        <v>10.666666666666666</v>
      </c>
      <c r="CA124" s="208">
        <v>5</v>
      </c>
      <c r="CB124" s="32">
        <f>(BU124/BU132*100+BU139)*BP124</f>
        <v>9.4557823129251712</v>
      </c>
      <c r="CC124" s="202">
        <f>(BV124/BV132*100+BV139)*BP124</f>
        <v>9.3710691823899364</v>
      </c>
      <c r="CD124" s="202">
        <f>(BW124/BW132*100+BW139)*BP124</f>
        <v>10.166666666666666</v>
      </c>
      <c r="CE124" s="202">
        <f>(BX124/BX132*100+BX139)*BP124</f>
        <v>9.4333333333333336</v>
      </c>
      <c r="CF124" s="383">
        <f>(BY124/BY132*100+BY139)*BP124</f>
        <v>9.780701754385964</v>
      </c>
      <c r="CH124" s="10"/>
      <c r="CI124" s="102"/>
      <c r="CJ124" s="10"/>
      <c r="CK124" s="86" t="s">
        <v>39</v>
      </c>
      <c r="CL124" s="10"/>
      <c r="CM124" s="10"/>
      <c r="CN124" s="10"/>
      <c r="CO124" s="10"/>
      <c r="CP124" s="96" t="s">
        <v>3</v>
      </c>
      <c r="CQ124" s="39">
        <v>3</v>
      </c>
      <c r="CR124" s="465">
        <f t="shared" si="193"/>
        <v>1</v>
      </c>
      <c r="CT124" s="88">
        <v>5</v>
      </c>
      <c r="CU124" s="95">
        <v>8</v>
      </c>
      <c r="CV124" s="90"/>
      <c r="CW124" s="99">
        <f>CU124/(CR124-CW119)</f>
        <v>10.222222222222221</v>
      </c>
      <c r="CX124" s="100">
        <f>CU124/(CR124-CX119)</f>
        <v>12.266666666666666</v>
      </c>
      <c r="CY124" s="100">
        <f>CU124/(CR124-CY119)</f>
        <v>8.117647058823529</v>
      </c>
      <c r="CZ124" s="100">
        <f>CU124/(CR124-CZ119)</f>
        <v>11.999999999999998</v>
      </c>
      <c r="DA124" s="100">
        <f>CU124/(CR124-DA119)</f>
        <v>8.761904761904761</v>
      </c>
      <c r="DC124" s="208">
        <v>5</v>
      </c>
      <c r="DD124" s="32">
        <f>(CW124/CW132*100+CW139)*CR124</f>
        <v>12.383966244725737</v>
      </c>
      <c r="DE124" s="202">
        <f>(CX124/CX132*100+CX139)*CR124</f>
        <v>13.850574712643679</v>
      </c>
      <c r="DF124" s="202">
        <f>(CY124/CY132*100+CY139)*CR124</f>
        <v>13.666666666666664</v>
      </c>
      <c r="DG124" s="202">
        <f>(CZ124/CZ132*100+CZ139)*CR124</f>
        <v>14.151515151515152</v>
      </c>
      <c r="DH124" s="383">
        <f>(DA124/DA132*100+DA139)*CR124</f>
        <v>13.03921568627451</v>
      </c>
      <c r="DJ124" s="10"/>
      <c r="DK124" s="102"/>
      <c r="DL124" s="10"/>
      <c r="DM124" s="86" t="s">
        <v>39</v>
      </c>
      <c r="DN124" s="10"/>
      <c r="DO124" s="10"/>
      <c r="DP124" s="10"/>
      <c r="DQ124" s="10"/>
      <c r="DR124" s="96" t="s">
        <v>3</v>
      </c>
      <c r="DS124" s="39">
        <v>16</v>
      </c>
      <c r="DT124" s="465">
        <f t="shared" si="194"/>
        <v>1</v>
      </c>
      <c r="DV124" s="88">
        <v>5</v>
      </c>
      <c r="DW124" s="95">
        <v>8</v>
      </c>
      <c r="DX124" s="90"/>
      <c r="DY124" s="99">
        <f>DW124/(DT124-DY119)</f>
        <v>8.4285714285714288</v>
      </c>
      <c r="DZ124" s="100">
        <f>DW124/(DT124-DZ119)</f>
        <v>10.042553191489361</v>
      </c>
      <c r="EA124" s="100">
        <f>DW124/(DT124-EA119)</f>
        <v>10.488888888888889</v>
      </c>
      <c r="EB124" s="100">
        <f>DW124/(DT124-EB119)</f>
        <v>9.8333333333333321</v>
      </c>
      <c r="EC124" s="100">
        <f>DW124/(DT124-EC119)</f>
        <v>11.8</v>
      </c>
      <c r="EE124" s="208">
        <v>5</v>
      </c>
      <c r="EF124" s="32">
        <f>(DY124/DY132*100+DY139)*DT124</f>
        <v>10.833333333333332</v>
      </c>
      <c r="EG124" s="202">
        <f>(DZ124/DZ132*100+DZ139)*DT124</f>
        <v>10.666666666666664</v>
      </c>
      <c r="EH124" s="202">
        <f>(EA124/EA132*100+EA139)*DT124</f>
        <v>10.591397849462364</v>
      </c>
      <c r="EI124" s="202">
        <f>(EB124/EB132*100+EB139)*DT124</f>
        <v>10.789473684210526</v>
      </c>
      <c r="EJ124" s="383">
        <f>(EC124/EC132*100+EC139)*DT124</f>
        <v>11.444444444444446</v>
      </c>
    </row>
    <row r="125" spans="2:140" x14ac:dyDescent="0.2">
      <c r="B125" s="10"/>
      <c r="C125" s="102"/>
      <c r="D125" s="10"/>
      <c r="E125" s="86" t="s">
        <v>39</v>
      </c>
      <c r="F125" s="10"/>
      <c r="G125" s="10"/>
      <c r="H125" s="10"/>
      <c r="I125" s="10"/>
      <c r="J125" s="96" t="s">
        <v>6</v>
      </c>
      <c r="K125" s="97">
        <v>3</v>
      </c>
      <c r="L125" s="465">
        <f t="shared" si="187"/>
        <v>1</v>
      </c>
      <c r="N125" s="88">
        <v>6</v>
      </c>
      <c r="O125" s="95">
        <v>7</v>
      </c>
      <c r="P125" s="90"/>
      <c r="Q125" s="99">
        <f>O125/(L125-Q119)</f>
        <v>8.3066666666666666</v>
      </c>
      <c r="R125" s="100">
        <f>O125/(L125-R119)</f>
        <v>9.4393939393939394</v>
      </c>
      <c r="S125" s="100">
        <f>O125/(L125-S119)</f>
        <v>9.734375</v>
      </c>
      <c r="T125" s="100">
        <f>O125/(L125-T119)</f>
        <v>9.2985074626865671</v>
      </c>
      <c r="U125" s="100">
        <f>O125/(L125-U119)</f>
        <v>7.416666666666667</v>
      </c>
      <c r="W125" s="14">
        <v>6</v>
      </c>
      <c r="X125" s="32">
        <f>(Q125/Q132*100+Q140)*$L125</f>
        <v>16.625</v>
      </c>
      <c r="Y125" s="202">
        <f>(R125/R132*100+R140)*$L125</f>
        <v>16.152426160337551</v>
      </c>
      <c r="Z125" s="202">
        <f t="shared" ref="Z125" si="201">(S125/S132*100+S140)*$L125</f>
        <v>15.933641975308642</v>
      </c>
      <c r="AA125" s="202">
        <f t="shared" ref="AA125" si="202">(T125/T132*100+T140)*$L125</f>
        <v>16.50219298245614</v>
      </c>
      <c r="AB125" s="383">
        <f t="shared" ref="AB125" si="203">(U125/U132*100+U140)*$L125</f>
        <v>15.156835205992508</v>
      </c>
      <c r="AD125" s="10"/>
      <c r="AE125" s="102"/>
      <c r="AF125" s="10"/>
      <c r="AG125" s="86" t="s">
        <v>39</v>
      </c>
      <c r="AH125" s="10"/>
      <c r="AI125" s="10"/>
      <c r="AJ125" s="10"/>
      <c r="AK125" s="10"/>
      <c r="AL125" s="96" t="s">
        <v>6</v>
      </c>
      <c r="AM125" s="97">
        <v>7</v>
      </c>
      <c r="AN125" s="465">
        <f t="shared" si="191"/>
        <v>1</v>
      </c>
      <c r="AP125" s="88">
        <v>6</v>
      </c>
      <c r="AQ125" s="95">
        <v>7</v>
      </c>
      <c r="AR125" s="90"/>
      <c r="AS125" s="99">
        <f>AQ125/(AN125-AS119)</f>
        <v>14.875</v>
      </c>
      <c r="AT125" s="100">
        <f>AQ125/(AN125-AT119)</f>
        <v>7.4375</v>
      </c>
      <c r="AU125" s="100">
        <f>AQ125/(AN125-AU119)</f>
        <v>7.9333333333333336</v>
      </c>
      <c r="AV125" s="100">
        <f>AQ125/(AN125-AV119)</f>
        <v>7.2121212121212119</v>
      </c>
      <c r="AW125" s="100">
        <f>AQ125/(AN125-AW119)</f>
        <v>9.52</v>
      </c>
      <c r="AY125" s="200">
        <v>6</v>
      </c>
      <c r="AZ125" s="32">
        <f>(AS125/AS132*100+AS140)*AN125</f>
        <v>8.3522727272727266</v>
      </c>
      <c r="BA125" s="202">
        <f>(AT125/AT132*100+AT140)*AN125</f>
        <v>8.8472222222222232</v>
      </c>
      <c r="BB125" s="202">
        <f>(AU125/AU132*100+AU140)*AN125</f>
        <v>8.7810283687943258</v>
      </c>
      <c r="BC125" s="202">
        <f>(AV125/AV132*100+AV140)*AN125</f>
        <v>8.3364427860696502</v>
      </c>
      <c r="BD125" s="383">
        <f>(AW125/AW132*100+AW140)*AN125</f>
        <v>8.5643939393939394</v>
      </c>
      <c r="BF125" s="10"/>
      <c r="BG125" s="102"/>
      <c r="BH125" s="10"/>
      <c r="BI125" s="86" t="s">
        <v>39</v>
      </c>
      <c r="BJ125" s="10"/>
      <c r="BK125" s="10"/>
      <c r="BL125" s="10"/>
      <c r="BM125" s="10"/>
      <c r="BN125" s="96" t="s">
        <v>6</v>
      </c>
      <c r="BO125" s="97">
        <v>9</v>
      </c>
      <c r="BP125" s="465">
        <f t="shared" si="192"/>
        <v>1</v>
      </c>
      <c r="BR125" s="88">
        <v>6</v>
      </c>
      <c r="BS125" s="95">
        <v>7</v>
      </c>
      <c r="BT125" s="90"/>
      <c r="BU125" s="99">
        <f>BS125/(BP125-BU119)</f>
        <v>12.833333333333334</v>
      </c>
      <c r="BV125" s="100">
        <f>BS125/(BP125-BV119)</f>
        <v>7.7</v>
      </c>
      <c r="BW125" s="100">
        <f>BS125/(BP125-BW119)</f>
        <v>8.1052631578947363</v>
      </c>
      <c r="BX125" s="100">
        <f>BS125/(BP125-BX119)</f>
        <v>7.5121951219512191</v>
      </c>
      <c r="BY125" s="100">
        <f>BS125/(BP125-BY119)</f>
        <v>9.3333333333333339</v>
      </c>
      <c r="CA125" s="208">
        <v>6</v>
      </c>
      <c r="CB125" s="32">
        <f>(BU125/BU132*100+BU140)*BP125</f>
        <v>11.781462585034014</v>
      </c>
      <c r="CC125" s="202">
        <f>(BV125/BV132*100+BV140)*BP125</f>
        <v>11.442610062893081</v>
      </c>
      <c r="CD125" s="202">
        <f>(BW125/BW132*100+BW140)*BP125</f>
        <v>14.625</v>
      </c>
      <c r="CE125" s="202">
        <f>(BX125/BX132*100+BX140)*BP125</f>
        <v>11.691666666666666</v>
      </c>
      <c r="CF125" s="383">
        <f>(BY125/BY132*100+BY140)*BP125</f>
        <v>13.081140350877194</v>
      </c>
      <c r="CH125" s="10"/>
      <c r="CI125" s="102"/>
      <c r="CJ125" s="10"/>
      <c r="CK125" s="86" t="s">
        <v>39</v>
      </c>
      <c r="CL125" s="10"/>
      <c r="CM125" s="10"/>
      <c r="CN125" s="10"/>
      <c r="CO125" s="10"/>
      <c r="CP125" s="96" t="s">
        <v>6</v>
      </c>
      <c r="CQ125" s="97">
        <v>4</v>
      </c>
      <c r="CR125" s="465">
        <f t="shared" si="193"/>
        <v>1</v>
      </c>
      <c r="CT125" s="88">
        <v>6</v>
      </c>
      <c r="CU125" s="95">
        <v>7</v>
      </c>
      <c r="CV125" s="90"/>
      <c r="CW125" s="99">
        <f>CU125/(CR125-CW119)</f>
        <v>8.9444444444444446</v>
      </c>
      <c r="CX125" s="100">
        <f>CU125/(CR125-CX119)</f>
        <v>10.733333333333333</v>
      </c>
      <c r="CY125" s="100">
        <f>CU125/(CR125-CY119)</f>
        <v>7.1029411764705879</v>
      </c>
      <c r="CZ125" s="100">
        <f>CU125/(CR125-CZ119)</f>
        <v>10.499999999999998</v>
      </c>
      <c r="DA125" s="100">
        <f>CU125/(CR125-DA119)</f>
        <v>7.6666666666666661</v>
      </c>
      <c r="DC125" s="208">
        <v>6</v>
      </c>
      <c r="DD125" s="32">
        <f>(CW125/CW132*100+CW140)*CR125</f>
        <v>9.3169831223628687</v>
      </c>
      <c r="DE125" s="202">
        <f>(CX125/CX132*100+CX140)*CR125</f>
        <v>10.050287356321842</v>
      </c>
      <c r="DF125" s="202">
        <f>(CY125/CY132*100+CY140)*CR125</f>
        <v>9.9583333333333321</v>
      </c>
      <c r="DG125" s="202">
        <f>(CZ125/CZ132*100+CZ140)*CR125</f>
        <v>10.200757575757576</v>
      </c>
      <c r="DH125" s="383">
        <f>(DA125/DA132*100+DA140)*CR125</f>
        <v>9.6446078431372548</v>
      </c>
      <c r="DJ125" s="10"/>
      <c r="DK125" s="102"/>
      <c r="DL125" s="10"/>
      <c r="DM125" s="86" t="s">
        <v>39</v>
      </c>
      <c r="DN125" s="10"/>
      <c r="DO125" s="10"/>
      <c r="DP125" s="10"/>
      <c r="DQ125" s="10"/>
      <c r="DR125" s="96" t="s">
        <v>6</v>
      </c>
      <c r="DS125" s="97">
        <v>17</v>
      </c>
      <c r="DT125" s="465">
        <f t="shared" si="194"/>
        <v>1</v>
      </c>
      <c r="DV125" s="88">
        <v>6</v>
      </c>
      <c r="DW125" s="95">
        <v>7</v>
      </c>
      <c r="DX125" s="90"/>
      <c r="DY125" s="99">
        <f>DW125/(DT125-DY119)</f>
        <v>7.375</v>
      </c>
      <c r="DZ125" s="100">
        <f>DW125/(DT125-DZ119)</f>
        <v>8.787234042553191</v>
      </c>
      <c r="EA125" s="100">
        <f>DW125/(DT125-EA119)</f>
        <v>9.1777777777777789</v>
      </c>
      <c r="EB125" s="100">
        <f>DW125/(DT125-EB119)</f>
        <v>8.6041666666666661</v>
      </c>
      <c r="EC125" s="100">
        <f>DW125/(DT125-EC119)</f>
        <v>10.325000000000001</v>
      </c>
      <c r="EE125" s="208">
        <v>6</v>
      </c>
      <c r="EF125" s="32">
        <f>(DY125/DY132*100+DY140)*DT125</f>
        <v>17.291666666666664</v>
      </c>
      <c r="EG125" s="202">
        <f>(DZ125/DZ132*100+DZ140)*DT125</f>
        <v>16.625</v>
      </c>
      <c r="EH125" s="202">
        <f>(EA125/EA132*100+EA140)*DT125</f>
        <v>16.323924731182796</v>
      </c>
      <c r="EI125" s="202">
        <f>(EB125/EB132*100+EB140)*DT125</f>
        <v>17.116228070175438</v>
      </c>
      <c r="EJ125" s="383">
        <f>(EC125/EC132*100+EC140)*DT125</f>
        <v>19.736111111111114</v>
      </c>
    </row>
    <row r="126" spans="2:140" x14ac:dyDescent="0.2">
      <c r="B126" s="10"/>
      <c r="C126" s="102"/>
      <c r="D126" s="10"/>
      <c r="E126" s="86" t="s">
        <v>39</v>
      </c>
      <c r="F126" s="10"/>
      <c r="G126" s="10"/>
      <c r="H126" s="10"/>
      <c r="I126" s="10"/>
      <c r="J126" s="96" t="s">
        <v>17</v>
      </c>
      <c r="K126" s="39">
        <v>4</v>
      </c>
      <c r="L126" s="465">
        <f t="shared" si="187"/>
        <v>1</v>
      </c>
      <c r="N126" s="88">
        <v>7</v>
      </c>
      <c r="O126" s="95">
        <v>7</v>
      </c>
      <c r="P126" s="90"/>
      <c r="Q126" s="99">
        <f>O126/(L126-Q119)</f>
        <v>8.3066666666666666</v>
      </c>
      <c r="R126" s="100">
        <f>O126/(L126-R119)</f>
        <v>9.4393939393939394</v>
      </c>
      <c r="S126" s="100">
        <f>O126/(L126-S119)</f>
        <v>9.734375</v>
      </c>
      <c r="T126" s="100">
        <f>O126/(L126-T119)</f>
        <v>9.2985074626865671</v>
      </c>
      <c r="U126" s="100">
        <f>O126/(L126-U119)</f>
        <v>7.416666666666667</v>
      </c>
      <c r="W126" s="14">
        <v>7</v>
      </c>
      <c r="X126" s="32">
        <f>(Q126/Q132*100+Q141)*$L126</f>
        <v>8.625</v>
      </c>
      <c r="Y126" s="202">
        <f>(R126/R132*100+R141)*$L126</f>
        <v>8.5574894514767941</v>
      </c>
      <c r="Z126" s="202">
        <f t="shared" ref="Z126" si="204">(S126/S132*100+S141)*$L126</f>
        <v>8.5262345679012341</v>
      </c>
      <c r="AA126" s="202">
        <f t="shared" ref="AA126" si="205">(T126/T132*100+T141)*$L126</f>
        <v>8.6074561403508767</v>
      </c>
      <c r="AB126" s="383">
        <f t="shared" ref="AB126" si="206">(U126/U132*100+U141)*$L126</f>
        <v>8.4152621722846437</v>
      </c>
      <c r="AD126" s="10"/>
      <c r="AE126" s="102"/>
      <c r="AF126" s="10"/>
      <c r="AG126" s="86" t="s">
        <v>39</v>
      </c>
      <c r="AH126" s="10"/>
      <c r="AI126" s="10"/>
      <c r="AJ126" s="10"/>
      <c r="AK126" s="10"/>
      <c r="AL126" s="96" t="s">
        <v>17</v>
      </c>
      <c r="AM126" s="39">
        <v>8</v>
      </c>
      <c r="AN126" s="465">
        <f t="shared" si="191"/>
        <v>1</v>
      </c>
      <c r="AP126" s="88">
        <v>7</v>
      </c>
      <c r="AQ126" s="95">
        <v>7</v>
      </c>
      <c r="AR126" s="90"/>
      <c r="AS126" s="99">
        <f>AQ126/(AN126-AS119)</f>
        <v>14.875</v>
      </c>
      <c r="AT126" s="100">
        <f>AQ126/(AN126-AT119)</f>
        <v>7.4375</v>
      </c>
      <c r="AU126" s="100">
        <f>AQ126/(AN126-AU119)</f>
        <v>7.9333333333333336</v>
      </c>
      <c r="AV126" s="100">
        <f>AQ126/(AN126-AV119)</f>
        <v>7.2121212121212119</v>
      </c>
      <c r="AW126" s="100">
        <f>AQ126/(AN126-AW119)</f>
        <v>9.52</v>
      </c>
      <c r="AY126" s="200">
        <v>7</v>
      </c>
      <c r="AZ126" s="32">
        <f>(AS126/AS132*100+AS141)*AN126</f>
        <v>11.53409090909091</v>
      </c>
      <c r="BA126" s="202">
        <f>(AT126/AT132*100+AT141)*AN126</f>
        <v>13.513888888888889</v>
      </c>
      <c r="BB126" s="202">
        <f>(AU126/AU132*100+AU141)*AN126</f>
        <v>13.249113475177303</v>
      </c>
      <c r="BC126" s="202">
        <f>(AV126/AV132*100+AV141)*AN126</f>
        <v>11.470771144278604</v>
      </c>
      <c r="BD126" s="383">
        <f>(AW126/AW132*100+AW141)*AN126</f>
        <v>12.382575757575758</v>
      </c>
      <c r="BF126" s="10"/>
      <c r="BG126" s="102"/>
      <c r="BH126" s="10"/>
      <c r="BI126" s="86" t="s">
        <v>39</v>
      </c>
      <c r="BJ126" s="10"/>
      <c r="BK126" s="10"/>
      <c r="BL126" s="10"/>
      <c r="BM126" s="10"/>
      <c r="BN126" s="96" t="s">
        <v>17</v>
      </c>
      <c r="BO126" s="39">
        <v>10</v>
      </c>
      <c r="BP126" s="465">
        <f t="shared" si="192"/>
        <v>1</v>
      </c>
      <c r="BR126" s="88">
        <v>7</v>
      </c>
      <c r="BS126" s="95">
        <v>7</v>
      </c>
      <c r="BT126" s="90"/>
      <c r="BU126" s="99">
        <f>BS126/(BP126-BU119)</f>
        <v>12.833333333333334</v>
      </c>
      <c r="BV126" s="100">
        <f>BS126/(BP126-BV119)</f>
        <v>7.7</v>
      </c>
      <c r="BW126" s="100">
        <f>BS126/(BP126-BW119)</f>
        <v>8.1052631578947363</v>
      </c>
      <c r="BX126" s="100">
        <f>BS126/(BP126-BX119)</f>
        <v>7.5121951219512191</v>
      </c>
      <c r="BY126" s="100">
        <f>BS126/(BP126-BY119)</f>
        <v>9.3333333333333339</v>
      </c>
      <c r="CA126" s="208">
        <v>7</v>
      </c>
      <c r="CB126" s="32">
        <f>(BU126/BU132*100+BU141)*BP126</f>
        <v>9.5365646258503407</v>
      </c>
      <c r="CC126" s="202">
        <f>(BV126/BV132*100+BV141)*BP126</f>
        <v>9.3671383647798727</v>
      </c>
      <c r="CD126" s="202">
        <f>(BW126/BW132*100+BW141)*BP126</f>
        <v>10.958333333333332</v>
      </c>
      <c r="CE126" s="202">
        <f>(BX126/BX132*100+BX141)*BP126</f>
        <v>9.4916666666666671</v>
      </c>
      <c r="CF126" s="383">
        <f>(BY126/BY132*100+BY141)*BP126</f>
        <v>10.18640350877193</v>
      </c>
      <c r="CH126" s="10"/>
      <c r="CI126" s="102"/>
      <c r="CJ126" s="10"/>
      <c r="CK126" s="86" t="s">
        <v>39</v>
      </c>
      <c r="CL126" s="10"/>
      <c r="CM126" s="10"/>
      <c r="CN126" s="10"/>
      <c r="CO126" s="10"/>
      <c r="CP126" s="96" t="s">
        <v>17</v>
      </c>
      <c r="CQ126" s="39">
        <v>5</v>
      </c>
      <c r="CR126" s="465">
        <f t="shared" si="193"/>
        <v>1</v>
      </c>
      <c r="CT126" s="88">
        <v>7</v>
      </c>
      <c r="CU126" s="95">
        <v>7</v>
      </c>
      <c r="CV126" s="90"/>
      <c r="CW126" s="99">
        <f>CU126/(CR126-CW119)</f>
        <v>8.9444444444444446</v>
      </c>
      <c r="CX126" s="100">
        <f>CU126/(CR126-CX119)</f>
        <v>10.733333333333333</v>
      </c>
      <c r="CY126" s="100">
        <f>CU126/(CR126-CY119)</f>
        <v>7.1029411764705879</v>
      </c>
      <c r="CZ126" s="100">
        <f>CU126/(CR126-CZ119)</f>
        <v>10.499999999999998</v>
      </c>
      <c r="DA126" s="100">
        <f>CU126/(CR126-DA119)</f>
        <v>7.6666666666666661</v>
      </c>
      <c r="DC126" s="208">
        <v>7</v>
      </c>
      <c r="DD126" s="32">
        <f>(CW126/CW132*100+CW141)*CR126</f>
        <v>15.392932489451475</v>
      </c>
      <c r="DE126" s="202">
        <f>(CX126/CX132*100+CX141)*CR126</f>
        <v>18.326149425287358</v>
      </c>
      <c r="DF126" s="202">
        <f>(CY126/CY132*100+CY141)*CR126</f>
        <v>17.958333333333332</v>
      </c>
      <c r="DG126" s="202">
        <f>(CZ126/CZ132*100+CZ141)*CR126</f>
        <v>18.928030303030305</v>
      </c>
      <c r="DH126" s="383">
        <f>(DA126/DA132*100+DA141)*CR126</f>
        <v>16.703431372549019</v>
      </c>
      <c r="DJ126" s="10"/>
      <c r="DK126" s="102"/>
      <c r="DL126" s="10"/>
      <c r="DM126" s="86" t="s">
        <v>39</v>
      </c>
      <c r="DN126" s="10"/>
      <c r="DO126" s="10"/>
      <c r="DP126" s="10"/>
      <c r="DQ126" s="10"/>
      <c r="DR126" s="96" t="s">
        <v>17</v>
      </c>
      <c r="DS126" s="39">
        <v>18</v>
      </c>
      <c r="DT126" s="465">
        <f t="shared" si="194"/>
        <v>1</v>
      </c>
      <c r="DV126" s="88">
        <v>7</v>
      </c>
      <c r="DW126" s="95">
        <v>7</v>
      </c>
      <c r="DX126" s="90"/>
      <c r="DY126" s="99">
        <f>DW126/(DT126-DY119)</f>
        <v>7.375</v>
      </c>
      <c r="DZ126" s="100">
        <f>DW126/(DT126-DZ119)</f>
        <v>8.787234042553191</v>
      </c>
      <c r="EA126" s="100">
        <f>DW126/(DT126-EA119)</f>
        <v>9.1777777777777789</v>
      </c>
      <c r="EB126" s="100">
        <f>DW126/(DT126-EB119)</f>
        <v>8.6041666666666661</v>
      </c>
      <c r="EC126" s="100">
        <f>DW126/(DT126-EC119)</f>
        <v>10.325000000000001</v>
      </c>
      <c r="EE126" s="208">
        <v>7</v>
      </c>
      <c r="EF126" s="32">
        <f>(DY126/DY132*100+DY141)*DT126</f>
        <v>13.541666666666666</v>
      </c>
      <c r="EG126" s="202">
        <f>(DZ126/DZ132*100+DZ141)*DT126</f>
        <v>13.125</v>
      </c>
      <c r="EH126" s="202">
        <f>(EA126/EA132*100+EA141)*DT126</f>
        <v>12.936827956989248</v>
      </c>
      <c r="EI126" s="202">
        <f>(EB126/EB132*100+EB141)*DT126</f>
        <v>13.432017543859651</v>
      </c>
      <c r="EJ126" s="383">
        <f>(EC126/EC132*100+EC141)*DT126</f>
        <v>15.069444444444446</v>
      </c>
    </row>
    <row r="127" spans="2:140" x14ac:dyDescent="0.2">
      <c r="B127" s="10"/>
      <c r="C127" s="102"/>
      <c r="D127" s="10"/>
      <c r="E127" s="86" t="s">
        <v>39</v>
      </c>
      <c r="F127" s="10"/>
      <c r="G127" s="10"/>
      <c r="H127" s="10"/>
      <c r="I127" s="10"/>
      <c r="J127" s="96" t="s">
        <v>24</v>
      </c>
      <c r="K127" s="97">
        <v>5</v>
      </c>
      <c r="L127" s="465">
        <f t="shared" si="187"/>
        <v>1</v>
      </c>
      <c r="N127" s="88">
        <v>8</v>
      </c>
      <c r="O127" s="95">
        <v>8</v>
      </c>
      <c r="P127" s="90"/>
      <c r="Q127" s="99">
        <f>O127/(L127-Q119)</f>
        <v>9.4933333333333323</v>
      </c>
      <c r="R127" s="100">
        <f>O127/(L127-R119)</f>
        <v>10.787878787878787</v>
      </c>
      <c r="S127" s="100">
        <f>O127/(L127-S119)</f>
        <v>11.125</v>
      </c>
      <c r="T127" s="100">
        <f>O127/(L127-T119)</f>
        <v>10.62686567164179</v>
      </c>
      <c r="U127" s="100">
        <f>O127/(L127-U119)</f>
        <v>8.4761904761904763</v>
      </c>
      <c r="W127" s="14">
        <v>8</v>
      </c>
      <c r="X127" s="32">
        <f>(Q127/Q132*100+Q142)*$L127</f>
        <v>13.666666666666664</v>
      </c>
      <c r="Y127" s="202">
        <f>(R127/R132*100+R142)*$L127</f>
        <v>13.396624472573841</v>
      </c>
      <c r="Z127" s="202">
        <f t="shared" ref="Z127" si="207">(S127/S132*100+S142)*$L127</f>
        <v>13.271604938271604</v>
      </c>
      <c r="AA127" s="202">
        <f t="shared" ref="AA127" si="208">(T127/T132*100+T142)*$L127</f>
        <v>13.596491228070175</v>
      </c>
      <c r="AB127" s="383">
        <f t="shared" ref="AB127" si="209">(U127/U132*100+U142)*$L127</f>
        <v>12.827715355805243</v>
      </c>
      <c r="AD127" s="10"/>
      <c r="AE127" s="102"/>
      <c r="AF127" s="10"/>
      <c r="AG127" s="86" t="s">
        <v>39</v>
      </c>
      <c r="AH127" s="10"/>
      <c r="AI127" s="10"/>
      <c r="AJ127" s="10"/>
      <c r="AK127" s="10"/>
      <c r="AL127" s="96" t="s">
        <v>24</v>
      </c>
      <c r="AM127" s="97">
        <v>9</v>
      </c>
      <c r="AN127" s="465">
        <f t="shared" si="191"/>
        <v>1</v>
      </c>
      <c r="AP127" s="88">
        <v>8</v>
      </c>
      <c r="AQ127" s="95">
        <v>8</v>
      </c>
      <c r="AR127" s="90"/>
      <c r="AS127" s="99">
        <f>AQ127/(AN127-AS119)</f>
        <v>17</v>
      </c>
      <c r="AT127" s="100">
        <f>AQ127/(AN127-AT119)</f>
        <v>8.5</v>
      </c>
      <c r="AU127" s="100">
        <f>AQ127/(AN127-AU119)</f>
        <v>9.0666666666666664</v>
      </c>
      <c r="AV127" s="100">
        <f>AQ127/(AN127-AV119)</f>
        <v>8.2424242424242422</v>
      </c>
      <c r="AW127" s="100">
        <f>AQ127/(AN127-AW119)</f>
        <v>10.879999999999999</v>
      </c>
      <c r="AY127" s="200">
        <v>8</v>
      </c>
      <c r="AZ127" s="32">
        <f>(AS127/AS132*100+AS142)*AN127</f>
        <v>10.454545454545453</v>
      </c>
      <c r="BA127" s="202">
        <f>(AT127/AT132*100+AT142)*AN127</f>
        <v>11.444444444444443</v>
      </c>
      <c r="BB127" s="202">
        <f>(AU127/AU132*100+AU142)*AN127</f>
        <v>11.312056737588652</v>
      </c>
      <c r="BC127" s="202">
        <f>(AV127/AV132*100+AV142)*AN127</f>
        <v>10.422885572139302</v>
      </c>
      <c r="BD127" s="383">
        <f>(AW127/AW132*100+AW142)*AN127</f>
        <v>10.878787878787879</v>
      </c>
      <c r="BF127" s="10"/>
      <c r="BG127" s="102"/>
      <c r="BH127" s="10"/>
      <c r="BI127" s="86" t="s">
        <v>39</v>
      </c>
      <c r="BJ127" s="10"/>
      <c r="BK127" s="10"/>
      <c r="BL127" s="10"/>
      <c r="BM127" s="10"/>
      <c r="BN127" s="96" t="s">
        <v>24</v>
      </c>
      <c r="BO127" s="97">
        <v>11</v>
      </c>
      <c r="BP127" s="465">
        <f t="shared" si="192"/>
        <v>1</v>
      </c>
      <c r="BR127" s="88">
        <v>8</v>
      </c>
      <c r="BS127" s="95">
        <v>8</v>
      </c>
      <c r="BT127" s="90"/>
      <c r="BU127" s="99">
        <f>BS127/(BP127-BU119)</f>
        <v>14.666666666666668</v>
      </c>
      <c r="BV127" s="100">
        <f>BS127/(BP127-BV119)</f>
        <v>8.8000000000000007</v>
      </c>
      <c r="BW127" s="100">
        <f>BS127/(BP127-BW119)</f>
        <v>9.2631578947368425</v>
      </c>
      <c r="BX127" s="100">
        <f>BS127/(BP127-BX119)</f>
        <v>8.5853658536585353</v>
      </c>
      <c r="BY127" s="100">
        <f>BS127/(BP127-BY119)</f>
        <v>10.666666666666666</v>
      </c>
      <c r="CA127" s="208">
        <v>8</v>
      </c>
      <c r="CB127" s="32">
        <f>(BU127/BU132*100+BU142)*BP127</f>
        <v>17.312925170068027</v>
      </c>
      <c r="CC127" s="202">
        <f>(BV127/BV132*100+BV142)*BP127</f>
        <v>16.635220125786162</v>
      </c>
      <c r="CD127" s="202">
        <f>(BW127/BW132*100+BW142)*BP127</f>
        <v>23</v>
      </c>
      <c r="CE127" s="202">
        <f>(BX127/BX132*100+BX142)*BP127</f>
        <v>17.133333333333333</v>
      </c>
      <c r="CF127" s="383">
        <f>(BY127/BY132*100+BY142)*BP127</f>
        <v>19.912280701754383</v>
      </c>
      <c r="CH127" s="10"/>
      <c r="CI127" s="102"/>
      <c r="CJ127" s="10"/>
      <c r="CK127" s="86" t="s">
        <v>39</v>
      </c>
      <c r="CL127" s="10"/>
      <c r="CM127" s="10"/>
      <c r="CN127" s="10"/>
      <c r="CO127" s="10"/>
      <c r="CP127" s="96" t="s">
        <v>24</v>
      </c>
      <c r="CQ127" s="39">
        <v>6</v>
      </c>
      <c r="CR127" s="465">
        <f t="shared" si="193"/>
        <v>1</v>
      </c>
      <c r="CT127" s="88">
        <v>8</v>
      </c>
      <c r="CU127" s="95">
        <v>8</v>
      </c>
      <c r="CV127" s="90"/>
      <c r="CW127" s="99">
        <f>CU127/(CR127-CW119)</f>
        <v>10.222222222222221</v>
      </c>
      <c r="CX127" s="100">
        <f>CU127/(CR127-CX119)</f>
        <v>12.266666666666666</v>
      </c>
      <c r="CY127" s="100">
        <f>CU127/(CR127-CY119)</f>
        <v>8.117647058823529</v>
      </c>
      <c r="CZ127" s="100">
        <f>CU127/(CR127-CZ119)</f>
        <v>11.999999999999998</v>
      </c>
      <c r="DA127" s="100">
        <f>CU127/(CR127-DA119)</f>
        <v>8.761904761904761</v>
      </c>
      <c r="DC127" s="208">
        <v>8</v>
      </c>
      <c r="DD127" s="32">
        <f>(CW127/CW132*100+CW142)*CR127</f>
        <v>13.396624472573837</v>
      </c>
      <c r="DE127" s="202">
        <f>(CX127/CX132*100+CX142)*CR127</f>
        <v>15.229885057471265</v>
      </c>
      <c r="DF127" s="202">
        <f>(CY127/CY132*100+CY142)*CR127</f>
        <v>15</v>
      </c>
      <c r="DG127" s="202">
        <f>(CZ127/CZ132*100+CZ142)*CR127</f>
        <v>15.606060606060606</v>
      </c>
      <c r="DH127" s="383">
        <f>(DA127/DA132*100+DA142)*CR127</f>
        <v>14.215686274509803</v>
      </c>
      <c r="DJ127" s="10"/>
      <c r="DK127" s="102"/>
      <c r="DL127" s="10"/>
      <c r="DM127" s="86" t="s">
        <v>39</v>
      </c>
      <c r="DN127" s="10"/>
      <c r="DO127" s="10"/>
      <c r="DP127" s="10"/>
      <c r="DQ127" s="10"/>
      <c r="DR127" s="96" t="s">
        <v>24</v>
      </c>
      <c r="DS127" s="39">
        <v>19</v>
      </c>
      <c r="DT127" s="465">
        <f t="shared" si="194"/>
        <v>1</v>
      </c>
      <c r="DV127" s="88">
        <v>8</v>
      </c>
      <c r="DW127" s="95">
        <v>8</v>
      </c>
      <c r="DX127" s="90"/>
      <c r="DY127" s="99">
        <f>DW127/(DT127-DY119)</f>
        <v>8.4285714285714288</v>
      </c>
      <c r="DZ127" s="100">
        <f>DW127/(DT127-DZ119)</f>
        <v>10.042553191489361</v>
      </c>
      <c r="EA127" s="100">
        <f>DW127/(DT127-EA119)</f>
        <v>10.488888888888889</v>
      </c>
      <c r="EB127" s="100">
        <f>DW127/(DT127-EB119)</f>
        <v>9.8333333333333321</v>
      </c>
      <c r="EC127" s="100">
        <f>DW127/(DT127-EC119)</f>
        <v>11.8</v>
      </c>
      <c r="EE127" s="208">
        <v>8</v>
      </c>
      <c r="EF127" s="32">
        <f>(DY127/DY132*100+DY142)*DT127</f>
        <v>17.083333333333332</v>
      </c>
      <c r="EG127" s="202">
        <f>(DZ127/DZ132*100+DZ142)*DT127</f>
        <v>16.5</v>
      </c>
      <c r="EH127" s="202">
        <f>(EA127/EA132*100+EA142)*DT127</f>
        <v>16.236559139784944</v>
      </c>
      <c r="EI127" s="202">
        <f>(EB127/EB132*100+EB142)*DT127</f>
        <v>16.929824561403507</v>
      </c>
      <c r="EJ127" s="383">
        <f>(EC127/EC132*100+EC142)*DT127</f>
        <v>19.222222222222221</v>
      </c>
    </row>
    <row r="128" spans="2:140" x14ac:dyDescent="0.2">
      <c r="E128" s="86" t="s">
        <v>39</v>
      </c>
      <c r="J128" s="96" t="s">
        <v>23</v>
      </c>
      <c r="K128" s="39">
        <v>6</v>
      </c>
      <c r="L128" s="465">
        <f t="shared" si="187"/>
        <v>1</v>
      </c>
      <c r="N128" s="88">
        <v>9</v>
      </c>
      <c r="O128" s="95">
        <v>9</v>
      </c>
      <c r="P128" s="90"/>
      <c r="Q128" s="99">
        <f>O128/(L128-Q119)</f>
        <v>10.68</v>
      </c>
      <c r="R128" s="100">
        <f>O128/(L128-R119)</f>
        <v>12.136363636363635</v>
      </c>
      <c r="S128" s="100">
        <f>O128/(L128-S119)</f>
        <v>12.515625</v>
      </c>
      <c r="T128" s="100">
        <f>O128/(L128-T119)</f>
        <v>11.955223880597014</v>
      </c>
      <c r="U128" s="100">
        <f>O128/(L128-U119)</f>
        <v>9.5357142857142865</v>
      </c>
      <c r="W128" s="14">
        <v>9</v>
      </c>
      <c r="X128" s="32">
        <f>(Q128/Q132*100+Q143)*$L128</f>
        <v>12.041666666666664</v>
      </c>
      <c r="Y128" s="202">
        <f>(R128/R132*100+R143)*$L128</f>
        <v>11.906645569620252</v>
      </c>
      <c r="Z128" s="202">
        <f t="shared" ref="Z128" si="210">(S128/S132*100+S143)*$L128</f>
        <v>11.844135802469136</v>
      </c>
      <c r="AA128" s="202">
        <f t="shared" ref="AA128" si="211">(T128/T132*100+T143)*$L128</f>
        <v>12.006578947368418</v>
      </c>
      <c r="AB128" s="383">
        <f t="shared" ref="AB128" si="212">(U128/U132*100+U143)*$L128</f>
        <v>11.622191011235953</v>
      </c>
      <c r="AG128" s="86" t="s">
        <v>39</v>
      </c>
      <c r="AL128" s="96" t="s">
        <v>23</v>
      </c>
      <c r="AM128" s="39">
        <v>10</v>
      </c>
      <c r="AN128" s="465">
        <f t="shared" si="191"/>
        <v>1</v>
      </c>
      <c r="AP128" s="88">
        <v>9</v>
      </c>
      <c r="AQ128" s="95">
        <v>9</v>
      </c>
      <c r="AR128" s="90"/>
      <c r="AS128" s="99">
        <f>AQ128/(AN128-AS119)</f>
        <v>19.125</v>
      </c>
      <c r="AT128" s="100">
        <f>AQ128/(AN128-AT119)</f>
        <v>9.5625</v>
      </c>
      <c r="AU128" s="100">
        <f>AQ128/(AN128-AU119)</f>
        <v>10.200000000000001</v>
      </c>
      <c r="AV128" s="100">
        <f>AQ128/(AN128-AV119)</f>
        <v>9.2727272727272734</v>
      </c>
      <c r="AW128" s="100">
        <f>AQ128/(AN128-AW119)</f>
        <v>12.239999999999998</v>
      </c>
      <c r="AY128" s="200">
        <v>9</v>
      </c>
      <c r="AZ128" s="32">
        <f>(AS128/AS132*100+AS143)*AN128</f>
        <v>17.859848484848484</v>
      </c>
      <c r="BA128" s="202">
        <f>(AT128/AT132*100+AT143)*AN128</f>
        <v>21.819444444444446</v>
      </c>
      <c r="BB128" s="202">
        <f>(AU128/AU132*100+AU143)*AN128</f>
        <v>21.289893617021278</v>
      </c>
      <c r="BC128" s="202">
        <f>(AV128/AV132*100+AV143)*AN128</f>
        <v>17.73320895522388</v>
      </c>
      <c r="BD128" s="383">
        <f>(AW128/AW132*100+AW143)*AN128</f>
        <v>19.55681818181818</v>
      </c>
      <c r="BI128" s="86" t="s">
        <v>39</v>
      </c>
      <c r="BN128" s="96" t="s">
        <v>23</v>
      </c>
      <c r="BO128" s="39">
        <v>12</v>
      </c>
      <c r="BP128" s="465">
        <f t="shared" si="192"/>
        <v>1</v>
      </c>
      <c r="BR128" s="88">
        <v>9</v>
      </c>
      <c r="BS128" s="95">
        <v>9</v>
      </c>
      <c r="BT128" s="90"/>
      <c r="BU128" s="99">
        <f>BS128/(BP128-BU119)</f>
        <v>16.5</v>
      </c>
      <c r="BV128" s="100">
        <f>BS128/(BP128-BV119)</f>
        <v>9.9</v>
      </c>
      <c r="BW128" s="100">
        <f>BS128/(BP128-BW119)</f>
        <v>10.421052631578947</v>
      </c>
      <c r="BX128" s="100">
        <f>BS128/(BP128-BX119)</f>
        <v>9.6585365853658534</v>
      </c>
      <c r="BY128" s="100">
        <f>BS128/(BP128-BY119)</f>
        <v>12</v>
      </c>
      <c r="CA128" s="208">
        <v>9</v>
      </c>
      <c r="CB128" s="32">
        <f>(BU128/BU132*100+BU143)*BP128</f>
        <v>14.987244897959183</v>
      </c>
      <c r="CC128" s="202">
        <f>(BV128/BV132*100+BV143)*BP128</f>
        <v>14.563679245283019</v>
      </c>
      <c r="CD128" s="202">
        <f>(BW128/BW132*100+BW143)*BP128</f>
        <v>18.541666666666664</v>
      </c>
      <c r="CE128" s="202">
        <f>(BX128/BX132*100+BX143)*BP128</f>
        <v>14.875000000000002</v>
      </c>
      <c r="CF128" s="383">
        <f>(BY128/BY132*100+BY143)*BP128</f>
        <v>16.611842105263158</v>
      </c>
      <c r="CK128" s="86" t="s">
        <v>39</v>
      </c>
      <c r="CP128" s="96" t="s">
        <v>23</v>
      </c>
      <c r="CQ128" s="97">
        <v>7</v>
      </c>
      <c r="CR128" s="465">
        <f t="shared" si="193"/>
        <v>1</v>
      </c>
      <c r="CT128" s="88">
        <v>9</v>
      </c>
      <c r="CU128" s="95">
        <v>9</v>
      </c>
      <c r="CV128" s="90"/>
      <c r="CW128" s="99">
        <f>CU128/(CR128-CW119)</f>
        <v>11.5</v>
      </c>
      <c r="CX128" s="100">
        <f>CU128/(CR128-CX119)</f>
        <v>13.799999999999999</v>
      </c>
      <c r="CY128" s="100">
        <f>CU128/(CR128-CY119)</f>
        <v>9.132352941176471</v>
      </c>
      <c r="CZ128" s="100">
        <f>CU128/(CR128-CZ119)</f>
        <v>13.499999999999998</v>
      </c>
      <c r="DA128" s="100">
        <f>CU128/(CR128-DA119)</f>
        <v>9.8571428571428559</v>
      </c>
      <c r="DC128" s="208">
        <v>9</v>
      </c>
      <c r="DD128" s="32">
        <f>(CW128/CW132*100+CW143)*CR128</f>
        <v>16.463607594936708</v>
      </c>
      <c r="DE128" s="202">
        <f>(CX128/CX132*100+CX143)*CR128</f>
        <v>19.030172413793103</v>
      </c>
      <c r="DF128" s="202">
        <f>(CY128/CY132*100+CY143)*CR128</f>
        <v>18.708333333333336</v>
      </c>
      <c r="DG128" s="202">
        <f>(CZ128/CZ132*100+CZ143)*CR128</f>
        <v>19.55681818181818</v>
      </c>
      <c r="DH128" s="383">
        <f>(DA128/DA132*100+DA143)*CR128</f>
        <v>17.610294117647058</v>
      </c>
      <c r="DM128" s="86" t="s">
        <v>39</v>
      </c>
      <c r="DR128" s="96" t="s">
        <v>23</v>
      </c>
      <c r="DS128" s="97">
        <v>20</v>
      </c>
      <c r="DT128" s="465">
        <f t="shared" si="194"/>
        <v>1</v>
      </c>
      <c r="DV128" s="88">
        <v>9</v>
      </c>
      <c r="DW128" s="95">
        <v>9</v>
      </c>
      <c r="DX128" s="90"/>
      <c r="DY128" s="99">
        <f>DW128/(DT128-DY119)</f>
        <v>9.4821428571428577</v>
      </c>
      <c r="DZ128" s="100">
        <f>DW128/(DT128-DZ119)</f>
        <v>11.297872340425531</v>
      </c>
      <c r="EA128" s="100">
        <f>DW128/(DT128-EA119)</f>
        <v>11.8</v>
      </c>
      <c r="EB128" s="100">
        <f>DW128/(DT128-EB119)</f>
        <v>11.0625</v>
      </c>
      <c r="EC128" s="100">
        <f>DW128/(DT128-EC119)</f>
        <v>13.275</v>
      </c>
      <c r="EE128" s="208">
        <v>9</v>
      </c>
      <c r="EF128" s="32">
        <f>(DY128/DY132*100+DY143)*DT128</f>
        <v>10.625</v>
      </c>
      <c r="EG128" s="202">
        <f>(DZ128/DZ132*100+DZ143)*DT128</f>
        <v>10.541666666666666</v>
      </c>
      <c r="EH128" s="202">
        <f>(EA128/EA132*100+EA143)*DT128</f>
        <v>10.504032258064516</v>
      </c>
      <c r="EI128" s="202">
        <f>(EB128/EB132*100+EB143)*DT128</f>
        <v>10.603070175438598</v>
      </c>
      <c r="EJ128" s="383">
        <f>(EC128/EC132*100+EC143)*DT128</f>
        <v>10.930555555555555</v>
      </c>
    </row>
    <row r="129" spans="5:140" x14ac:dyDescent="0.2">
      <c r="E129" s="86" t="s">
        <v>39</v>
      </c>
      <c r="J129" s="96" t="s">
        <v>25</v>
      </c>
      <c r="K129" s="97">
        <v>7</v>
      </c>
      <c r="L129" s="465">
        <f t="shared" si="187"/>
        <v>1</v>
      </c>
      <c r="N129" s="88">
        <v>10</v>
      </c>
      <c r="O129" s="95">
        <v>9</v>
      </c>
      <c r="P129" s="90"/>
      <c r="Q129" s="99">
        <f>O129/(L129-Q119)</f>
        <v>10.68</v>
      </c>
      <c r="R129" s="100">
        <f>O129/(L129-R119)</f>
        <v>12.136363636363635</v>
      </c>
      <c r="S129" s="100">
        <f>O129/(L129-S119)</f>
        <v>12.515625</v>
      </c>
      <c r="T129" s="100">
        <f>O129/(L129-T119)</f>
        <v>11.955223880597014</v>
      </c>
      <c r="U129" s="100">
        <f>O129/(L129-U119)</f>
        <v>9.5357142857142865</v>
      </c>
      <c r="W129" s="14">
        <v>10</v>
      </c>
      <c r="X129" s="32">
        <f>(Q129/Q132*100+Q144)*$L129</f>
        <v>20.041666666666664</v>
      </c>
      <c r="Y129" s="202">
        <f>(R129/R132*100+R144)*$L129</f>
        <v>19.50158227848101</v>
      </c>
      <c r="Z129" s="202">
        <f t="shared" ref="Z129" si="213">(S129/S132*100+S144)*$L129</f>
        <v>19.251543209876544</v>
      </c>
      <c r="AA129" s="202">
        <f t="shared" ref="AA129" si="214">(T129/T132*100+T144)*$L129</f>
        <v>19.901315789473681</v>
      </c>
      <c r="AB129" s="383">
        <f t="shared" ref="AB129" si="215">(U129/U132*100+U144)*$L129</f>
        <v>18.363764044943821</v>
      </c>
      <c r="AG129" s="86" t="s">
        <v>39</v>
      </c>
      <c r="AL129" s="96" t="s">
        <v>25</v>
      </c>
      <c r="AM129" s="97">
        <v>11</v>
      </c>
      <c r="AN129" s="465">
        <f t="shared" si="191"/>
        <v>1</v>
      </c>
      <c r="AP129" s="88">
        <v>10</v>
      </c>
      <c r="AQ129" s="95">
        <v>9</v>
      </c>
      <c r="AR129" s="90"/>
      <c r="AS129" s="99">
        <f>AQ129/(AN129-AS119)</f>
        <v>19.125</v>
      </c>
      <c r="AT129" s="100">
        <f>AQ129/(AN129-AT119)</f>
        <v>9.5625</v>
      </c>
      <c r="AU129" s="100">
        <f>AQ129/(AN129-AU119)</f>
        <v>10.200000000000001</v>
      </c>
      <c r="AV129" s="100">
        <f>AQ129/(AN129-AV119)</f>
        <v>9.2727272727272734</v>
      </c>
      <c r="AW129" s="100">
        <f>AQ129/(AN129-AW119)</f>
        <v>12.239999999999998</v>
      </c>
      <c r="AY129" s="200">
        <v>10</v>
      </c>
      <c r="AZ129" s="32">
        <f>(AS129/AS132*100+AS144)*AN129</f>
        <v>14.678030303030303</v>
      </c>
      <c r="BA129" s="202">
        <f>(AT129/AT132*100+AT144)*AN129</f>
        <v>17.152777777777779</v>
      </c>
      <c r="BB129" s="202">
        <f>(AU129/AU132*100+AU144)*AN129</f>
        <v>16.821808510638299</v>
      </c>
      <c r="BC129" s="202">
        <f>(AV129/AV132*100+AV144)*AN129</f>
        <v>14.598880597014922</v>
      </c>
      <c r="BD129" s="383">
        <f>(AW129/AW132*100+AW144)*AN129</f>
        <v>15.738636363636363</v>
      </c>
      <c r="BI129" s="86" t="s">
        <v>39</v>
      </c>
      <c r="BN129" s="96" t="s">
        <v>25</v>
      </c>
      <c r="BO129" s="97">
        <v>13</v>
      </c>
      <c r="BP129" s="465">
        <f t="shared" si="192"/>
        <v>1</v>
      </c>
      <c r="BR129" s="88">
        <v>10</v>
      </c>
      <c r="BS129" s="95">
        <v>9</v>
      </c>
      <c r="BT129" s="90"/>
      <c r="BU129" s="99">
        <f>BS129/(BP129-BU119)</f>
        <v>16.5</v>
      </c>
      <c r="BV129" s="100">
        <f>BS129/(BP129-BV119)</f>
        <v>9.9</v>
      </c>
      <c r="BW129" s="100">
        <f>BS129/(BP129-BW119)</f>
        <v>10.421052631578947</v>
      </c>
      <c r="BX129" s="100">
        <f>BS129/(BP129-BX119)</f>
        <v>9.6585365853658534</v>
      </c>
      <c r="BY129" s="100">
        <f>BS129/(BP129-BY119)</f>
        <v>12</v>
      </c>
      <c r="CA129" s="208">
        <v>10</v>
      </c>
      <c r="CB129" s="32">
        <f>(BU129/BU132*100+BU144)*BP129</f>
        <v>17.232142857142858</v>
      </c>
      <c r="CC129" s="202">
        <f>(BV129/BV132*100+BV144)*BP129</f>
        <v>16.639150943396228</v>
      </c>
      <c r="CD129" s="202">
        <f>(BW129/BW132*100+BW144)*BP129</f>
        <v>22.208333333333332</v>
      </c>
      <c r="CE129" s="202">
        <f>(BX129/BX132*100+BX144)*BP129</f>
        <v>17.075000000000003</v>
      </c>
      <c r="CF129" s="383">
        <f>(BY129/BY132*100+BY144)*BP129</f>
        <v>19.506578947368421</v>
      </c>
      <c r="CK129" s="86" t="s">
        <v>39</v>
      </c>
      <c r="CP129" s="96" t="s">
        <v>25</v>
      </c>
      <c r="CQ129" s="39">
        <v>8</v>
      </c>
      <c r="CR129" s="465">
        <f t="shared" si="193"/>
        <v>1</v>
      </c>
      <c r="CT129" s="88">
        <v>10</v>
      </c>
      <c r="CU129" s="95">
        <v>9</v>
      </c>
      <c r="CV129" s="90"/>
      <c r="CW129" s="99">
        <f>CU129/(CR129-CW119)</f>
        <v>11.5</v>
      </c>
      <c r="CX129" s="100">
        <f>CU129/(CR129-CX119)</f>
        <v>13.799999999999999</v>
      </c>
      <c r="CY129" s="100">
        <f>CU129/(CR129-CY119)</f>
        <v>9.132352941176471</v>
      </c>
      <c r="CZ129" s="100">
        <f>CU129/(CR129-CZ119)</f>
        <v>13.499999999999998</v>
      </c>
      <c r="DA129" s="100">
        <f>CU129/(CR129-DA119)</f>
        <v>9.8571428571428559</v>
      </c>
      <c r="DC129" s="208">
        <v>10</v>
      </c>
      <c r="DD129" s="32">
        <f>(CW129/CW132*100+CW144)*CR129</f>
        <v>10.387658227848101</v>
      </c>
      <c r="DE129" s="202">
        <f>(CX129/CX132*100+CX144)*CR129</f>
        <v>10.754310344827587</v>
      </c>
      <c r="DF129" s="202">
        <f>(CY129/CY132*100+CY144)*CR129</f>
        <v>10.708333333333334</v>
      </c>
      <c r="DG129" s="202">
        <f>(CZ129/CZ132*100+CZ144)*CR129</f>
        <v>10.829545454545455</v>
      </c>
      <c r="DH129" s="383">
        <f>(DA129/DA132*100+DA144)*CR129</f>
        <v>10.551470588235292</v>
      </c>
      <c r="DM129" s="86" t="s">
        <v>39</v>
      </c>
      <c r="DR129" s="96" t="s">
        <v>25</v>
      </c>
      <c r="DS129" s="39">
        <v>21</v>
      </c>
      <c r="DT129" s="465">
        <f t="shared" si="194"/>
        <v>1</v>
      </c>
      <c r="DV129" s="88">
        <v>10</v>
      </c>
      <c r="DW129" s="95">
        <v>9</v>
      </c>
      <c r="DX129" s="90"/>
      <c r="DY129" s="99">
        <f>DW129/(DT129-DY119)</f>
        <v>9.4821428571428577</v>
      </c>
      <c r="DZ129" s="100">
        <f>DW129/(DT129-DZ119)</f>
        <v>11.297872340425531</v>
      </c>
      <c r="EA129" s="100">
        <f>DW129/(DT129-EA119)</f>
        <v>11.8</v>
      </c>
      <c r="EB129" s="100">
        <f>DW129/(DT129-EB119)</f>
        <v>11.0625</v>
      </c>
      <c r="EC129" s="100">
        <f>DW129/(DT129-EC119)</f>
        <v>13.275</v>
      </c>
      <c r="EE129" s="208">
        <v>10</v>
      </c>
      <c r="EF129" s="32">
        <f>(DY129/DY132*100+DY144)*DT129</f>
        <v>14.375</v>
      </c>
      <c r="EG129" s="202">
        <f>(DZ129/DZ132*100+DZ144)*DT129</f>
        <v>14.041666666666666</v>
      </c>
      <c r="EH129" s="202">
        <f>(EA129/EA132*100+EA144)*DT129</f>
        <v>13.891129032258064</v>
      </c>
      <c r="EI129" s="202">
        <f>(EB129/EB132*100+EB144)*DT129</f>
        <v>14.287280701754387</v>
      </c>
      <c r="EJ129" s="383">
        <f>(EC129/EC132*100+EC144)*DT129</f>
        <v>15.597222222222223</v>
      </c>
    </row>
    <row r="130" spans="5:140" x14ac:dyDescent="0.2">
      <c r="E130" s="86" t="s">
        <v>39</v>
      </c>
      <c r="J130" s="96" t="s">
        <v>26</v>
      </c>
      <c r="K130" s="39">
        <v>8</v>
      </c>
      <c r="L130" s="465">
        <f t="shared" si="187"/>
        <v>1</v>
      </c>
      <c r="N130" s="88">
        <v>11</v>
      </c>
      <c r="O130" s="107">
        <v>8</v>
      </c>
      <c r="P130" s="90"/>
      <c r="Q130" s="99">
        <f>O130/(L130-Q119)</f>
        <v>9.4933333333333323</v>
      </c>
      <c r="R130" s="100">
        <f>O130/(L130-R119)</f>
        <v>10.787878787878787</v>
      </c>
      <c r="S130" s="100">
        <f>O130/(L130-S119)</f>
        <v>11.125</v>
      </c>
      <c r="T130" s="100">
        <f>O130/(L130-T119)</f>
        <v>10.62686567164179</v>
      </c>
      <c r="U130" s="100">
        <f>O130/(L130-U119)</f>
        <v>8.4761904761904763</v>
      </c>
      <c r="W130" s="14">
        <v>11</v>
      </c>
      <c r="X130" s="32">
        <f>(Q130/Q132*100+Q145)*$L130</f>
        <v>15</v>
      </c>
      <c r="Y130" s="202">
        <f>(R130/R132*100+R145)*$L130</f>
        <v>14.662447257383967</v>
      </c>
      <c r="Z130" s="202">
        <f t="shared" ref="Z130" si="216">(S130/S132*100+S145)*$L130</f>
        <v>14.506172839506171</v>
      </c>
      <c r="AA130" s="202">
        <f t="shared" ref="AA130" si="217">(T130/T132*100+T145)*$L130</f>
        <v>14.912280701754383</v>
      </c>
      <c r="AB130" s="383">
        <f t="shared" ref="AB130" si="218">(U130/U132*100+U145)*$L130</f>
        <v>13.95131086142322</v>
      </c>
      <c r="AG130" s="86" t="s">
        <v>39</v>
      </c>
      <c r="AL130" s="96" t="s">
        <v>26</v>
      </c>
      <c r="AM130" s="39">
        <v>12</v>
      </c>
      <c r="AN130" s="465">
        <f t="shared" si="191"/>
        <v>1</v>
      </c>
      <c r="AP130" s="88">
        <v>11</v>
      </c>
      <c r="AQ130" s="107">
        <v>8</v>
      </c>
      <c r="AR130" s="90"/>
      <c r="AS130" s="99">
        <f>AQ130/(AN130-AS119)</f>
        <v>17</v>
      </c>
      <c r="AT130" s="100">
        <f>AQ130/(AN130-AT119)</f>
        <v>8.5</v>
      </c>
      <c r="AU130" s="100">
        <f>AQ130/(AN130-AU119)</f>
        <v>9.0666666666666664</v>
      </c>
      <c r="AV130" s="100">
        <f>AQ130/(AN130-AV119)</f>
        <v>8.2424242424242422</v>
      </c>
      <c r="AW130" s="100">
        <f>AQ130/(AN130-AW119)</f>
        <v>10.879999999999999</v>
      </c>
      <c r="AY130" s="200">
        <v>11</v>
      </c>
      <c r="AZ130" s="32">
        <f>(AS130/AS132*100+AS145)*AN130</f>
        <v>15.757575757575758</v>
      </c>
      <c r="BA130" s="202">
        <f>(AT130/AT132*100+AT145)*AN130</f>
        <v>19.222222222222221</v>
      </c>
      <c r="BB130" s="202">
        <f>(AU130/AU132*100+AU145)*AN130</f>
        <v>18.758865248226947</v>
      </c>
      <c r="BC130" s="202">
        <f>(AV130/AV132*100+AV145)*AN130</f>
        <v>15.646766169154226</v>
      </c>
      <c r="BD130" s="383">
        <f>(AW130/AW132*100+AW145)*AN130</f>
        <v>17.242424242424242</v>
      </c>
      <c r="BI130" s="86" t="s">
        <v>39</v>
      </c>
      <c r="BN130" s="96" t="s">
        <v>26</v>
      </c>
      <c r="BO130" s="39">
        <v>14</v>
      </c>
      <c r="BP130" s="465">
        <f t="shared" si="192"/>
        <v>1</v>
      </c>
      <c r="BR130" s="88">
        <v>11</v>
      </c>
      <c r="BS130" s="107">
        <v>8</v>
      </c>
      <c r="BT130" s="90"/>
      <c r="BU130" s="99">
        <f>BS130/(BP130-BU119)</f>
        <v>14.666666666666668</v>
      </c>
      <c r="BV130" s="100">
        <f>BS130/(BP130-BV119)</f>
        <v>8.8000000000000007</v>
      </c>
      <c r="BW130" s="100">
        <f>BS130/(BP130-BW119)</f>
        <v>9.2631578947368425</v>
      </c>
      <c r="BX130" s="100">
        <f>BS130/(BP130-BX119)</f>
        <v>8.5853658536585353</v>
      </c>
      <c r="BY130" s="100">
        <f>BS130/(BP130-BY119)</f>
        <v>10.666666666666666</v>
      </c>
      <c r="CA130" s="208">
        <v>11</v>
      </c>
      <c r="CB130" s="32">
        <f>(BU130/BU132*100+BU145)*BP130</f>
        <v>9.4557823129251712</v>
      </c>
      <c r="CC130" s="202">
        <f>(BV130/BV132*100+BV145)*BP130</f>
        <v>9.3710691823899364</v>
      </c>
      <c r="CD130" s="202">
        <f>(BW130/BW132*100+BW145)*BP130</f>
        <v>10.166666666666666</v>
      </c>
      <c r="CE130" s="202">
        <f>(BX130/BX132*100+BX145)*BP130</f>
        <v>9.4333333333333336</v>
      </c>
      <c r="CF130" s="383">
        <f>(BY130/BY132*100+BY145)*BP130</f>
        <v>9.780701754385964</v>
      </c>
      <c r="CK130" s="86" t="s">
        <v>39</v>
      </c>
      <c r="CP130" s="96" t="s">
        <v>26</v>
      </c>
      <c r="CQ130" s="97">
        <v>9</v>
      </c>
      <c r="CR130" s="465">
        <f t="shared" si="193"/>
        <v>1</v>
      </c>
      <c r="CT130" s="88">
        <v>11</v>
      </c>
      <c r="CU130" s="107">
        <v>8</v>
      </c>
      <c r="CV130" s="90"/>
      <c r="CW130" s="99">
        <f>CU130/(CR130-CW119)</f>
        <v>10.222222222222221</v>
      </c>
      <c r="CX130" s="100">
        <f>CU130/(CR130-CX119)</f>
        <v>12.266666666666666</v>
      </c>
      <c r="CY130" s="100">
        <f>CU130/(CR130-CY119)</f>
        <v>8.117647058823529</v>
      </c>
      <c r="CZ130" s="100">
        <f>CU130/(CR130-CZ119)</f>
        <v>11.999999999999998</v>
      </c>
      <c r="DA130" s="100">
        <f>CU130/(CR130-DA119)</f>
        <v>8.761904761904761</v>
      </c>
      <c r="DC130" s="208">
        <v>11</v>
      </c>
      <c r="DD130" s="32">
        <f>(CW130/CW132*100+CW145)*CR130</f>
        <v>12.383966244725737</v>
      </c>
      <c r="DE130" s="202">
        <f>(CX130/CX132*100+CX145)*CR130</f>
        <v>13.850574712643679</v>
      </c>
      <c r="DF130" s="202">
        <f>(CY130/CY132*100+CY145)*CR130</f>
        <v>13.666666666666664</v>
      </c>
      <c r="DG130" s="202">
        <f>(CZ130/CZ132*100+CZ145)*CR130</f>
        <v>14.151515151515152</v>
      </c>
      <c r="DH130" s="383">
        <f>(DA130/DA132*100+DA145)*CR130</f>
        <v>13.03921568627451</v>
      </c>
      <c r="DM130" s="86" t="s">
        <v>39</v>
      </c>
      <c r="DR130" s="96" t="s">
        <v>26</v>
      </c>
      <c r="DS130" s="97">
        <v>22</v>
      </c>
      <c r="DT130" s="465">
        <f t="shared" si="194"/>
        <v>1</v>
      </c>
      <c r="DV130" s="88">
        <v>11</v>
      </c>
      <c r="DW130" s="107">
        <v>8</v>
      </c>
      <c r="DX130" s="90"/>
      <c r="DY130" s="99">
        <f>DW130/(DT130-DY119)</f>
        <v>8.4285714285714288</v>
      </c>
      <c r="DZ130" s="100">
        <f>DW130/(DT130-DZ119)</f>
        <v>10.042553191489361</v>
      </c>
      <c r="EA130" s="100">
        <f>DW130/(DT130-EA119)</f>
        <v>10.488888888888889</v>
      </c>
      <c r="EB130" s="100">
        <f>DW130/(DT130-EB119)</f>
        <v>9.8333333333333321</v>
      </c>
      <c r="EC130" s="100">
        <f>DW130/(DT130-EC119)</f>
        <v>11.8</v>
      </c>
      <c r="EE130" s="208">
        <v>11</v>
      </c>
      <c r="EF130" s="32">
        <f>(DY130/DY132*100+DY145)*DT130</f>
        <v>10.833333333333332</v>
      </c>
      <c r="EG130" s="202">
        <f>(DZ130/DZ132*100+DZ145)*DT130</f>
        <v>10.666666666666664</v>
      </c>
      <c r="EH130" s="202">
        <f>(EA130/EA132*100+EA145)*DT130</f>
        <v>10.591397849462364</v>
      </c>
      <c r="EI130" s="202">
        <f>(EB130/EB132*100+EB145)*DT130</f>
        <v>10.789473684210526</v>
      </c>
      <c r="EJ130" s="383">
        <f>(EC130/EC132*100+EC145)*DT130</f>
        <v>11.444444444444446</v>
      </c>
    </row>
    <row r="131" spans="5:140" ht="15" thickBot="1" x14ac:dyDescent="0.25">
      <c r="E131" s="86" t="s">
        <v>39</v>
      </c>
      <c r="J131" s="96" t="s">
        <v>27</v>
      </c>
      <c r="K131" s="97">
        <v>9</v>
      </c>
      <c r="L131" s="465">
        <f t="shared" si="187"/>
        <v>1</v>
      </c>
      <c r="N131" s="109">
        <v>12</v>
      </c>
      <c r="O131" s="110">
        <v>7</v>
      </c>
      <c r="P131" s="90"/>
      <c r="Q131" s="111">
        <f>O131/(L131-Q119)</f>
        <v>8.3066666666666666</v>
      </c>
      <c r="R131" s="112">
        <f>O131/(L131-R119)</f>
        <v>9.4393939393939394</v>
      </c>
      <c r="S131" s="112">
        <f>O131/(L131-S119)</f>
        <v>9.734375</v>
      </c>
      <c r="T131" s="112">
        <f>O131/(L131-T119)</f>
        <v>9.2985074626865671</v>
      </c>
      <c r="U131" s="112">
        <f>O131/(L131-U119)</f>
        <v>7.416666666666667</v>
      </c>
      <c r="W131" s="53">
        <v>12</v>
      </c>
      <c r="X131" s="43">
        <f>(Q131/Q132*100+Q146)*$L131</f>
        <v>16.625</v>
      </c>
      <c r="Y131" s="203">
        <f>(R131/R132*100+R146)*$L131</f>
        <v>16.152426160337551</v>
      </c>
      <c r="Z131" s="203">
        <f t="shared" ref="Z131" si="219">(S131/S132*100+S146)*$L131</f>
        <v>15.933641975308642</v>
      </c>
      <c r="AA131" s="203">
        <f t="shared" ref="AA131" si="220">(T131/T132*100+T146)*$L131</f>
        <v>16.50219298245614</v>
      </c>
      <c r="AB131" s="384">
        <f t="shared" ref="AB131" si="221">(U131/U132*100+U146)*$L131</f>
        <v>15.156835205992508</v>
      </c>
      <c r="AG131" s="86" t="s">
        <v>39</v>
      </c>
      <c r="AL131" s="96" t="s">
        <v>27</v>
      </c>
      <c r="AM131" s="97">
        <v>13</v>
      </c>
      <c r="AN131" s="465">
        <f t="shared" si="191"/>
        <v>1</v>
      </c>
      <c r="AP131" s="109">
        <v>12</v>
      </c>
      <c r="AQ131" s="110">
        <v>7</v>
      </c>
      <c r="AR131" s="90"/>
      <c r="AS131" s="111">
        <f>AQ131/(AN131-AS119)</f>
        <v>14.875</v>
      </c>
      <c r="AT131" s="112">
        <f>AQ131/(AN131-AT119)</f>
        <v>7.4375</v>
      </c>
      <c r="AU131" s="112">
        <f>AQ131/(AN131-AU119)</f>
        <v>7.9333333333333336</v>
      </c>
      <c r="AV131" s="112">
        <f>AQ131/(AN131-AV119)</f>
        <v>7.2121212121212119</v>
      </c>
      <c r="AW131" s="112">
        <f>AQ131/(AN131-AW119)</f>
        <v>9.52</v>
      </c>
      <c r="AY131" s="201">
        <v>12</v>
      </c>
      <c r="AZ131" s="43">
        <f>(AS131/AS132*100+AS146)*AN131</f>
        <v>8.3522727272727266</v>
      </c>
      <c r="BA131" s="203">
        <f>(AT131/AT132*100+AT146)*AN131</f>
        <v>8.8472222222222232</v>
      </c>
      <c r="BB131" s="203">
        <f>(AU131/AU132*100+AU146)*AN131</f>
        <v>8.7810283687943258</v>
      </c>
      <c r="BC131" s="203">
        <f>(AV131/AV132*100+AV146)*AN131</f>
        <v>8.3364427860696502</v>
      </c>
      <c r="BD131" s="384">
        <f>(AW131/AW132*100+AW146)*AN131</f>
        <v>8.5643939393939394</v>
      </c>
      <c r="BI131" s="86" t="s">
        <v>39</v>
      </c>
      <c r="BN131" s="96" t="s">
        <v>27</v>
      </c>
      <c r="BO131" s="97">
        <v>15</v>
      </c>
      <c r="BP131" s="465">
        <f t="shared" si="192"/>
        <v>1</v>
      </c>
      <c r="BR131" s="109">
        <v>12</v>
      </c>
      <c r="BS131" s="110">
        <v>7</v>
      </c>
      <c r="BT131" s="90"/>
      <c r="BU131" s="111">
        <f>BS131/(BP131-BU119)</f>
        <v>12.833333333333334</v>
      </c>
      <c r="BV131" s="112">
        <f>BS131/(BP131-BV119)</f>
        <v>7.7</v>
      </c>
      <c r="BW131" s="112">
        <f>BS131/(BP131-BW119)</f>
        <v>8.1052631578947363</v>
      </c>
      <c r="BX131" s="112">
        <f>BS131/(BP131-BX119)</f>
        <v>7.5121951219512191</v>
      </c>
      <c r="BY131" s="112">
        <f>BS131/(BP131-BY119)</f>
        <v>9.3333333333333339</v>
      </c>
      <c r="CA131" s="209">
        <v>12</v>
      </c>
      <c r="CB131" s="43">
        <f>(BU131/BU132*100+BU146)*BP131</f>
        <v>11.781462585034014</v>
      </c>
      <c r="CC131" s="203">
        <f>(BV131/BV132*100+BV146)*BP131</f>
        <v>11.442610062893081</v>
      </c>
      <c r="CD131" s="203">
        <f>(BW131/BW132*100+BW146)*BP131</f>
        <v>14.625</v>
      </c>
      <c r="CE131" s="203">
        <f>(BX131/BX132*100+BX146)*BP131</f>
        <v>11.691666666666666</v>
      </c>
      <c r="CF131" s="384">
        <f>(BY131/BY132*100+BY146)*BP131</f>
        <v>13.081140350877194</v>
      </c>
      <c r="CK131" s="86" t="s">
        <v>39</v>
      </c>
      <c r="CP131" s="96" t="s">
        <v>27</v>
      </c>
      <c r="CQ131" s="39">
        <v>10</v>
      </c>
      <c r="CR131" s="465">
        <f t="shared" si="193"/>
        <v>1</v>
      </c>
      <c r="CT131" s="109">
        <v>12</v>
      </c>
      <c r="CU131" s="110">
        <v>7</v>
      </c>
      <c r="CV131" s="90"/>
      <c r="CW131" s="111">
        <f>CU131/(CR131-CW119)</f>
        <v>8.9444444444444446</v>
      </c>
      <c r="CX131" s="112">
        <f>CU131/(CR131-CX119)</f>
        <v>10.733333333333333</v>
      </c>
      <c r="CY131" s="112">
        <f>CU131/(CR131-CY119)</f>
        <v>7.1029411764705879</v>
      </c>
      <c r="CZ131" s="112">
        <f>CU131/(CR131-CZ119)</f>
        <v>10.499999999999998</v>
      </c>
      <c r="DA131" s="112">
        <f>CU131/(CR131-DA119)</f>
        <v>7.6666666666666661</v>
      </c>
      <c r="DC131" s="209">
        <v>12</v>
      </c>
      <c r="DD131" s="43">
        <f>(CW131/CW132*100+CW146)*CR131</f>
        <v>9.3169831223628687</v>
      </c>
      <c r="DE131" s="203">
        <f>(CX131/CX132*100+CX146)*CR131</f>
        <v>10.050287356321842</v>
      </c>
      <c r="DF131" s="203">
        <f>(CY131/CY132*100+CY146)*CR131</f>
        <v>9.9583333333333321</v>
      </c>
      <c r="DG131" s="203">
        <f>(CZ131/CZ132*100+CZ146)*CR131</f>
        <v>10.200757575757576</v>
      </c>
      <c r="DH131" s="384">
        <f>(DA131/DA132*100+DA146)*CR131</f>
        <v>9.6446078431372548</v>
      </c>
      <c r="DM131" s="86" t="s">
        <v>39</v>
      </c>
      <c r="DR131" s="96" t="s">
        <v>27</v>
      </c>
      <c r="DS131" s="39">
        <v>23</v>
      </c>
      <c r="DT131" s="465">
        <f t="shared" si="194"/>
        <v>1</v>
      </c>
      <c r="DV131" s="109">
        <v>12</v>
      </c>
      <c r="DW131" s="110">
        <v>7</v>
      </c>
      <c r="DX131" s="90"/>
      <c r="DY131" s="111">
        <f>DW131/(DT131-DY119)</f>
        <v>7.375</v>
      </c>
      <c r="DZ131" s="112">
        <f>DW131/(DT131-DZ119)</f>
        <v>8.787234042553191</v>
      </c>
      <c r="EA131" s="112">
        <f>DW131/(DT131-EA119)</f>
        <v>9.1777777777777789</v>
      </c>
      <c r="EB131" s="112">
        <f>DW131/(DT131-EB119)</f>
        <v>8.6041666666666661</v>
      </c>
      <c r="EC131" s="112">
        <f>DW131/(DT131-EC119)</f>
        <v>10.325000000000001</v>
      </c>
      <c r="EE131" s="209">
        <v>12</v>
      </c>
      <c r="EF131" s="43">
        <f>(DY131/DY132*100+DY146)*DT131</f>
        <v>17.291666666666664</v>
      </c>
      <c r="EG131" s="203">
        <f>(DZ131/DZ132*100+DZ146)*DT131</f>
        <v>16.625</v>
      </c>
      <c r="EH131" s="203">
        <f>(EA131/EA132*100+EA146)*DT131</f>
        <v>16.323924731182796</v>
      </c>
      <c r="EI131" s="203">
        <f>(EB131/EB132*100+EB146)*DT131</f>
        <v>17.116228070175438</v>
      </c>
      <c r="EJ131" s="384">
        <f>(EC131/EC132*100+EC146)*DT131</f>
        <v>19.736111111111114</v>
      </c>
    </row>
    <row r="132" spans="5:140" x14ac:dyDescent="0.2">
      <c r="E132" s="86" t="s">
        <v>39</v>
      </c>
      <c r="J132" s="96" t="s">
        <v>28</v>
      </c>
      <c r="K132" s="39">
        <v>10</v>
      </c>
      <c r="N132" s="10"/>
      <c r="O132" s="90"/>
      <c r="P132" s="90"/>
      <c r="Q132" s="113">
        <f>SUM(Q120:Q131)</f>
        <v>113.92000000000002</v>
      </c>
      <c r="R132" s="113">
        <f t="shared" ref="R132:U132" si="222">SUM(R120:R131)</f>
        <v>129.45454545454544</v>
      </c>
      <c r="S132" s="113">
        <f t="shared" si="222"/>
        <v>133.5</v>
      </c>
      <c r="T132" s="113">
        <f t="shared" si="222"/>
        <v>127.52238805970151</v>
      </c>
      <c r="U132" s="113">
        <f t="shared" si="222"/>
        <v>101.71428571428574</v>
      </c>
      <c r="W132" s="160"/>
      <c r="X132" s="171"/>
      <c r="Y132" s="171"/>
      <c r="Z132" s="171"/>
      <c r="AA132" s="171"/>
      <c r="AB132" s="171"/>
      <c r="AG132" s="86" t="s">
        <v>39</v>
      </c>
      <c r="AL132" s="96" t="s">
        <v>28</v>
      </c>
      <c r="AM132" s="39">
        <v>14</v>
      </c>
      <c r="AP132" s="10"/>
      <c r="AQ132" s="90"/>
      <c r="AR132" s="90"/>
      <c r="AS132" s="113">
        <f>SUM(AS120:AS131)</f>
        <v>204</v>
      </c>
      <c r="AT132" s="113">
        <f t="shared" ref="AT132:AW132" si="223">SUM(AT120:AT131)</f>
        <v>102</v>
      </c>
      <c r="AU132" s="113">
        <f t="shared" si="223"/>
        <v>108.80000000000001</v>
      </c>
      <c r="AV132" s="113">
        <f t="shared" si="223"/>
        <v>98.909090909090935</v>
      </c>
      <c r="AW132" s="113">
        <f t="shared" si="223"/>
        <v>130.55999999999997</v>
      </c>
      <c r="AY132" s="160"/>
      <c r="AZ132" s="171"/>
      <c r="BA132" s="171"/>
      <c r="BB132" s="171"/>
      <c r="BC132" s="171"/>
      <c r="BD132" s="171"/>
      <c r="BI132" s="86" t="s">
        <v>39</v>
      </c>
      <c r="BN132" s="96" t="s">
        <v>28</v>
      </c>
      <c r="BO132" s="39">
        <v>16</v>
      </c>
      <c r="BR132" s="10"/>
      <c r="BS132" s="90"/>
      <c r="BT132" s="90"/>
      <c r="BU132" s="113">
        <f>SUM(BU120:BU131)</f>
        <v>176</v>
      </c>
      <c r="BV132" s="113">
        <f t="shared" ref="BV132:BY132" si="224">SUM(BV120:BV131)</f>
        <v>105.60000000000001</v>
      </c>
      <c r="BW132" s="113">
        <f t="shared" si="224"/>
        <v>111.15789473684211</v>
      </c>
      <c r="BX132" s="113">
        <f t="shared" si="224"/>
        <v>103.02439024390242</v>
      </c>
      <c r="BY132" s="113">
        <f t="shared" si="224"/>
        <v>128</v>
      </c>
      <c r="CA132" s="160"/>
      <c r="CB132" s="171"/>
      <c r="CC132" s="171"/>
      <c r="CD132" s="171"/>
      <c r="CE132" s="171"/>
      <c r="CF132" s="171"/>
      <c r="CK132" s="86" t="s">
        <v>39</v>
      </c>
      <c r="CP132" s="96" t="s">
        <v>28</v>
      </c>
      <c r="CQ132" s="97">
        <v>11</v>
      </c>
      <c r="CT132" s="10"/>
      <c r="CU132" s="90"/>
      <c r="CV132" s="90"/>
      <c r="CW132" s="113">
        <f>SUM(CW120:CW131)</f>
        <v>122.66666666666667</v>
      </c>
      <c r="CX132" s="113">
        <f t="shared" ref="CX132:DA132" si="225">SUM(CX120:CX131)</f>
        <v>147.19999999999996</v>
      </c>
      <c r="CY132" s="113">
        <f t="shared" si="225"/>
        <v>97.411764705882362</v>
      </c>
      <c r="CZ132" s="113">
        <f t="shared" si="225"/>
        <v>143.99999999999997</v>
      </c>
      <c r="DA132" s="113">
        <f t="shared" si="225"/>
        <v>105.14285714285714</v>
      </c>
      <c r="DC132" s="160"/>
      <c r="DD132" s="171"/>
      <c r="DE132" s="171"/>
      <c r="DF132" s="171"/>
      <c r="DG132" s="171"/>
      <c r="DH132" s="171"/>
      <c r="DM132" s="86" t="s">
        <v>39</v>
      </c>
      <c r="DR132" s="96" t="s">
        <v>28</v>
      </c>
      <c r="DS132" s="97">
        <v>24</v>
      </c>
      <c r="DV132" s="10"/>
      <c r="DW132" s="90"/>
      <c r="DX132" s="90"/>
      <c r="DY132" s="113">
        <f>SUM(DY120:DY131)</f>
        <v>101.14285714285715</v>
      </c>
      <c r="DZ132" s="113">
        <f t="shared" ref="DZ132:EC132" si="226">SUM(DZ120:DZ131)</f>
        <v>120.51063829787233</v>
      </c>
      <c r="EA132" s="113">
        <f t="shared" si="226"/>
        <v>125.86666666666667</v>
      </c>
      <c r="EB132" s="113">
        <f t="shared" si="226"/>
        <v>117.99999999999999</v>
      </c>
      <c r="EC132" s="113">
        <f t="shared" si="226"/>
        <v>141.6</v>
      </c>
      <c r="EE132" s="160"/>
      <c r="EF132" s="171"/>
      <c r="EG132" s="171"/>
      <c r="EH132" s="171"/>
      <c r="EI132" s="171"/>
      <c r="EJ132" s="171"/>
    </row>
    <row r="133" spans="5:140" ht="15" thickBot="1" x14ac:dyDescent="0.25">
      <c r="E133" s="86" t="s">
        <v>39</v>
      </c>
      <c r="J133" s="96" t="s">
        <v>21</v>
      </c>
      <c r="K133" s="97">
        <v>11</v>
      </c>
      <c r="O133" s="10" t="s">
        <v>29</v>
      </c>
      <c r="W133" s="170" t="s">
        <v>60</v>
      </c>
      <c r="X133" s="171"/>
      <c r="Y133" s="171"/>
      <c r="Z133" s="171"/>
      <c r="AA133" s="171"/>
      <c r="AB133" s="171"/>
      <c r="AG133" s="86" t="s">
        <v>39</v>
      </c>
      <c r="AL133" s="96" t="s">
        <v>21</v>
      </c>
      <c r="AM133" s="97">
        <v>15</v>
      </c>
      <c r="AQ133" s="10" t="s">
        <v>29</v>
      </c>
      <c r="AY133" s="170" t="s">
        <v>72</v>
      </c>
      <c r="AZ133" s="171"/>
      <c r="BA133" s="171"/>
      <c r="BB133" s="171"/>
      <c r="BC133" s="171"/>
      <c r="BD133" s="171"/>
      <c r="BI133" s="86" t="s">
        <v>39</v>
      </c>
      <c r="BN133" s="96" t="s">
        <v>21</v>
      </c>
      <c r="BO133" s="97">
        <v>17</v>
      </c>
      <c r="BS133" s="10" t="s">
        <v>29</v>
      </c>
      <c r="CA133" s="170" t="s">
        <v>90</v>
      </c>
      <c r="CB133" s="171"/>
      <c r="CC133" s="171"/>
      <c r="CD133" s="171"/>
      <c r="CE133" s="171"/>
      <c r="CF133" s="171"/>
      <c r="CK133" s="86" t="s">
        <v>39</v>
      </c>
      <c r="CP133" s="96" t="s">
        <v>21</v>
      </c>
      <c r="CQ133" s="39">
        <v>12</v>
      </c>
      <c r="CU133" s="10" t="s">
        <v>29</v>
      </c>
      <c r="DC133" s="170" t="s">
        <v>105</v>
      </c>
      <c r="DD133" s="171"/>
      <c r="DE133" s="171"/>
      <c r="DF133" s="171"/>
      <c r="DG133" s="171"/>
      <c r="DH133" s="171"/>
      <c r="DM133" s="86" t="s">
        <v>39</v>
      </c>
      <c r="DR133" s="105" t="s">
        <v>21</v>
      </c>
      <c r="DS133" s="117">
        <v>25</v>
      </c>
      <c r="DW133" s="10" t="s">
        <v>29</v>
      </c>
      <c r="EE133" s="170" t="s">
        <v>120</v>
      </c>
      <c r="EF133" s="171"/>
      <c r="EG133" s="171"/>
      <c r="EH133" s="171"/>
      <c r="EI133" s="171"/>
      <c r="EJ133" s="171"/>
    </row>
    <row r="134" spans="5:140" ht="15" thickBot="1" x14ac:dyDescent="0.25">
      <c r="E134" s="86" t="s">
        <v>39</v>
      </c>
      <c r="J134" s="96" t="s">
        <v>7</v>
      </c>
      <c r="K134" s="39">
        <v>12</v>
      </c>
      <c r="L134" s="77" t="s">
        <v>36</v>
      </c>
      <c r="M134" s="78" t="s">
        <v>15</v>
      </c>
      <c r="N134" s="79" t="s">
        <v>37</v>
      </c>
      <c r="O134" s="80" t="s">
        <v>38</v>
      </c>
      <c r="P134" s="10"/>
      <c r="Q134" s="114">
        <f>K114</f>
        <v>0.25</v>
      </c>
      <c r="R134" s="115">
        <f>L114</f>
        <v>0.21</v>
      </c>
      <c r="S134" s="115">
        <f t="shared" ref="S134:T134" si="227">M114</f>
        <v>0.19</v>
      </c>
      <c r="T134" s="115">
        <f t="shared" si="227"/>
        <v>0.24</v>
      </c>
      <c r="U134" s="116">
        <f>O114</f>
        <v>0.11</v>
      </c>
      <c r="V134" s="84">
        <f>SUM(Q134:U134)</f>
        <v>0.99999999999999989</v>
      </c>
      <c r="W134" s="193" t="s">
        <v>37</v>
      </c>
      <c r="X134" s="173" t="s">
        <v>30</v>
      </c>
      <c r="Y134" s="174" t="s">
        <v>31</v>
      </c>
      <c r="Z134" s="174" t="s">
        <v>32</v>
      </c>
      <c r="AA134" s="174" t="s">
        <v>33</v>
      </c>
      <c r="AB134" s="175" t="s">
        <v>34</v>
      </c>
      <c r="AG134" s="86" t="s">
        <v>39</v>
      </c>
      <c r="AL134" s="96" t="s">
        <v>7</v>
      </c>
      <c r="AM134" s="39">
        <v>16</v>
      </c>
      <c r="AN134" s="77" t="s">
        <v>36</v>
      </c>
      <c r="AO134" s="78" t="s">
        <v>15</v>
      </c>
      <c r="AP134" s="79" t="s">
        <v>37</v>
      </c>
      <c r="AQ134" s="80" t="s">
        <v>38</v>
      </c>
      <c r="AR134" s="10"/>
      <c r="AS134" s="114">
        <f>AM114</f>
        <v>5.7142857142857141E-2</v>
      </c>
      <c r="AT134" s="115">
        <f>AN114</f>
        <v>0.35714285714285715</v>
      </c>
      <c r="AU134" s="115">
        <f t="shared" ref="AU134:AV134" si="228">AO114</f>
        <v>0.32857142857142857</v>
      </c>
      <c r="AV134" s="115">
        <f t="shared" si="228"/>
        <v>4.2857142857142858E-2</v>
      </c>
      <c r="AW134" s="116">
        <f>AQ114</f>
        <v>0.21428571428571427</v>
      </c>
      <c r="AX134" s="84">
        <f>SUM(AS134:AW134)</f>
        <v>1</v>
      </c>
      <c r="AY134" s="204" t="s">
        <v>37</v>
      </c>
      <c r="AZ134" s="173" t="s">
        <v>30</v>
      </c>
      <c r="BA134" s="174" t="s">
        <v>31</v>
      </c>
      <c r="BB134" s="174" t="s">
        <v>32</v>
      </c>
      <c r="BC134" s="174" t="s">
        <v>33</v>
      </c>
      <c r="BD134" s="175" t="s">
        <v>34</v>
      </c>
      <c r="BI134" s="86" t="s">
        <v>39</v>
      </c>
      <c r="BN134" s="96" t="s">
        <v>7</v>
      </c>
      <c r="BO134" s="39">
        <v>18</v>
      </c>
      <c r="BP134" s="77" t="s">
        <v>36</v>
      </c>
      <c r="BQ134" s="78" t="s">
        <v>15</v>
      </c>
      <c r="BR134" s="79" t="s">
        <v>37</v>
      </c>
      <c r="BS134" s="80" t="s">
        <v>38</v>
      </c>
      <c r="BT134" s="10"/>
      <c r="BU134" s="114">
        <f>BO114</f>
        <v>0.10909090909090909</v>
      </c>
      <c r="BV134" s="115">
        <f>BP114</f>
        <v>3.6363636363636362E-2</v>
      </c>
      <c r="BW134" s="115">
        <f t="shared" ref="BW134:BX134" si="229">BQ114</f>
        <v>0.45454545454545453</v>
      </c>
      <c r="BX134" s="115">
        <f t="shared" si="229"/>
        <v>9.0909090909090912E-2</v>
      </c>
      <c r="BY134" s="116">
        <f>BS114</f>
        <v>0.30909090909090908</v>
      </c>
      <c r="BZ134" s="84">
        <f>SUM(BU134:BY134)</f>
        <v>1</v>
      </c>
      <c r="CA134" s="198" t="s">
        <v>37</v>
      </c>
      <c r="CB134" s="173" t="s">
        <v>30</v>
      </c>
      <c r="CC134" s="174" t="s">
        <v>31</v>
      </c>
      <c r="CD134" s="174" t="s">
        <v>32</v>
      </c>
      <c r="CE134" s="174" t="s">
        <v>33</v>
      </c>
      <c r="CF134" s="175" t="s">
        <v>34</v>
      </c>
      <c r="CK134" s="86" t="s">
        <v>39</v>
      </c>
      <c r="CP134" s="96" t="s">
        <v>7</v>
      </c>
      <c r="CQ134" s="97">
        <v>13</v>
      </c>
      <c r="CR134" s="77" t="s">
        <v>36</v>
      </c>
      <c r="CS134" s="78" t="s">
        <v>15</v>
      </c>
      <c r="CT134" s="79" t="s">
        <v>37</v>
      </c>
      <c r="CU134" s="80" t="s">
        <v>38</v>
      </c>
      <c r="CV134" s="10"/>
      <c r="CW134" s="114">
        <f>CQ114</f>
        <v>1.2500000000000001E-2</v>
      </c>
      <c r="CX134" s="115">
        <f>CR114</f>
        <v>0.27500000000000002</v>
      </c>
      <c r="CY134" s="115">
        <f t="shared" ref="CY134:CZ134" si="230">CS114</f>
        <v>0.25</v>
      </c>
      <c r="CZ134" s="115">
        <f t="shared" si="230"/>
        <v>0.3125</v>
      </c>
      <c r="DA134" s="116">
        <f>CU114</f>
        <v>0.15</v>
      </c>
      <c r="DB134" s="84">
        <f>SUM(CW134:DA134)</f>
        <v>1</v>
      </c>
      <c r="DC134" s="198" t="s">
        <v>37</v>
      </c>
      <c r="DD134" s="173" t="s">
        <v>30</v>
      </c>
      <c r="DE134" s="174" t="s">
        <v>31</v>
      </c>
      <c r="DF134" s="174" t="s">
        <v>32</v>
      </c>
      <c r="DG134" s="174" t="s">
        <v>33</v>
      </c>
      <c r="DH134" s="175" t="s">
        <v>34</v>
      </c>
      <c r="DM134" s="86" t="s">
        <v>39</v>
      </c>
      <c r="DR134" s="96" t="s">
        <v>7</v>
      </c>
      <c r="DS134" s="103">
        <v>1</v>
      </c>
      <c r="DT134" s="77" t="s">
        <v>36</v>
      </c>
      <c r="DU134" s="153" t="s">
        <v>15</v>
      </c>
      <c r="DV134" s="79" t="s">
        <v>37</v>
      </c>
      <c r="DW134" s="80" t="s">
        <v>38</v>
      </c>
      <c r="DX134" s="10"/>
      <c r="DY134" s="114">
        <f>DS114</f>
        <v>0.2</v>
      </c>
      <c r="DZ134" s="115">
        <f>DT114</f>
        <v>0.14285714285714285</v>
      </c>
      <c r="EA134" s="115">
        <f t="shared" ref="EA134:EB134" si="231">DU114</f>
        <v>0.11428571428571428</v>
      </c>
      <c r="EB134" s="115">
        <f t="shared" si="231"/>
        <v>0.18571428571428572</v>
      </c>
      <c r="EC134" s="116">
        <f>DW114</f>
        <v>0.35714285714285715</v>
      </c>
      <c r="ED134" s="84">
        <f>SUM(DY134:EC134)</f>
        <v>1</v>
      </c>
      <c r="EE134" s="198" t="s">
        <v>37</v>
      </c>
      <c r="EF134" s="173" t="s">
        <v>30</v>
      </c>
      <c r="EG134" s="174" t="s">
        <v>31</v>
      </c>
      <c r="EH134" s="174" t="s">
        <v>32</v>
      </c>
      <c r="EI134" s="174" t="s">
        <v>33</v>
      </c>
      <c r="EJ134" s="175" t="s">
        <v>34</v>
      </c>
    </row>
    <row r="135" spans="5:140" x14ac:dyDescent="0.2">
      <c r="E135" s="86" t="s">
        <v>39</v>
      </c>
      <c r="J135" s="96" t="s">
        <v>13</v>
      </c>
      <c r="K135" s="97">
        <v>13</v>
      </c>
      <c r="L135" s="465">
        <f>L23</f>
        <v>1</v>
      </c>
      <c r="N135" s="88">
        <v>1</v>
      </c>
      <c r="O135" s="89">
        <v>1</v>
      </c>
      <c r="P135" s="90"/>
      <c r="Q135" s="91">
        <f>O135/(L135-Q134)</f>
        <v>1.3333333333333333</v>
      </c>
      <c r="R135" s="92">
        <f>O135/(L135-R134)</f>
        <v>1.2658227848101264</v>
      </c>
      <c r="S135" s="92">
        <f>O135/(L135-S134)</f>
        <v>1.2345679012345678</v>
      </c>
      <c r="T135" s="92">
        <f>O135/(L135-T134)</f>
        <v>1.3157894736842106</v>
      </c>
      <c r="U135" s="93">
        <f>O135/(L135-U134)</f>
        <v>1.1235955056179776</v>
      </c>
      <c r="V135" s="102">
        <f>SUM(Q135:U135)</f>
        <v>6.2731089986802155</v>
      </c>
      <c r="W135" s="88">
        <v>1</v>
      </c>
      <c r="X135" s="385">
        <f>(Q135/V135*100+Q120)*$L135</f>
        <v>29.561411859422762</v>
      </c>
      <c r="Y135" s="386">
        <f>(R135/V135*100+R120)*L135</f>
        <v>29.617949502137066</v>
      </c>
      <c r="Z135" s="386">
        <f>(S135/V135*100+S120)*L135</f>
        <v>29.414694622922312</v>
      </c>
      <c r="AA135" s="386">
        <f>(T135/V135*100+T120)*L135</f>
        <v>30.273584955537984</v>
      </c>
      <c r="AB135" s="387">
        <f>(U135/V135*100+U120)*L135</f>
        <v>25.327968795393719</v>
      </c>
      <c r="AG135" s="86" t="s">
        <v>39</v>
      </c>
      <c r="AL135" s="96" t="s">
        <v>13</v>
      </c>
      <c r="AM135" s="97">
        <v>17</v>
      </c>
      <c r="AN135" s="465">
        <f>AN23</f>
        <v>1</v>
      </c>
      <c r="AP135" s="88">
        <v>1</v>
      </c>
      <c r="AQ135" s="89">
        <v>4</v>
      </c>
      <c r="AR135" s="90"/>
      <c r="AS135" s="91">
        <f>AQ135/(AN135-AS134)</f>
        <v>4.2424242424242422</v>
      </c>
      <c r="AT135" s="92">
        <f>AQ135/(AN135-AT134)</f>
        <v>6.2222222222222232</v>
      </c>
      <c r="AU135" s="92">
        <f>AQ135/(AN135-AU134)</f>
        <v>5.957446808510638</v>
      </c>
      <c r="AV135" s="92">
        <f>AQ135/(AN135-AV134)</f>
        <v>4.1791044776119399</v>
      </c>
      <c r="AW135" s="93">
        <f>AQ135/(AN135-AW134)</f>
        <v>5.0909090909090908</v>
      </c>
      <c r="AX135" s="102">
        <f>SUM(AS135:AW135)</f>
        <v>25.692106841678132</v>
      </c>
      <c r="AY135" s="206">
        <v>1</v>
      </c>
      <c r="AZ135" s="385">
        <f t="shared" ref="AZ135:AZ146" si="232">(AS135/AX135*100+AS120)*AN135</f>
        <v>31.387558773662409</v>
      </c>
      <c r="BA135" s="386">
        <f>(AT135/AX135*100+AT120)*AN135</f>
        <v>31.655919534704868</v>
      </c>
      <c r="BB135" s="386">
        <f>(AU135/AX135*100+AU120)*AN135</f>
        <v>31.121181824008204</v>
      </c>
      <c r="BC135" s="386">
        <f>(AV135/AX135*100+AV120)*AN135</f>
        <v>23.47822388468418</v>
      </c>
      <c r="BD135" s="387">
        <f>(AW135/AX135*100+AW120)*AN135</f>
        <v>29.33507052839489</v>
      </c>
      <c r="BI135" s="86" t="s">
        <v>39</v>
      </c>
      <c r="BN135" s="96" t="s">
        <v>13</v>
      </c>
      <c r="BO135" s="97">
        <v>19</v>
      </c>
      <c r="BP135" s="465">
        <f>BP23</f>
        <v>1</v>
      </c>
      <c r="BR135" s="88">
        <v>1</v>
      </c>
      <c r="BS135" s="95">
        <v>2</v>
      </c>
      <c r="BT135" s="90"/>
      <c r="BU135" s="91">
        <f>BS135/(BP135-BU134)</f>
        <v>2.2448979591836737</v>
      </c>
      <c r="BV135" s="92">
        <f>BS135/(BP135-BV134)</f>
        <v>2.0754716981132075</v>
      </c>
      <c r="BW135" s="92">
        <f>BS135/(BP135-BW134)</f>
        <v>3.666666666666667</v>
      </c>
      <c r="BX135" s="92">
        <f>BS135/(BP135-BX134)</f>
        <v>2.2000000000000002</v>
      </c>
      <c r="BY135" s="93">
        <f>BS135/(BP135-BY134)</f>
        <v>2.8947368421052633</v>
      </c>
      <c r="BZ135" s="102">
        <f>SUM(BU135:BY135)</f>
        <v>13.081773166068812</v>
      </c>
      <c r="CA135" s="210">
        <v>1</v>
      </c>
      <c r="CB135" s="385">
        <f t="shared" ref="CB135:CB146" si="233">(BU135/BZ135*100+BU120)*BP135</f>
        <v>29.99383543565105</v>
      </c>
      <c r="CC135" s="386">
        <f>(BV135/BZ135*100+BV120)*BP135</f>
        <v>23.565369868180532</v>
      </c>
      <c r="CD135" s="386">
        <f>(BW135/BZ135*100+BW120)*BP135</f>
        <v>36.134083258347005</v>
      </c>
      <c r="CE135" s="386">
        <f>(BX135/BZ135*100+BX120)*BP135</f>
        <v>24.329487182222582</v>
      </c>
      <c r="CF135" s="387">
        <f>(BY135/BZ135*100+BY120)*BP135</f>
        <v>31.461349202111442</v>
      </c>
      <c r="CK135" s="86" t="s">
        <v>39</v>
      </c>
      <c r="CP135" s="96" t="s">
        <v>13</v>
      </c>
      <c r="CQ135" s="39">
        <v>14</v>
      </c>
      <c r="CR135" s="465">
        <f>CR23</f>
        <v>1</v>
      </c>
      <c r="CT135" s="88">
        <v>1</v>
      </c>
      <c r="CU135" s="95">
        <v>8</v>
      </c>
      <c r="CV135" s="90"/>
      <c r="CW135" s="91">
        <f>CU135/(CR135-CW134)</f>
        <v>8.1012658227848089</v>
      </c>
      <c r="CX135" s="92">
        <f>CU135/(CR135-CX134)</f>
        <v>11.03448275862069</v>
      </c>
      <c r="CY135" s="92">
        <f>CU135/(CR135-CY134)</f>
        <v>10.666666666666666</v>
      </c>
      <c r="CZ135" s="92">
        <f>CU135/(CR135-CZ134)</f>
        <v>11.636363636363637</v>
      </c>
      <c r="DA135" s="93">
        <f>CU135/(CR135-DA134)</f>
        <v>9.4117647058823533</v>
      </c>
      <c r="DB135" s="102">
        <f>SUM(CW135:DA135)</f>
        <v>50.850543590318161</v>
      </c>
      <c r="DC135" s="210">
        <v>1</v>
      </c>
      <c r="DD135" s="385">
        <f t="shared" ref="DD135:DD146" si="234">(CW135/DB135*100+CW120)*CR135</f>
        <v>24.875967002105508</v>
      </c>
      <c r="DE135" s="386">
        <f>(CX135/DB135*100+CX120)*CR135</f>
        <v>32.433165782561332</v>
      </c>
      <c r="DF135" s="386">
        <f>(CY135/DB135*100+CY120)*CR135</f>
        <v>28.079445877390988</v>
      </c>
      <c r="DG135" s="386">
        <f>(CZ135/DB135*100+CZ120)*CR135</f>
        <v>33.383459673731345</v>
      </c>
      <c r="DH135" s="387">
        <f>(DA135/DB135*100+DA120)*CR135</f>
        <v>26.175347285125845</v>
      </c>
      <c r="DM135" s="86" t="s">
        <v>39</v>
      </c>
      <c r="DR135" s="96" t="s">
        <v>13</v>
      </c>
      <c r="DS135" s="101">
        <v>2</v>
      </c>
      <c r="DT135" s="465">
        <f>DT23</f>
        <v>1</v>
      </c>
      <c r="DV135" s="88">
        <v>1</v>
      </c>
      <c r="DW135" s="95">
        <v>5</v>
      </c>
      <c r="DX135" s="90"/>
      <c r="DY135" s="91">
        <f>DW135/(DT135-DY134)</f>
        <v>6.25</v>
      </c>
      <c r="DZ135" s="92">
        <f>DW135/(DT135-DZ134)</f>
        <v>5.833333333333333</v>
      </c>
      <c r="EA135" s="92">
        <f>DW135/(DT135-EA134)</f>
        <v>5.645161290322581</v>
      </c>
      <c r="EB135" s="92">
        <f>DW135/(DT135-EB134)</f>
        <v>6.1403508771929829</v>
      </c>
      <c r="EC135" s="93">
        <f>DW135/(DT135-EC134)</f>
        <v>7.7777777777777786</v>
      </c>
      <c r="ED135" s="102">
        <f>SUM(DY135:EC135)</f>
        <v>31.646623278626674</v>
      </c>
      <c r="EE135" s="210">
        <v>1</v>
      </c>
      <c r="EF135" s="24">
        <f>DY135/ED135*100+DY120</f>
        <v>27.124342433703159</v>
      </c>
      <c r="EG135" s="25">
        <f>DZ135/ED135*100+DZ120</f>
        <v>27.219953647342805</v>
      </c>
      <c r="EH135" s="25">
        <f>EA135/ED135*100+EA120</f>
        <v>27.015893524348378</v>
      </c>
      <c r="EI135" s="25">
        <f>EB135/ED135*100+EB120</f>
        <v>28.007029408550473</v>
      </c>
      <c r="EJ135" s="26">
        <f>EC135/ED135*100+EC120</f>
        <v>34.901959473052827</v>
      </c>
    </row>
    <row r="136" spans="5:140" x14ac:dyDescent="0.2">
      <c r="E136" s="86" t="s">
        <v>39</v>
      </c>
      <c r="J136" s="96" t="s">
        <v>1</v>
      </c>
      <c r="K136" s="39">
        <v>14</v>
      </c>
      <c r="L136" s="465">
        <f>L135</f>
        <v>1</v>
      </c>
      <c r="N136" s="88">
        <v>2</v>
      </c>
      <c r="O136" s="95">
        <v>4</v>
      </c>
      <c r="P136" s="90"/>
      <c r="Q136" s="99">
        <f>O136/(L136-Q134)</f>
        <v>5.333333333333333</v>
      </c>
      <c r="R136" s="100">
        <f>O136/(L136-R134)</f>
        <v>5.0632911392405058</v>
      </c>
      <c r="S136" s="100">
        <f>O136/(L136-S134)</f>
        <v>4.9382716049382713</v>
      </c>
      <c r="T136" s="100">
        <f>O136/(L136-T134)</f>
        <v>5.2631578947368425</v>
      </c>
      <c r="U136" s="100">
        <f>O136/(L136-U134)</f>
        <v>4.4943820224719104</v>
      </c>
      <c r="V136" s="102">
        <f t="shared" ref="V136:V146" si="235">SUM(Q136:U136)</f>
        <v>25.092435994720862</v>
      </c>
      <c r="W136" s="88">
        <v>2</v>
      </c>
      <c r="X136" s="32">
        <f t="shared" ref="X136:X146" si="236">(Q136/V136*100+Q121)*$L136</f>
        <v>30.748078526089429</v>
      </c>
      <c r="Y136" s="38">
        <f t="shared" ref="Y136:Y146" si="237">(R136/V136*100+R121)*L136</f>
        <v>30.966434350621917</v>
      </c>
      <c r="Z136" s="38">
        <f t="shared" ref="Z136:Z146" si="238">(S136/V136*100+S121)*L136</f>
        <v>30.805319622922312</v>
      </c>
      <c r="AA136" s="38">
        <f t="shared" ref="AA136:AA146" si="239">(T136/V136*100+T121)*L136</f>
        <v>31.601943164493207</v>
      </c>
      <c r="AB136" s="39">
        <f t="shared" ref="AB136:AB146" si="240">(U136/V136*100+U121)*L136</f>
        <v>26.387492604917526</v>
      </c>
      <c r="AG136" s="86" t="s">
        <v>39</v>
      </c>
      <c r="AL136" s="96" t="s">
        <v>1</v>
      </c>
      <c r="AM136" s="39">
        <v>18</v>
      </c>
      <c r="AN136" s="465">
        <f>AN135</f>
        <v>1</v>
      </c>
      <c r="AP136" s="88">
        <v>2</v>
      </c>
      <c r="AQ136" s="95">
        <v>2</v>
      </c>
      <c r="AR136" s="90"/>
      <c r="AS136" s="99">
        <f>AQ136/(AN136-AS134)</f>
        <v>2.1212121212121211</v>
      </c>
      <c r="AT136" s="100">
        <f>AQ136/(AN136-AT134)</f>
        <v>3.1111111111111116</v>
      </c>
      <c r="AU136" s="100">
        <f>AQ136/(AN136-AU134)</f>
        <v>2.978723404255319</v>
      </c>
      <c r="AV136" s="100">
        <f>AQ136/(AN136-AV134)</f>
        <v>2.08955223880597</v>
      </c>
      <c r="AW136" s="100">
        <f>AQ136/(AN136-AW134)</f>
        <v>2.5454545454545454</v>
      </c>
      <c r="AX136" s="102">
        <f t="shared" ref="AX136:AX146" si="241">SUM(AS136:AW136)</f>
        <v>12.846053420839066</v>
      </c>
      <c r="AY136" s="98">
        <v>2</v>
      </c>
      <c r="AZ136" s="32">
        <f t="shared" si="232"/>
        <v>33.512558773662406</v>
      </c>
      <c r="BA136" s="38">
        <f t="shared" ref="BA136:BA146" si="242">(AT136/AX136*100+AT121)*AN136</f>
        <v>32.718419534704864</v>
      </c>
      <c r="BB136" s="38">
        <f t="shared" ref="BB136:BB146" si="243">(AU136/AX136*100+AU121)*AN136</f>
        <v>32.254515157341537</v>
      </c>
      <c r="BC136" s="38">
        <f t="shared" ref="BC136:BC146" si="244">(AV136/AX136*100+AV121)*AN136</f>
        <v>24.508526914987211</v>
      </c>
      <c r="BD136" s="39">
        <f t="shared" ref="BD136:BD146" si="245">(AW136/AX136*100+AW121)*AN136</f>
        <v>30.69507052839489</v>
      </c>
      <c r="BI136" s="86" t="s">
        <v>39</v>
      </c>
      <c r="BN136" s="96" t="s">
        <v>1</v>
      </c>
      <c r="BO136" s="39">
        <v>20</v>
      </c>
      <c r="BP136" s="465">
        <f>BP135</f>
        <v>1</v>
      </c>
      <c r="BR136" s="88">
        <v>2</v>
      </c>
      <c r="BS136" s="95">
        <v>8</v>
      </c>
      <c r="BT136" s="90"/>
      <c r="BU136" s="99">
        <f>BS136/(BP136-BU134)</f>
        <v>8.979591836734695</v>
      </c>
      <c r="BV136" s="100">
        <f>BS136/(BP136-BV134)</f>
        <v>8.3018867924528301</v>
      </c>
      <c r="BW136" s="100">
        <f>BS136/(BP136-BW134)</f>
        <v>14.666666666666668</v>
      </c>
      <c r="BX136" s="100">
        <f>BS136/(BP136-BX134)</f>
        <v>8.8000000000000007</v>
      </c>
      <c r="BY136" s="100">
        <f>BS136/(BP136-BY134)</f>
        <v>11.578947368421053</v>
      </c>
      <c r="BZ136" s="102">
        <f t="shared" ref="BZ136:BZ146" si="246">SUM(BU136:BY136)</f>
        <v>52.327092664275249</v>
      </c>
      <c r="CA136" s="211">
        <v>2</v>
      </c>
      <c r="CB136" s="32">
        <f t="shared" si="233"/>
        <v>31.827168768984386</v>
      </c>
      <c r="CC136" s="38">
        <f t="shared" ref="CC136:CC146" si="247">(BV136/BZ136*100+BV121)*BP136</f>
        <v>24.665369868180534</v>
      </c>
      <c r="CD136" s="38">
        <f t="shared" ref="CD136:CD146" si="248">(BW136/BZ136*100+BW121)*BP136</f>
        <v>37.291977995189114</v>
      </c>
      <c r="CE136" s="38">
        <f t="shared" ref="CE136:CE146" si="249">(BX136/BZ136*100+BX121)*BP136</f>
        <v>25.4026579139299</v>
      </c>
      <c r="CF136" s="39">
        <f t="shared" ref="CF136:CF146" si="250">(BY136/BZ136*100+BY121)*BP136</f>
        <v>32.794682535444778</v>
      </c>
      <c r="CK136" s="86" t="s">
        <v>39</v>
      </c>
      <c r="CP136" s="96" t="s">
        <v>1</v>
      </c>
      <c r="CQ136" s="97">
        <v>15</v>
      </c>
      <c r="CR136" s="465">
        <f>CR135</f>
        <v>1</v>
      </c>
      <c r="CT136" s="88">
        <v>2</v>
      </c>
      <c r="CU136" s="95">
        <v>5</v>
      </c>
      <c r="CV136" s="90"/>
      <c r="CW136" s="99">
        <f>CU136/(CR136-CW134)</f>
        <v>5.0632911392405058</v>
      </c>
      <c r="CX136" s="100">
        <f>CU136/(CR136-CX134)</f>
        <v>6.8965517241379315</v>
      </c>
      <c r="CY136" s="100">
        <f>CU136/(CR136-CY134)</f>
        <v>6.666666666666667</v>
      </c>
      <c r="CZ136" s="100">
        <f>CU136/(CR136-CZ134)</f>
        <v>7.2727272727272725</v>
      </c>
      <c r="DA136" s="100">
        <f>CU136/(CR136-DA134)</f>
        <v>5.882352941176471</v>
      </c>
      <c r="DB136" s="102">
        <f t="shared" ref="DB136:DB146" si="251">SUM(CW136:DA136)</f>
        <v>31.78158974394885</v>
      </c>
      <c r="DC136" s="211">
        <v>2</v>
      </c>
      <c r="DD136" s="32">
        <f t="shared" si="234"/>
        <v>26.153744779883283</v>
      </c>
      <c r="DE136" s="38">
        <f t="shared" ref="DE136:DE146" si="252">(CX136/DB136*100+CX121)*CR136</f>
        <v>33.966499115894671</v>
      </c>
      <c r="DF136" s="38">
        <f t="shared" ref="DF136:DF146" si="253">(CY136/DB136*100+CY121)*CR136</f>
        <v>29.094151759743934</v>
      </c>
      <c r="DG136" s="38">
        <f t="shared" ref="DG136:DG146" si="254">(CZ136/DB136*100+CZ121)*CR136</f>
        <v>34.883459673731345</v>
      </c>
      <c r="DH136" s="39">
        <f t="shared" ref="DH136:DH146" si="255">(DA136/DB136*100+DA121)*CR136</f>
        <v>27.27058538036394</v>
      </c>
      <c r="DM136" s="86" t="s">
        <v>39</v>
      </c>
      <c r="DR136" s="96" t="s">
        <v>1</v>
      </c>
      <c r="DS136" s="103">
        <v>3</v>
      </c>
      <c r="DT136" s="465">
        <f>DT135</f>
        <v>1</v>
      </c>
      <c r="DV136" s="88">
        <v>2</v>
      </c>
      <c r="DW136" s="95">
        <v>7</v>
      </c>
      <c r="DX136" s="90"/>
      <c r="DY136" s="99">
        <f>DW136/(DT136-DY134)</f>
        <v>8.75</v>
      </c>
      <c r="DZ136" s="100">
        <f>DW136/(DT136-DZ134)</f>
        <v>8.1666666666666661</v>
      </c>
      <c r="EA136" s="100">
        <f>DW136/(DT136-EA134)</f>
        <v>7.903225806451613</v>
      </c>
      <c r="EB136" s="100">
        <f>DW136/(DT136-EB134)</f>
        <v>8.5964912280701746</v>
      </c>
      <c r="EC136" s="100">
        <f>DW136/(DT136-EC134)</f>
        <v>10.888888888888889</v>
      </c>
      <c r="ED136" s="102">
        <f t="shared" ref="ED136:ED146" si="256">SUM(DY136:EC136)</f>
        <v>44.305272590077337</v>
      </c>
      <c r="EE136" s="211">
        <v>2</v>
      </c>
      <c r="EF136" s="32">
        <f t="shared" ref="EF136:EF146" si="257">DY136/ED136*100+DY121</f>
        <v>28.177913862274593</v>
      </c>
      <c r="EG136" s="38">
        <f t="shared" ref="EG136:EG146" si="258">DZ136/ED136*100+DZ121</f>
        <v>28.475272796278979</v>
      </c>
      <c r="EH136" s="38">
        <f t="shared" ref="EH136:EH146" si="259">EA136/ED136*100+EA121</f>
        <v>28.327004635459488</v>
      </c>
      <c r="EI136" s="38">
        <f t="shared" ref="EI136:EI146" si="260">EB136/ED136*100+EB121</f>
        <v>29.236196075217141</v>
      </c>
      <c r="EJ136" s="39">
        <f t="shared" ref="EJ136:EJ146" si="261">EC136/ED136*100+EC121</f>
        <v>36.376959473052821</v>
      </c>
    </row>
    <row r="137" spans="5:140" x14ac:dyDescent="0.2">
      <c r="E137" s="86" t="s">
        <v>39</v>
      </c>
      <c r="J137" s="96" t="s">
        <v>4</v>
      </c>
      <c r="K137" s="97">
        <v>15</v>
      </c>
      <c r="L137" s="465">
        <f t="shared" ref="L137:L146" si="262">L136</f>
        <v>1</v>
      </c>
      <c r="N137" s="88">
        <v>3</v>
      </c>
      <c r="O137" s="95">
        <v>2</v>
      </c>
      <c r="P137" s="90"/>
      <c r="Q137" s="99">
        <f>O137/(L137-Q134)</f>
        <v>2.6666666666666665</v>
      </c>
      <c r="R137" s="100">
        <f>O137/(L137-R134)</f>
        <v>2.5316455696202529</v>
      </c>
      <c r="S137" s="100">
        <f>O137/(L137-S134)</f>
        <v>2.4691358024691357</v>
      </c>
      <c r="T137" s="100">
        <f>O137/(L137-T134)</f>
        <v>2.6315789473684212</v>
      </c>
      <c r="U137" s="100">
        <f>O137/(L137-U134)</f>
        <v>2.2471910112359552</v>
      </c>
      <c r="V137" s="102">
        <f t="shared" si="235"/>
        <v>12.546217997360431</v>
      </c>
      <c r="W137" s="88">
        <v>3</v>
      </c>
      <c r="X137" s="32">
        <f t="shared" si="236"/>
        <v>31.934745192756097</v>
      </c>
      <c r="Y137" s="38">
        <f t="shared" si="237"/>
        <v>32.314919199106761</v>
      </c>
      <c r="Z137" s="38">
        <f t="shared" si="238"/>
        <v>32.195944622922312</v>
      </c>
      <c r="AA137" s="38">
        <f t="shared" si="239"/>
        <v>32.93030137344843</v>
      </c>
      <c r="AB137" s="39">
        <f t="shared" si="240"/>
        <v>27.447016414441336</v>
      </c>
      <c r="AG137" s="86" t="s">
        <v>39</v>
      </c>
      <c r="AL137" s="96" t="s">
        <v>4</v>
      </c>
      <c r="AM137" s="97">
        <v>19</v>
      </c>
      <c r="AN137" s="465">
        <f t="shared" ref="AN137:AN146" si="263">AN136</f>
        <v>1</v>
      </c>
      <c r="AP137" s="88">
        <v>3</v>
      </c>
      <c r="AQ137" s="95">
        <v>8</v>
      </c>
      <c r="AR137" s="90"/>
      <c r="AS137" s="99">
        <f>AQ137/(AN137-AS134)</f>
        <v>8.4848484848484844</v>
      </c>
      <c r="AT137" s="100">
        <f>AQ137/(AN137-AT134)</f>
        <v>12.444444444444446</v>
      </c>
      <c r="AU137" s="100">
        <f>AQ137/(AN137-AU134)</f>
        <v>11.914893617021276</v>
      </c>
      <c r="AV137" s="100">
        <f>AQ137/(AN137-AV134)</f>
        <v>8.3582089552238799</v>
      </c>
      <c r="AW137" s="100">
        <f>AQ137/(AN137-AW134)</f>
        <v>10.181818181818182</v>
      </c>
      <c r="AX137" s="102">
        <f t="shared" si="241"/>
        <v>51.384213683356265</v>
      </c>
      <c r="AY137" s="98">
        <v>3</v>
      </c>
      <c r="AZ137" s="32">
        <f t="shared" si="232"/>
        <v>35.637558773662406</v>
      </c>
      <c r="BA137" s="38">
        <f t="shared" si="242"/>
        <v>33.780919534704864</v>
      </c>
      <c r="BB137" s="38">
        <f t="shared" si="243"/>
        <v>33.38784849067487</v>
      </c>
      <c r="BC137" s="38">
        <f t="shared" si="244"/>
        <v>25.538829945290242</v>
      </c>
      <c r="BD137" s="39">
        <f t="shared" si="245"/>
        <v>32.055070528394893</v>
      </c>
      <c r="BI137" s="86" t="s">
        <v>39</v>
      </c>
      <c r="BN137" s="96" t="s">
        <v>4</v>
      </c>
      <c r="BO137" s="97">
        <v>21</v>
      </c>
      <c r="BP137" s="465">
        <f t="shared" ref="BP137:BP146" si="264">BP136</f>
        <v>1</v>
      </c>
      <c r="BR137" s="88">
        <v>3</v>
      </c>
      <c r="BS137" s="95">
        <v>5</v>
      </c>
      <c r="BT137" s="90"/>
      <c r="BU137" s="99">
        <f>BS137/(BP137-BU134)</f>
        <v>5.6122448979591839</v>
      </c>
      <c r="BV137" s="100">
        <f>BS137/(BP137-BV134)</f>
        <v>5.1886792452830193</v>
      </c>
      <c r="BW137" s="100">
        <f>BS137/(BP137-BW134)</f>
        <v>9.1666666666666679</v>
      </c>
      <c r="BX137" s="100">
        <f>BS137/(BP137-BX134)</f>
        <v>5.5</v>
      </c>
      <c r="BY137" s="100">
        <f>BS137/(BP137-BY134)</f>
        <v>7.2368421052631575</v>
      </c>
      <c r="BZ137" s="102">
        <f t="shared" si="246"/>
        <v>32.704432915172028</v>
      </c>
      <c r="CA137" s="211">
        <v>3</v>
      </c>
      <c r="CB137" s="32">
        <f t="shared" si="233"/>
        <v>33.660502102317722</v>
      </c>
      <c r="CC137" s="38">
        <f t="shared" si="247"/>
        <v>25.765369868180535</v>
      </c>
      <c r="CD137" s="38">
        <f t="shared" si="248"/>
        <v>38.449872732031224</v>
      </c>
      <c r="CE137" s="38">
        <f t="shared" si="249"/>
        <v>26.475828645637215</v>
      </c>
      <c r="CF137" s="39">
        <f t="shared" si="250"/>
        <v>34.128015868778107</v>
      </c>
      <c r="CK137" s="86" t="s">
        <v>39</v>
      </c>
      <c r="CP137" s="96" t="s">
        <v>4</v>
      </c>
      <c r="CQ137" s="39">
        <v>16</v>
      </c>
      <c r="CR137" s="465">
        <f t="shared" ref="CR137:CR146" si="265">CR136</f>
        <v>1</v>
      </c>
      <c r="CT137" s="88">
        <v>3</v>
      </c>
      <c r="CU137" s="95">
        <v>7</v>
      </c>
      <c r="CV137" s="90"/>
      <c r="CW137" s="99">
        <f>CU137/(CR137-CW134)</f>
        <v>7.0886075949367084</v>
      </c>
      <c r="CX137" s="100">
        <f>CU137/(CR137-CX134)</f>
        <v>9.6551724137931032</v>
      </c>
      <c r="CY137" s="100">
        <f>CU137/(CR137-CY134)</f>
        <v>9.3333333333333339</v>
      </c>
      <c r="CZ137" s="100">
        <f>CU137/(CR137-CZ134)</f>
        <v>10.181818181818182</v>
      </c>
      <c r="DA137" s="100">
        <f>CU137/(CR137-DA134)</f>
        <v>8.2352941176470598</v>
      </c>
      <c r="DB137" s="102">
        <f t="shared" si="251"/>
        <v>44.494225641528381</v>
      </c>
      <c r="DC137" s="211">
        <v>3</v>
      </c>
      <c r="DD137" s="32">
        <f t="shared" si="234"/>
        <v>27.431522557661069</v>
      </c>
      <c r="DE137" s="38">
        <f t="shared" si="252"/>
        <v>35.499832449228002</v>
      </c>
      <c r="DF137" s="38">
        <f t="shared" si="253"/>
        <v>30.108857642096879</v>
      </c>
      <c r="DG137" s="38">
        <f t="shared" si="254"/>
        <v>36.383459673731352</v>
      </c>
      <c r="DH137" s="39">
        <f t="shared" si="255"/>
        <v>28.365823475602042</v>
      </c>
      <c r="DM137" s="86" t="s">
        <v>39</v>
      </c>
      <c r="DR137" s="96" t="s">
        <v>4</v>
      </c>
      <c r="DS137" s="101">
        <v>4</v>
      </c>
      <c r="DT137" s="465">
        <f t="shared" ref="DT137:DT146" si="266">DT136</f>
        <v>1</v>
      </c>
      <c r="DV137" s="88">
        <v>3</v>
      </c>
      <c r="DW137" s="95">
        <v>1</v>
      </c>
      <c r="DX137" s="90"/>
      <c r="DY137" s="99">
        <f>DW137/(DT137-DY134)</f>
        <v>1.25</v>
      </c>
      <c r="DZ137" s="100">
        <f>DW137/(DT137-DZ134)</f>
        <v>1.1666666666666665</v>
      </c>
      <c r="EA137" s="100">
        <f>DW137/(DT137-EA134)</f>
        <v>1.1290322580645162</v>
      </c>
      <c r="EB137" s="100">
        <f>DW137/(DT137-EB134)</f>
        <v>1.2280701754385965</v>
      </c>
      <c r="EC137" s="100">
        <f>DW137/(DT137-EC134)</f>
        <v>1.5555555555555558</v>
      </c>
      <c r="ED137" s="102">
        <f t="shared" si="256"/>
        <v>6.3293246557253351</v>
      </c>
      <c r="EE137" s="211">
        <v>3</v>
      </c>
      <c r="EF137" s="32">
        <f t="shared" si="257"/>
        <v>29.231485290846017</v>
      </c>
      <c r="EG137" s="38">
        <f t="shared" si="258"/>
        <v>29.730591945215146</v>
      </c>
      <c r="EH137" s="38">
        <f t="shared" si="259"/>
        <v>29.638115746570598</v>
      </c>
      <c r="EI137" s="38">
        <f t="shared" si="260"/>
        <v>30.465362741883805</v>
      </c>
      <c r="EJ137" s="39">
        <f t="shared" si="261"/>
        <v>37.851959473052823</v>
      </c>
    </row>
    <row r="138" spans="5:140" x14ac:dyDescent="0.2">
      <c r="E138" s="86" t="s">
        <v>39</v>
      </c>
      <c r="J138" s="96" t="s">
        <v>10</v>
      </c>
      <c r="K138" s="39">
        <v>16</v>
      </c>
      <c r="L138" s="465">
        <f t="shared" si="262"/>
        <v>1</v>
      </c>
      <c r="N138" s="88">
        <v>4</v>
      </c>
      <c r="O138" s="95">
        <v>8</v>
      </c>
      <c r="P138" s="90"/>
      <c r="Q138" s="99">
        <f>O138/(L138-Q134)</f>
        <v>10.666666666666666</v>
      </c>
      <c r="R138" s="100">
        <f>O138/(L138-R134)</f>
        <v>10.126582278481012</v>
      </c>
      <c r="S138" s="100">
        <f>O138/(L138-S134)</f>
        <v>9.8765432098765427</v>
      </c>
      <c r="T138" s="104">
        <f>O138/(L138-T134)</f>
        <v>10.526315789473685</v>
      </c>
      <c r="U138" s="100">
        <f>O138/(L138-U134)</f>
        <v>8.9887640449438209</v>
      </c>
      <c r="V138" s="102">
        <f t="shared" si="235"/>
        <v>50.184871989441724</v>
      </c>
      <c r="W138" s="88">
        <v>4</v>
      </c>
      <c r="X138" s="32">
        <f t="shared" si="236"/>
        <v>31.934745192756097</v>
      </c>
      <c r="Y138" s="38">
        <f t="shared" si="237"/>
        <v>32.314919199106761</v>
      </c>
      <c r="Z138" s="38">
        <f t="shared" si="238"/>
        <v>32.195944622922312</v>
      </c>
      <c r="AA138" s="38">
        <f t="shared" si="239"/>
        <v>32.93030137344843</v>
      </c>
      <c r="AB138" s="39">
        <f t="shared" si="240"/>
        <v>27.447016414441336</v>
      </c>
      <c r="AG138" s="86" t="s">
        <v>39</v>
      </c>
      <c r="AL138" s="96" t="s">
        <v>10</v>
      </c>
      <c r="AM138" s="39">
        <v>20</v>
      </c>
      <c r="AN138" s="465">
        <f t="shared" si="263"/>
        <v>1</v>
      </c>
      <c r="AP138" s="88">
        <v>4</v>
      </c>
      <c r="AQ138" s="95">
        <v>5</v>
      </c>
      <c r="AR138" s="90"/>
      <c r="AS138" s="99">
        <f>AQ138/(AN138-AS134)</f>
        <v>5.3030303030303028</v>
      </c>
      <c r="AT138" s="100">
        <f>AQ138/(AN138-AT134)</f>
        <v>7.7777777777777786</v>
      </c>
      <c r="AU138" s="100">
        <f>AQ138/(AN138-AU134)</f>
        <v>7.4468085106382969</v>
      </c>
      <c r="AV138" s="104">
        <f>AQ138/(AN138-AV134)</f>
        <v>5.2238805970149249</v>
      </c>
      <c r="AW138" s="100">
        <f>AQ138/(AN138-AW134)</f>
        <v>6.3636363636363642</v>
      </c>
      <c r="AX138" s="102">
        <f t="shared" si="241"/>
        <v>32.115133552097667</v>
      </c>
      <c r="AY138" s="98">
        <v>4</v>
      </c>
      <c r="AZ138" s="32">
        <f t="shared" si="232"/>
        <v>35.637558773662406</v>
      </c>
      <c r="BA138" s="38">
        <f t="shared" si="242"/>
        <v>33.780919534704864</v>
      </c>
      <c r="BB138" s="38">
        <f t="shared" si="243"/>
        <v>33.38784849067487</v>
      </c>
      <c r="BC138" s="38">
        <f t="shared" si="244"/>
        <v>25.538829945290242</v>
      </c>
      <c r="BD138" s="39">
        <f t="shared" si="245"/>
        <v>32.055070528394893</v>
      </c>
      <c r="BI138" s="86" t="s">
        <v>39</v>
      </c>
      <c r="BN138" s="96" t="s">
        <v>10</v>
      </c>
      <c r="BO138" s="39">
        <v>22</v>
      </c>
      <c r="BP138" s="465">
        <f t="shared" si="264"/>
        <v>1</v>
      </c>
      <c r="BR138" s="88">
        <v>4</v>
      </c>
      <c r="BS138" s="95">
        <v>7</v>
      </c>
      <c r="BT138" s="90"/>
      <c r="BU138" s="99">
        <f>BS138/(BP138-BU134)</f>
        <v>7.8571428571428577</v>
      </c>
      <c r="BV138" s="100">
        <f>BS138/(BP138-BV134)</f>
        <v>7.2641509433962268</v>
      </c>
      <c r="BW138" s="100">
        <f>BS138/(BP138-BW134)</f>
        <v>12.833333333333334</v>
      </c>
      <c r="BX138" s="104">
        <f>BS138/(BP138-BX134)</f>
        <v>7.7</v>
      </c>
      <c r="BY138" s="100">
        <f>BS138/(BP138-BY134)</f>
        <v>10.131578947368421</v>
      </c>
      <c r="BZ138" s="102">
        <f t="shared" si="246"/>
        <v>45.786206081240849</v>
      </c>
      <c r="CA138" s="211">
        <v>4</v>
      </c>
      <c r="CB138" s="32">
        <f t="shared" si="233"/>
        <v>33.660502102317714</v>
      </c>
      <c r="CC138" s="38">
        <f t="shared" si="247"/>
        <v>25.765369868180528</v>
      </c>
      <c r="CD138" s="38">
        <f t="shared" si="248"/>
        <v>38.449872732031217</v>
      </c>
      <c r="CE138" s="38">
        <f t="shared" si="249"/>
        <v>26.475828645637215</v>
      </c>
      <c r="CF138" s="39">
        <f t="shared" si="250"/>
        <v>34.128015868778107</v>
      </c>
      <c r="CK138" s="86" t="s">
        <v>39</v>
      </c>
      <c r="CP138" s="96" t="s">
        <v>10</v>
      </c>
      <c r="CQ138" s="97">
        <v>17</v>
      </c>
      <c r="CR138" s="465">
        <f t="shared" si="265"/>
        <v>1</v>
      </c>
      <c r="CT138" s="88">
        <v>4</v>
      </c>
      <c r="CU138" s="95">
        <v>1</v>
      </c>
      <c r="CV138" s="90"/>
      <c r="CW138" s="99">
        <f>CU138/(CR138-CW134)</f>
        <v>1.0126582278481011</v>
      </c>
      <c r="CX138" s="100">
        <f>CU138/(CR138-CX134)</f>
        <v>1.3793103448275863</v>
      </c>
      <c r="CY138" s="100">
        <f>CU138/(CR138-CY134)</f>
        <v>1.3333333333333333</v>
      </c>
      <c r="CZ138" s="104">
        <f>CU138/(CR138-CZ134)</f>
        <v>1.4545454545454546</v>
      </c>
      <c r="DA138" s="100">
        <f>CU138/(CR138-DA134)</f>
        <v>1.1764705882352942</v>
      </c>
      <c r="DB138" s="102">
        <f t="shared" si="251"/>
        <v>6.3563179487897701</v>
      </c>
      <c r="DC138" s="211">
        <v>4</v>
      </c>
      <c r="DD138" s="32">
        <f t="shared" si="234"/>
        <v>27.431522557661062</v>
      </c>
      <c r="DE138" s="38">
        <f t="shared" si="252"/>
        <v>35.499832449228002</v>
      </c>
      <c r="DF138" s="38">
        <f t="shared" si="253"/>
        <v>30.108857642096872</v>
      </c>
      <c r="DG138" s="38">
        <f t="shared" si="254"/>
        <v>36.383459673731345</v>
      </c>
      <c r="DH138" s="39">
        <f t="shared" si="255"/>
        <v>28.365823475602035</v>
      </c>
      <c r="DM138" s="86" t="s">
        <v>39</v>
      </c>
      <c r="DR138" s="96" t="s">
        <v>10</v>
      </c>
      <c r="DS138" s="103">
        <v>5</v>
      </c>
      <c r="DT138" s="465">
        <f t="shared" si="266"/>
        <v>1</v>
      </c>
      <c r="DV138" s="88">
        <v>4</v>
      </c>
      <c r="DW138" s="95">
        <v>4</v>
      </c>
      <c r="DX138" s="90"/>
      <c r="DY138" s="99">
        <f>DW138/(DT138-DY134)</f>
        <v>5</v>
      </c>
      <c r="DZ138" s="100">
        <f>DW138/(DT138-DZ134)</f>
        <v>4.6666666666666661</v>
      </c>
      <c r="EA138" s="100">
        <f>DW138/(DT138-EA134)</f>
        <v>4.5161290322580649</v>
      </c>
      <c r="EB138" s="104">
        <f>DW138/(DT138-EB134)</f>
        <v>4.9122807017543861</v>
      </c>
      <c r="EC138" s="100">
        <f>DW138/(DT138-EC134)</f>
        <v>6.2222222222222232</v>
      </c>
      <c r="ED138" s="102">
        <f t="shared" si="256"/>
        <v>25.31729862290134</v>
      </c>
      <c r="EE138" s="211">
        <v>4</v>
      </c>
      <c r="EF138" s="32">
        <f t="shared" si="257"/>
        <v>29.231485290846017</v>
      </c>
      <c r="EG138" s="38">
        <f t="shared" si="258"/>
        <v>29.730591945215146</v>
      </c>
      <c r="EH138" s="38">
        <f t="shared" si="259"/>
        <v>29.638115746570598</v>
      </c>
      <c r="EI138" s="38">
        <f t="shared" si="260"/>
        <v>30.465362741883805</v>
      </c>
      <c r="EJ138" s="39">
        <f t="shared" si="261"/>
        <v>37.851959473052823</v>
      </c>
    </row>
    <row r="139" spans="5:140" x14ac:dyDescent="0.2">
      <c r="E139" s="86" t="s">
        <v>39</v>
      </c>
      <c r="J139" s="96" t="s">
        <v>5</v>
      </c>
      <c r="K139" s="97">
        <v>17</v>
      </c>
      <c r="L139" s="465">
        <f t="shared" si="262"/>
        <v>1</v>
      </c>
      <c r="N139" s="88">
        <v>5</v>
      </c>
      <c r="O139" s="95">
        <v>5</v>
      </c>
      <c r="P139" s="90"/>
      <c r="Q139" s="99">
        <f>O139/(L139-Q134)</f>
        <v>6.666666666666667</v>
      </c>
      <c r="R139" s="100">
        <f>O139/(L139-R134)</f>
        <v>6.3291139240506329</v>
      </c>
      <c r="S139" s="100">
        <f>O139/(L139-S134)</f>
        <v>6.1728395061728394</v>
      </c>
      <c r="T139" s="100">
        <f>O139/(L139-T134)</f>
        <v>6.5789473684210522</v>
      </c>
      <c r="U139" s="100">
        <f>O139/(L139-U134)</f>
        <v>5.6179775280898872</v>
      </c>
      <c r="V139" s="102">
        <f t="shared" si="235"/>
        <v>31.365544993401077</v>
      </c>
      <c r="W139" s="88">
        <v>5</v>
      </c>
      <c r="X139" s="32">
        <f t="shared" si="236"/>
        <v>30.748078526089433</v>
      </c>
      <c r="Y139" s="38">
        <f t="shared" si="237"/>
        <v>30.966434350621917</v>
      </c>
      <c r="Z139" s="38">
        <f t="shared" si="238"/>
        <v>30.805319622922312</v>
      </c>
      <c r="AA139" s="38">
        <f t="shared" si="239"/>
        <v>31.6019431644932</v>
      </c>
      <c r="AB139" s="39">
        <f t="shared" si="240"/>
        <v>26.387492604917526</v>
      </c>
      <c r="AG139" s="86" t="s">
        <v>39</v>
      </c>
      <c r="AL139" s="96" t="s">
        <v>5</v>
      </c>
      <c r="AM139" s="97">
        <v>21</v>
      </c>
      <c r="AN139" s="465">
        <f t="shared" si="263"/>
        <v>1</v>
      </c>
      <c r="AP139" s="88">
        <v>5</v>
      </c>
      <c r="AQ139" s="95">
        <v>7</v>
      </c>
      <c r="AR139" s="90"/>
      <c r="AS139" s="99">
        <f>AQ139/(AN139-AS134)</f>
        <v>7.4242424242424248</v>
      </c>
      <c r="AT139" s="100">
        <f>AQ139/(AN139-AT134)</f>
        <v>10.888888888888889</v>
      </c>
      <c r="AU139" s="100">
        <f>AQ139/(AN139-AU134)</f>
        <v>10.425531914893616</v>
      </c>
      <c r="AV139" s="100">
        <f>AQ139/(AN139-AV134)</f>
        <v>7.3134328358208949</v>
      </c>
      <c r="AW139" s="100">
        <f>AQ139/(AN139-AW134)</f>
        <v>8.9090909090909101</v>
      </c>
      <c r="AX139" s="102">
        <f t="shared" si="241"/>
        <v>44.961186972936744</v>
      </c>
      <c r="AY139" s="98">
        <v>5</v>
      </c>
      <c r="AZ139" s="32">
        <f t="shared" si="232"/>
        <v>33.512558773662406</v>
      </c>
      <c r="BA139" s="38">
        <f t="shared" si="242"/>
        <v>32.718419534704864</v>
      </c>
      <c r="BB139" s="38">
        <f t="shared" si="243"/>
        <v>32.25451515734153</v>
      </c>
      <c r="BC139" s="38">
        <f t="shared" si="244"/>
        <v>24.508526914987204</v>
      </c>
      <c r="BD139" s="39">
        <f t="shared" si="245"/>
        <v>30.695070528394886</v>
      </c>
      <c r="BI139" s="86" t="s">
        <v>39</v>
      </c>
      <c r="BN139" s="96" t="s">
        <v>5</v>
      </c>
      <c r="BO139" s="97">
        <v>23</v>
      </c>
      <c r="BP139" s="465">
        <f t="shared" si="264"/>
        <v>1</v>
      </c>
      <c r="BR139" s="88">
        <v>5</v>
      </c>
      <c r="BS139" s="95">
        <v>1</v>
      </c>
      <c r="BT139" s="90"/>
      <c r="BU139" s="99">
        <f>BS139/(BP139-BU134)</f>
        <v>1.1224489795918369</v>
      </c>
      <c r="BV139" s="100">
        <f>BS139/(BP139-BV134)</f>
        <v>1.0377358490566038</v>
      </c>
      <c r="BW139" s="100">
        <f>BS139/(BP139-BW134)</f>
        <v>1.8333333333333335</v>
      </c>
      <c r="BX139" s="100">
        <f>BS139/(BP139-BX134)</f>
        <v>1.1000000000000001</v>
      </c>
      <c r="BY139" s="100">
        <f>BS139/(BP139-BY134)</f>
        <v>1.4473684210526316</v>
      </c>
      <c r="BZ139" s="102">
        <f t="shared" si="246"/>
        <v>6.5408865830344061</v>
      </c>
      <c r="CA139" s="211">
        <v>5</v>
      </c>
      <c r="CB139" s="32">
        <f t="shared" si="233"/>
        <v>31.827168768984386</v>
      </c>
      <c r="CC139" s="38">
        <f t="shared" si="247"/>
        <v>24.665369868180534</v>
      </c>
      <c r="CD139" s="38">
        <f t="shared" si="248"/>
        <v>37.291977995189114</v>
      </c>
      <c r="CE139" s="38">
        <f t="shared" si="249"/>
        <v>25.4026579139299</v>
      </c>
      <c r="CF139" s="39">
        <f t="shared" si="250"/>
        <v>32.794682535444778</v>
      </c>
      <c r="CK139" s="86" t="s">
        <v>39</v>
      </c>
      <c r="CP139" s="96" t="s">
        <v>5</v>
      </c>
      <c r="CQ139" s="39">
        <v>18</v>
      </c>
      <c r="CR139" s="465">
        <f t="shared" si="265"/>
        <v>1</v>
      </c>
      <c r="CT139" s="88">
        <v>5</v>
      </c>
      <c r="CU139" s="95">
        <v>4</v>
      </c>
      <c r="CV139" s="90"/>
      <c r="CW139" s="99">
        <f>CU139/(CR139-CW134)</f>
        <v>4.0506329113924044</v>
      </c>
      <c r="CX139" s="100">
        <f>CU139/(CR139-CX134)</f>
        <v>5.5172413793103452</v>
      </c>
      <c r="CY139" s="100">
        <f>CU139/(CR139-CY134)</f>
        <v>5.333333333333333</v>
      </c>
      <c r="CZ139" s="100">
        <f>CU139/(CR139-CZ134)</f>
        <v>5.8181818181818183</v>
      </c>
      <c r="DA139" s="100">
        <f>CU139/(CR139-DA134)</f>
        <v>4.7058823529411766</v>
      </c>
      <c r="DB139" s="102">
        <f t="shared" si="251"/>
        <v>25.42527179515908</v>
      </c>
      <c r="DC139" s="211">
        <v>5</v>
      </c>
      <c r="DD139" s="32">
        <f t="shared" si="234"/>
        <v>26.153744779883283</v>
      </c>
      <c r="DE139" s="38">
        <f t="shared" si="252"/>
        <v>33.966499115894663</v>
      </c>
      <c r="DF139" s="38">
        <f t="shared" si="253"/>
        <v>29.09415175974393</v>
      </c>
      <c r="DG139" s="38">
        <f t="shared" si="254"/>
        <v>34.883459673731345</v>
      </c>
      <c r="DH139" s="39">
        <f t="shared" si="255"/>
        <v>27.27058538036394</v>
      </c>
      <c r="DM139" s="86" t="s">
        <v>39</v>
      </c>
      <c r="DR139" s="96" t="s">
        <v>5</v>
      </c>
      <c r="DS139" s="103">
        <v>6</v>
      </c>
      <c r="DT139" s="465">
        <f t="shared" si="266"/>
        <v>1</v>
      </c>
      <c r="DV139" s="88">
        <v>5</v>
      </c>
      <c r="DW139" s="95">
        <v>2</v>
      </c>
      <c r="DX139" s="90"/>
      <c r="DY139" s="99">
        <f>DW139/(DT139-DY134)</f>
        <v>2.5</v>
      </c>
      <c r="DZ139" s="100">
        <f>DW139/(DT139-DZ134)</f>
        <v>2.333333333333333</v>
      </c>
      <c r="EA139" s="100">
        <f>DW139/(DT139-EA134)</f>
        <v>2.2580645161290325</v>
      </c>
      <c r="EB139" s="100">
        <f>DW139/(DT139-EB134)</f>
        <v>2.4561403508771931</v>
      </c>
      <c r="EC139" s="100">
        <f>DW139/(DT139-EC134)</f>
        <v>3.1111111111111116</v>
      </c>
      <c r="ED139" s="102">
        <f t="shared" si="256"/>
        <v>12.65864931145067</v>
      </c>
      <c r="EE139" s="211">
        <v>5</v>
      </c>
      <c r="EF139" s="32">
        <f t="shared" si="257"/>
        <v>28.177913862274586</v>
      </c>
      <c r="EG139" s="38">
        <f t="shared" si="258"/>
        <v>28.475272796278976</v>
      </c>
      <c r="EH139" s="38">
        <f t="shared" si="259"/>
        <v>28.327004635459488</v>
      </c>
      <c r="EI139" s="38">
        <f t="shared" si="260"/>
        <v>29.236196075217137</v>
      </c>
      <c r="EJ139" s="39">
        <f t="shared" si="261"/>
        <v>36.376959473052821</v>
      </c>
    </row>
    <row r="140" spans="5:140" x14ac:dyDescent="0.2">
      <c r="E140" s="86" t="s">
        <v>39</v>
      </c>
      <c r="J140" s="96" t="s">
        <v>9</v>
      </c>
      <c r="K140" s="39">
        <v>18</v>
      </c>
      <c r="L140" s="465">
        <f t="shared" si="262"/>
        <v>1</v>
      </c>
      <c r="N140" s="88">
        <v>6</v>
      </c>
      <c r="O140" s="95">
        <v>7</v>
      </c>
      <c r="P140" s="90"/>
      <c r="Q140" s="99">
        <f>O140/(L140-Q134)</f>
        <v>9.3333333333333339</v>
      </c>
      <c r="R140" s="100">
        <f>O140/(L140-R134)</f>
        <v>8.8607594936708853</v>
      </c>
      <c r="S140" s="100">
        <f>O140/(L140-S134)</f>
        <v>8.6419753086419746</v>
      </c>
      <c r="T140" s="100">
        <f>O140/(L140-T134)</f>
        <v>9.2105263157894743</v>
      </c>
      <c r="U140" s="100">
        <f>O140/(L140-U134)</f>
        <v>7.8651685393258424</v>
      </c>
      <c r="V140" s="102">
        <f t="shared" si="235"/>
        <v>43.91176299076151</v>
      </c>
      <c r="W140" s="88">
        <v>6</v>
      </c>
      <c r="X140" s="32">
        <f t="shared" si="236"/>
        <v>29.561411859422769</v>
      </c>
      <c r="Y140" s="38">
        <f t="shared" si="237"/>
        <v>29.617949502137073</v>
      </c>
      <c r="Z140" s="38">
        <f t="shared" si="238"/>
        <v>29.414694622922312</v>
      </c>
      <c r="AA140" s="38">
        <f t="shared" si="239"/>
        <v>30.273584955537977</v>
      </c>
      <c r="AB140" s="39">
        <f t="shared" si="240"/>
        <v>25.327968795393716</v>
      </c>
      <c r="AG140" s="86" t="s">
        <v>39</v>
      </c>
      <c r="AL140" s="96" t="s">
        <v>9</v>
      </c>
      <c r="AM140" s="39">
        <v>22</v>
      </c>
      <c r="AN140" s="465">
        <f t="shared" si="263"/>
        <v>1</v>
      </c>
      <c r="AP140" s="88">
        <v>6</v>
      </c>
      <c r="AQ140" s="95">
        <v>1</v>
      </c>
      <c r="AR140" s="90"/>
      <c r="AS140" s="99">
        <f>AQ140/(AN140-AS134)</f>
        <v>1.0606060606060606</v>
      </c>
      <c r="AT140" s="100">
        <f>AQ140/(AN140-AT134)</f>
        <v>1.5555555555555558</v>
      </c>
      <c r="AU140" s="100">
        <f>AQ140/(AN140-AU134)</f>
        <v>1.4893617021276595</v>
      </c>
      <c r="AV140" s="100">
        <f>AQ140/(AN140-AV134)</f>
        <v>1.044776119402985</v>
      </c>
      <c r="AW140" s="100">
        <f>AQ140/(AN140-AW134)</f>
        <v>1.2727272727272727</v>
      </c>
      <c r="AX140" s="102">
        <f t="shared" si="241"/>
        <v>6.4230267104195331</v>
      </c>
      <c r="AY140" s="98">
        <v>6</v>
      </c>
      <c r="AZ140" s="32">
        <f t="shared" si="232"/>
        <v>31.387558773662409</v>
      </c>
      <c r="BA140" s="38">
        <f t="shared" si="242"/>
        <v>31.655919534704868</v>
      </c>
      <c r="BB140" s="38">
        <f t="shared" si="243"/>
        <v>31.121181824008204</v>
      </c>
      <c r="BC140" s="38">
        <f t="shared" si="244"/>
        <v>23.47822388468418</v>
      </c>
      <c r="BD140" s="39">
        <f t="shared" si="245"/>
        <v>29.33507052839489</v>
      </c>
      <c r="BI140" s="86" t="s">
        <v>39</v>
      </c>
      <c r="BN140" s="96" t="s">
        <v>9</v>
      </c>
      <c r="BO140" s="39">
        <v>24</v>
      </c>
      <c r="BP140" s="465">
        <f t="shared" si="264"/>
        <v>1</v>
      </c>
      <c r="BR140" s="88">
        <v>6</v>
      </c>
      <c r="BS140" s="95">
        <v>4</v>
      </c>
      <c r="BT140" s="90"/>
      <c r="BU140" s="99">
        <f>BS140/(BP140-BU134)</f>
        <v>4.4897959183673475</v>
      </c>
      <c r="BV140" s="100">
        <f>BS140/(BP140-BV134)</f>
        <v>4.1509433962264151</v>
      </c>
      <c r="BW140" s="100">
        <f>BS140/(BP140-BW134)</f>
        <v>7.3333333333333339</v>
      </c>
      <c r="BX140" s="100">
        <f>BS140/(BP140-BX134)</f>
        <v>4.4000000000000004</v>
      </c>
      <c r="BY140" s="100">
        <f>BS140/(BP140-BY134)</f>
        <v>5.7894736842105265</v>
      </c>
      <c r="BZ140" s="102">
        <f t="shared" si="246"/>
        <v>26.163546332137624</v>
      </c>
      <c r="CA140" s="211">
        <v>6</v>
      </c>
      <c r="CB140" s="32">
        <f t="shared" si="233"/>
        <v>29.99383543565105</v>
      </c>
      <c r="CC140" s="38">
        <f t="shared" si="247"/>
        <v>23.565369868180532</v>
      </c>
      <c r="CD140" s="38">
        <f t="shared" si="248"/>
        <v>36.134083258347005</v>
      </c>
      <c r="CE140" s="38">
        <f t="shared" si="249"/>
        <v>24.329487182222582</v>
      </c>
      <c r="CF140" s="39">
        <f t="shared" si="250"/>
        <v>31.461349202111442</v>
      </c>
      <c r="CK140" s="86" t="s">
        <v>39</v>
      </c>
      <c r="CP140" s="96" t="s">
        <v>9</v>
      </c>
      <c r="CQ140" s="97">
        <v>19</v>
      </c>
      <c r="CR140" s="465">
        <f t="shared" si="265"/>
        <v>1</v>
      </c>
      <c r="CT140" s="88">
        <v>6</v>
      </c>
      <c r="CU140" s="95">
        <v>2</v>
      </c>
      <c r="CV140" s="90"/>
      <c r="CW140" s="99">
        <f>CU140/(CR140-CW134)</f>
        <v>2.0253164556962022</v>
      </c>
      <c r="CX140" s="100">
        <f>CU140/(CR140-CX134)</f>
        <v>2.7586206896551726</v>
      </c>
      <c r="CY140" s="100">
        <f>CU140/(CR140-CY134)</f>
        <v>2.6666666666666665</v>
      </c>
      <c r="CZ140" s="100">
        <f>CU140/(CR140-CZ134)</f>
        <v>2.9090909090909092</v>
      </c>
      <c r="DA140" s="100">
        <f>CU140/(CR140-DA134)</f>
        <v>2.3529411764705883</v>
      </c>
      <c r="DB140" s="102">
        <f t="shared" si="251"/>
        <v>12.71263589757954</v>
      </c>
      <c r="DC140" s="211">
        <v>6</v>
      </c>
      <c r="DD140" s="32">
        <f t="shared" si="234"/>
        <v>24.875967002105508</v>
      </c>
      <c r="DE140" s="38">
        <f t="shared" si="252"/>
        <v>32.433165782561332</v>
      </c>
      <c r="DF140" s="38">
        <f t="shared" si="253"/>
        <v>28.079445877390988</v>
      </c>
      <c r="DG140" s="38">
        <f t="shared" si="254"/>
        <v>33.383459673731345</v>
      </c>
      <c r="DH140" s="39">
        <f t="shared" si="255"/>
        <v>26.175347285125845</v>
      </c>
      <c r="DM140" s="86" t="s">
        <v>39</v>
      </c>
      <c r="DR140" s="96" t="s">
        <v>9</v>
      </c>
      <c r="DS140" s="101">
        <v>7</v>
      </c>
      <c r="DT140" s="465">
        <f t="shared" si="266"/>
        <v>1</v>
      </c>
      <c r="DV140" s="88">
        <v>6</v>
      </c>
      <c r="DW140" s="95">
        <v>8</v>
      </c>
      <c r="DX140" s="90"/>
      <c r="DY140" s="99">
        <f>DW140/(DT140-DY134)</f>
        <v>10</v>
      </c>
      <c r="DZ140" s="100">
        <f>DW140/(DT140-DZ134)</f>
        <v>9.3333333333333321</v>
      </c>
      <c r="EA140" s="100">
        <f>DW140/(DT140-EA134)</f>
        <v>9.0322580645161299</v>
      </c>
      <c r="EB140" s="100">
        <f>DW140/(DT140-EB134)</f>
        <v>9.8245614035087723</v>
      </c>
      <c r="EC140" s="100">
        <f>DW140/(DT140-EC134)</f>
        <v>12.444444444444446</v>
      </c>
      <c r="ED140" s="102">
        <f t="shared" si="256"/>
        <v>50.634597245802681</v>
      </c>
      <c r="EE140" s="211">
        <v>6</v>
      </c>
      <c r="EF140" s="32">
        <f t="shared" si="257"/>
        <v>27.124342433703159</v>
      </c>
      <c r="EG140" s="38">
        <f t="shared" si="258"/>
        <v>27.219953647342805</v>
      </c>
      <c r="EH140" s="38">
        <f t="shared" si="259"/>
        <v>27.015893524348378</v>
      </c>
      <c r="EI140" s="38">
        <f t="shared" si="260"/>
        <v>28.007029408550473</v>
      </c>
      <c r="EJ140" s="39">
        <f t="shared" si="261"/>
        <v>34.901959473052827</v>
      </c>
    </row>
    <row r="141" spans="5:140" x14ac:dyDescent="0.2">
      <c r="E141" s="86" t="s">
        <v>39</v>
      </c>
      <c r="J141" s="96" t="s">
        <v>19</v>
      </c>
      <c r="K141" s="97">
        <v>19</v>
      </c>
      <c r="L141" s="465">
        <f t="shared" si="262"/>
        <v>1</v>
      </c>
      <c r="N141" s="88">
        <v>7</v>
      </c>
      <c r="O141" s="95">
        <v>1</v>
      </c>
      <c r="P141" s="90"/>
      <c r="Q141" s="99">
        <f>O141/(L141-Q134)</f>
        <v>1.3333333333333333</v>
      </c>
      <c r="R141" s="100">
        <f>O141/(L141-R134)</f>
        <v>1.2658227848101264</v>
      </c>
      <c r="S141" s="100">
        <f>O141/(L141-S134)</f>
        <v>1.2345679012345678</v>
      </c>
      <c r="T141" s="100">
        <f>O141/(L141-T134)</f>
        <v>1.3157894736842106</v>
      </c>
      <c r="U141" s="100">
        <f>O141/(L141-U134)</f>
        <v>1.1235955056179776</v>
      </c>
      <c r="V141" s="102">
        <f t="shared" si="235"/>
        <v>6.2731089986802155</v>
      </c>
      <c r="W141" s="88">
        <v>7</v>
      </c>
      <c r="X141" s="32">
        <f t="shared" si="236"/>
        <v>29.561411859422762</v>
      </c>
      <c r="Y141" s="38">
        <f t="shared" si="237"/>
        <v>29.617949502137066</v>
      </c>
      <c r="Z141" s="38">
        <f t="shared" si="238"/>
        <v>29.414694622922312</v>
      </c>
      <c r="AA141" s="38">
        <f t="shared" si="239"/>
        <v>30.273584955537984</v>
      </c>
      <c r="AB141" s="39">
        <f t="shared" si="240"/>
        <v>25.327968795393719</v>
      </c>
      <c r="AG141" s="86" t="s">
        <v>39</v>
      </c>
      <c r="AL141" s="96" t="s">
        <v>19</v>
      </c>
      <c r="AM141" s="97">
        <v>23</v>
      </c>
      <c r="AN141" s="465">
        <f t="shared" si="263"/>
        <v>1</v>
      </c>
      <c r="AP141" s="88">
        <v>7</v>
      </c>
      <c r="AQ141" s="95">
        <v>4</v>
      </c>
      <c r="AR141" s="90"/>
      <c r="AS141" s="99">
        <f>AQ141/(AN141-AS134)</f>
        <v>4.2424242424242422</v>
      </c>
      <c r="AT141" s="100">
        <f>AQ141/(AN141-AT134)</f>
        <v>6.2222222222222232</v>
      </c>
      <c r="AU141" s="100">
        <f>AQ141/(AN141-AU134)</f>
        <v>5.957446808510638</v>
      </c>
      <c r="AV141" s="100">
        <f>AQ141/(AN141-AV134)</f>
        <v>4.1791044776119399</v>
      </c>
      <c r="AW141" s="100">
        <f>AQ141/(AN141-AW134)</f>
        <v>5.0909090909090908</v>
      </c>
      <c r="AX141" s="102">
        <f t="shared" si="241"/>
        <v>25.692106841678132</v>
      </c>
      <c r="AY141" s="98">
        <v>7</v>
      </c>
      <c r="AZ141" s="32">
        <f t="shared" si="232"/>
        <v>31.387558773662409</v>
      </c>
      <c r="BA141" s="38">
        <f t="shared" si="242"/>
        <v>31.655919534704868</v>
      </c>
      <c r="BB141" s="38">
        <f t="shared" si="243"/>
        <v>31.121181824008204</v>
      </c>
      <c r="BC141" s="38">
        <f t="shared" si="244"/>
        <v>23.47822388468418</v>
      </c>
      <c r="BD141" s="39">
        <f t="shared" si="245"/>
        <v>29.33507052839489</v>
      </c>
      <c r="BI141" s="86" t="s">
        <v>39</v>
      </c>
      <c r="BN141" s="105" t="s">
        <v>19</v>
      </c>
      <c r="BO141" s="118">
        <v>25</v>
      </c>
      <c r="BP141" s="465">
        <f t="shared" si="264"/>
        <v>1</v>
      </c>
      <c r="BR141" s="88">
        <v>7</v>
      </c>
      <c r="BS141" s="95">
        <v>2</v>
      </c>
      <c r="BT141" s="90"/>
      <c r="BU141" s="99">
        <f>BS141/(BP141-BU134)</f>
        <v>2.2448979591836737</v>
      </c>
      <c r="BV141" s="100">
        <f>BS141/(BP141-BV134)</f>
        <v>2.0754716981132075</v>
      </c>
      <c r="BW141" s="100">
        <f>BS141/(BP141-BW134)</f>
        <v>3.666666666666667</v>
      </c>
      <c r="BX141" s="100">
        <f>BS141/(BP141-BX134)</f>
        <v>2.2000000000000002</v>
      </c>
      <c r="BY141" s="100">
        <f>BS141/(BP141-BY134)</f>
        <v>2.8947368421052633</v>
      </c>
      <c r="BZ141" s="102">
        <f t="shared" si="246"/>
        <v>13.081773166068812</v>
      </c>
      <c r="CA141" s="211">
        <v>7</v>
      </c>
      <c r="CB141" s="32">
        <f t="shared" si="233"/>
        <v>29.99383543565105</v>
      </c>
      <c r="CC141" s="38">
        <f t="shared" si="247"/>
        <v>23.565369868180532</v>
      </c>
      <c r="CD141" s="38">
        <f t="shared" si="248"/>
        <v>36.134083258347005</v>
      </c>
      <c r="CE141" s="38">
        <f t="shared" si="249"/>
        <v>24.329487182222582</v>
      </c>
      <c r="CF141" s="39">
        <f t="shared" si="250"/>
        <v>31.461349202111442</v>
      </c>
      <c r="CK141" s="86" t="s">
        <v>39</v>
      </c>
      <c r="CP141" s="96" t="s">
        <v>19</v>
      </c>
      <c r="CQ141" s="39">
        <v>20</v>
      </c>
      <c r="CR141" s="465">
        <f t="shared" si="265"/>
        <v>1</v>
      </c>
      <c r="CT141" s="88">
        <v>7</v>
      </c>
      <c r="CU141" s="95">
        <v>8</v>
      </c>
      <c r="CV141" s="90"/>
      <c r="CW141" s="99">
        <f>CU141/(CR141-CW134)</f>
        <v>8.1012658227848089</v>
      </c>
      <c r="CX141" s="100">
        <f>CU141/(CR141-CX134)</f>
        <v>11.03448275862069</v>
      </c>
      <c r="CY141" s="100">
        <f>CU141/(CR141-CY134)</f>
        <v>10.666666666666666</v>
      </c>
      <c r="CZ141" s="100">
        <f>CU141/(CR141-CZ134)</f>
        <v>11.636363636363637</v>
      </c>
      <c r="DA141" s="100">
        <f>CU141/(CR141-DA134)</f>
        <v>9.4117647058823533</v>
      </c>
      <c r="DB141" s="102">
        <f t="shared" si="251"/>
        <v>50.850543590318161</v>
      </c>
      <c r="DC141" s="211">
        <v>7</v>
      </c>
      <c r="DD141" s="32">
        <f t="shared" si="234"/>
        <v>24.875967002105508</v>
      </c>
      <c r="DE141" s="38">
        <f t="shared" si="252"/>
        <v>32.433165782561332</v>
      </c>
      <c r="DF141" s="38">
        <f t="shared" si="253"/>
        <v>28.079445877390988</v>
      </c>
      <c r="DG141" s="38">
        <f t="shared" si="254"/>
        <v>33.383459673731345</v>
      </c>
      <c r="DH141" s="39">
        <f t="shared" si="255"/>
        <v>26.175347285125845</v>
      </c>
      <c r="DM141" s="86" t="s">
        <v>39</v>
      </c>
      <c r="DR141" s="96" t="s">
        <v>19</v>
      </c>
      <c r="DS141" s="103">
        <v>8</v>
      </c>
      <c r="DT141" s="465">
        <f t="shared" si="266"/>
        <v>1</v>
      </c>
      <c r="DV141" s="88">
        <v>7</v>
      </c>
      <c r="DW141" s="95">
        <v>5</v>
      </c>
      <c r="DX141" s="90"/>
      <c r="DY141" s="99">
        <f>DW141/(DT141-DY134)</f>
        <v>6.25</v>
      </c>
      <c r="DZ141" s="100">
        <f>DW141/(DT141-DZ134)</f>
        <v>5.833333333333333</v>
      </c>
      <c r="EA141" s="100">
        <f>DW141/(DT141-EA134)</f>
        <v>5.645161290322581</v>
      </c>
      <c r="EB141" s="100">
        <f>DW141/(DT141-EB134)</f>
        <v>6.1403508771929829</v>
      </c>
      <c r="EC141" s="100">
        <f>DW141/(DT141-EC134)</f>
        <v>7.7777777777777786</v>
      </c>
      <c r="ED141" s="102">
        <f t="shared" si="256"/>
        <v>31.646623278626674</v>
      </c>
      <c r="EE141" s="211">
        <v>7</v>
      </c>
      <c r="EF141" s="32">
        <f t="shared" si="257"/>
        <v>27.124342433703159</v>
      </c>
      <c r="EG141" s="38">
        <f t="shared" si="258"/>
        <v>27.219953647342805</v>
      </c>
      <c r="EH141" s="38">
        <f t="shared" si="259"/>
        <v>27.015893524348378</v>
      </c>
      <c r="EI141" s="38">
        <f t="shared" si="260"/>
        <v>28.007029408550473</v>
      </c>
      <c r="EJ141" s="39">
        <f t="shared" si="261"/>
        <v>34.901959473052827</v>
      </c>
    </row>
    <row r="142" spans="5:140" x14ac:dyDescent="0.2">
      <c r="E142" s="86" t="s">
        <v>39</v>
      </c>
      <c r="J142" s="96" t="s">
        <v>2</v>
      </c>
      <c r="K142" s="39">
        <v>20</v>
      </c>
      <c r="L142" s="465">
        <f t="shared" si="262"/>
        <v>1</v>
      </c>
      <c r="N142" s="88">
        <v>8</v>
      </c>
      <c r="O142" s="95">
        <v>4</v>
      </c>
      <c r="P142" s="90"/>
      <c r="Q142" s="99">
        <f>O142/(L142-Q134)</f>
        <v>5.333333333333333</v>
      </c>
      <c r="R142" s="100">
        <f>O142/(L142-R134)</f>
        <v>5.0632911392405058</v>
      </c>
      <c r="S142" s="100">
        <f>O142/(L142-S134)</f>
        <v>4.9382716049382713</v>
      </c>
      <c r="T142" s="100">
        <f>O142/(L142-T134)</f>
        <v>5.2631578947368425</v>
      </c>
      <c r="U142" s="100">
        <f>O142/(L142-U134)</f>
        <v>4.4943820224719104</v>
      </c>
      <c r="V142" s="102">
        <f t="shared" si="235"/>
        <v>25.092435994720862</v>
      </c>
      <c r="W142" s="88">
        <v>8</v>
      </c>
      <c r="X142" s="32">
        <f t="shared" si="236"/>
        <v>30.748078526089429</v>
      </c>
      <c r="Y142" s="38">
        <f t="shared" si="237"/>
        <v>30.966434350621917</v>
      </c>
      <c r="Z142" s="38">
        <f t="shared" si="238"/>
        <v>30.805319622922312</v>
      </c>
      <c r="AA142" s="38">
        <f t="shared" si="239"/>
        <v>31.601943164493207</v>
      </c>
      <c r="AB142" s="39">
        <f t="shared" si="240"/>
        <v>26.387492604917526</v>
      </c>
      <c r="AG142" s="86" t="s">
        <v>39</v>
      </c>
      <c r="AL142" s="96" t="s">
        <v>2</v>
      </c>
      <c r="AM142" s="39">
        <v>24</v>
      </c>
      <c r="AN142" s="465">
        <f t="shared" si="263"/>
        <v>1</v>
      </c>
      <c r="AP142" s="88">
        <v>8</v>
      </c>
      <c r="AQ142" s="95">
        <v>2</v>
      </c>
      <c r="AR142" s="90"/>
      <c r="AS142" s="99">
        <f>AQ142/(AN142-AS134)</f>
        <v>2.1212121212121211</v>
      </c>
      <c r="AT142" s="100">
        <f>AQ142/(AN142-AT134)</f>
        <v>3.1111111111111116</v>
      </c>
      <c r="AU142" s="100">
        <f>AQ142/(AN142-AU134)</f>
        <v>2.978723404255319</v>
      </c>
      <c r="AV142" s="100">
        <f>AQ142/(AN142-AV134)</f>
        <v>2.08955223880597</v>
      </c>
      <c r="AW142" s="100">
        <f>AQ142/(AN142-AW134)</f>
        <v>2.5454545454545454</v>
      </c>
      <c r="AX142" s="102">
        <f t="shared" si="241"/>
        <v>12.846053420839066</v>
      </c>
      <c r="AY142" s="98">
        <v>8</v>
      </c>
      <c r="AZ142" s="32">
        <f t="shared" si="232"/>
        <v>33.512558773662406</v>
      </c>
      <c r="BA142" s="38">
        <f t="shared" si="242"/>
        <v>32.718419534704864</v>
      </c>
      <c r="BB142" s="38">
        <f t="shared" si="243"/>
        <v>32.254515157341537</v>
      </c>
      <c r="BC142" s="38">
        <f t="shared" si="244"/>
        <v>24.508526914987211</v>
      </c>
      <c r="BD142" s="39">
        <f t="shared" si="245"/>
        <v>30.69507052839489</v>
      </c>
      <c r="BI142" s="86" t="s">
        <v>39</v>
      </c>
      <c r="BN142" s="96" t="s">
        <v>2</v>
      </c>
      <c r="BO142" s="39">
        <v>1</v>
      </c>
      <c r="BP142" s="465">
        <f t="shared" si="264"/>
        <v>1</v>
      </c>
      <c r="BR142" s="88">
        <v>8</v>
      </c>
      <c r="BS142" s="95">
        <v>8</v>
      </c>
      <c r="BT142" s="90"/>
      <c r="BU142" s="99">
        <f>BS142/(BP142-BU134)</f>
        <v>8.979591836734695</v>
      </c>
      <c r="BV142" s="100">
        <f>BS142/(BP142-BV134)</f>
        <v>8.3018867924528301</v>
      </c>
      <c r="BW142" s="100">
        <f>BS142/(BP142-BW134)</f>
        <v>14.666666666666668</v>
      </c>
      <c r="BX142" s="100">
        <f>BS142/(BP142-BX134)</f>
        <v>8.8000000000000007</v>
      </c>
      <c r="BY142" s="100">
        <f>BS142/(BP142-BY134)</f>
        <v>11.578947368421053</v>
      </c>
      <c r="BZ142" s="102">
        <f t="shared" si="246"/>
        <v>52.327092664275249</v>
      </c>
      <c r="CA142" s="211">
        <v>8</v>
      </c>
      <c r="CB142" s="32">
        <f t="shared" si="233"/>
        <v>31.827168768984386</v>
      </c>
      <c r="CC142" s="38">
        <f t="shared" si="247"/>
        <v>24.665369868180534</v>
      </c>
      <c r="CD142" s="38">
        <f t="shared" si="248"/>
        <v>37.291977995189114</v>
      </c>
      <c r="CE142" s="38">
        <f t="shared" si="249"/>
        <v>25.4026579139299</v>
      </c>
      <c r="CF142" s="39">
        <f t="shared" si="250"/>
        <v>32.794682535444778</v>
      </c>
      <c r="CK142" s="86" t="s">
        <v>39</v>
      </c>
      <c r="CP142" s="96" t="s">
        <v>2</v>
      </c>
      <c r="CQ142" s="97">
        <v>21</v>
      </c>
      <c r="CR142" s="465">
        <f t="shared" si="265"/>
        <v>1</v>
      </c>
      <c r="CT142" s="88">
        <v>8</v>
      </c>
      <c r="CU142" s="95">
        <v>5</v>
      </c>
      <c r="CV142" s="90"/>
      <c r="CW142" s="99">
        <f>CU142/(CR142-CW134)</f>
        <v>5.0632911392405058</v>
      </c>
      <c r="CX142" s="100">
        <f>CU142/(CR142-CX134)</f>
        <v>6.8965517241379315</v>
      </c>
      <c r="CY142" s="100">
        <f>CU142/(CR142-CY134)</f>
        <v>6.666666666666667</v>
      </c>
      <c r="CZ142" s="100">
        <f>CU142/(CR142-CZ134)</f>
        <v>7.2727272727272725</v>
      </c>
      <c r="DA142" s="100">
        <f>CU142/(CR142-DA134)</f>
        <v>5.882352941176471</v>
      </c>
      <c r="DB142" s="102">
        <f t="shared" si="251"/>
        <v>31.78158974394885</v>
      </c>
      <c r="DC142" s="211">
        <v>8</v>
      </c>
      <c r="DD142" s="32">
        <f t="shared" si="234"/>
        <v>26.153744779883283</v>
      </c>
      <c r="DE142" s="38">
        <f t="shared" si="252"/>
        <v>33.966499115894671</v>
      </c>
      <c r="DF142" s="38">
        <f t="shared" si="253"/>
        <v>29.094151759743934</v>
      </c>
      <c r="DG142" s="38">
        <f t="shared" si="254"/>
        <v>34.883459673731345</v>
      </c>
      <c r="DH142" s="39">
        <f t="shared" si="255"/>
        <v>27.27058538036394</v>
      </c>
      <c r="DM142" s="86" t="s">
        <v>39</v>
      </c>
      <c r="DR142" s="96" t="s">
        <v>2</v>
      </c>
      <c r="DS142" s="101">
        <v>9</v>
      </c>
      <c r="DT142" s="465">
        <f t="shared" si="266"/>
        <v>1</v>
      </c>
      <c r="DV142" s="88">
        <v>8</v>
      </c>
      <c r="DW142" s="95">
        <v>7</v>
      </c>
      <c r="DX142" s="90"/>
      <c r="DY142" s="99">
        <f>DW142/(DT142-DY134)</f>
        <v>8.75</v>
      </c>
      <c r="DZ142" s="100">
        <f>DW142/(DT142-DZ134)</f>
        <v>8.1666666666666661</v>
      </c>
      <c r="EA142" s="100">
        <f>DW142/(DT142-EA134)</f>
        <v>7.903225806451613</v>
      </c>
      <c r="EB142" s="100">
        <f>DW142/(DT142-EB134)</f>
        <v>8.5964912280701746</v>
      </c>
      <c r="EC142" s="100">
        <f>DW142/(DT142-EC134)</f>
        <v>10.888888888888889</v>
      </c>
      <c r="ED142" s="102">
        <f t="shared" si="256"/>
        <v>44.305272590077337</v>
      </c>
      <c r="EE142" s="211">
        <v>8</v>
      </c>
      <c r="EF142" s="32">
        <f t="shared" si="257"/>
        <v>28.177913862274593</v>
      </c>
      <c r="EG142" s="38">
        <f t="shared" si="258"/>
        <v>28.475272796278979</v>
      </c>
      <c r="EH142" s="38">
        <f t="shared" si="259"/>
        <v>28.327004635459488</v>
      </c>
      <c r="EI142" s="38">
        <f t="shared" si="260"/>
        <v>29.236196075217141</v>
      </c>
      <c r="EJ142" s="39">
        <f t="shared" si="261"/>
        <v>36.376959473052821</v>
      </c>
    </row>
    <row r="143" spans="5:140" x14ac:dyDescent="0.2">
      <c r="E143" s="86" t="s">
        <v>39</v>
      </c>
      <c r="J143" s="96" t="s">
        <v>18</v>
      </c>
      <c r="K143" s="97">
        <v>21</v>
      </c>
      <c r="L143" s="465">
        <f t="shared" si="262"/>
        <v>1</v>
      </c>
      <c r="N143" s="88">
        <v>9</v>
      </c>
      <c r="O143" s="95">
        <v>2</v>
      </c>
      <c r="P143" s="90"/>
      <c r="Q143" s="99">
        <f>O143/(L143-Q134)</f>
        <v>2.6666666666666665</v>
      </c>
      <c r="R143" s="100">
        <f>O143/(L143-R134)</f>
        <v>2.5316455696202529</v>
      </c>
      <c r="S143" s="100">
        <f>O143/(L143-S134)</f>
        <v>2.4691358024691357</v>
      </c>
      <c r="T143" s="100">
        <f>O143/(L143-T134)</f>
        <v>2.6315789473684212</v>
      </c>
      <c r="U143" s="100">
        <f>O143/(L143-U134)</f>
        <v>2.2471910112359552</v>
      </c>
      <c r="V143" s="102">
        <f t="shared" si="235"/>
        <v>12.546217997360431</v>
      </c>
      <c r="W143" s="88">
        <v>9</v>
      </c>
      <c r="X143" s="32">
        <f t="shared" si="236"/>
        <v>31.934745192756097</v>
      </c>
      <c r="Y143" s="38">
        <f t="shared" si="237"/>
        <v>32.314919199106761</v>
      </c>
      <c r="Z143" s="38">
        <f t="shared" si="238"/>
        <v>32.195944622922312</v>
      </c>
      <c r="AA143" s="38">
        <f t="shared" si="239"/>
        <v>32.93030137344843</v>
      </c>
      <c r="AB143" s="39">
        <f t="shared" si="240"/>
        <v>27.447016414441336</v>
      </c>
      <c r="AG143" s="86" t="s">
        <v>39</v>
      </c>
      <c r="AL143" s="105" t="s">
        <v>18</v>
      </c>
      <c r="AM143" s="118">
        <v>25</v>
      </c>
      <c r="AN143" s="465">
        <f t="shared" si="263"/>
        <v>1</v>
      </c>
      <c r="AP143" s="88">
        <v>9</v>
      </c>
      <c r="AQ143" s="95">
        <v>8</v>
      </c>
      <c r="AR143" s="90"/>
      <c r="AS143" s="99">
        <f>AQ143/(AN143-AS134)</f>
        <v>8.4848484848484844</v>
      </c>
      <c r="AT143" s="100">
        <f>AQ143/(AN143-AT134)</f>
        <v>12.444444444444446</v>
      </c>
      <c r="AU143" s="100">
        <f>AQ143/(AN143-AU134)</f>
        <v>11.914893617021276</v>
      </c>
      <c r="AV143" s="100">
        <f>AQ143/(AN143-AV134)</f>
        <v>8.3582089552238799</v>
      </c>
      <c r="AW143" s="100">
        <f>AQ143/(AN143-AW134)</f>
        <v>10.181818181818182</v>
      </c>
      <c r="AX143" s="102">
        <f t="shared" si="241"/>
        <v>51.384213683356265</v>
      </c>
      <c r="AY143" s="98">
        <v>9</v>
      </c>
      <c r="AZ143" s="32">
        <f t="shared" si="232"/>
        <v>35.637558773662406</v>
      </c>
      <c r="BA143" s="38">
        <f t="shared" si="242"/>
        <v>33.780919534704864</v>
      </c>
      <c r="BB143" s="38">
        <f t="shared" si="243"/>
        <v>33.38784849067487</v>
      </c>
      <c r="BC143" s="38">
        <f t="shared" si="244"/>
        <v>25.538829945290242</v>
      </c>
      <c r="BD143" s="39">
        <f t="shared" si="245"/>
        <v>32.055070528394893</v>
      </c>
      <c r="BI143" s="86" t="s">
        <v>39</v>
      </c>
      <c r="BN143" s="96" t="s">
        <v>18</v>
      </c>
      <c r="BO143" s="97">
        <v>2</v>
      </c>
      <c r="BP143" s="465">
        <f t="shared" si="264"/>
        <v>1</v>
      </c>
      <c r="BR143" s="88">
        <v>9</v>
      </c>
      <c r="BS143" s="95">
        <v>5</v>
      </c>
      <c r="BT143" s="90"/>
      <c r="BU143" s="99">
        <f>BS143/(BP143-BU134)</f>
        <v>5.6122448979591839</v>
      </c>
      <c r="BV143" s="100">
        <f>BS143/(BP143-BV134)</f>
        <v>5.1886792452830193</v>
      </c>
      <c r="BW143" s="100">
        <f>BS143/(BP143-BW134)</f>
        <v>9.1666666666666679</v>
      </c>
      <c r="BX143" s="100">
        <f>BS143/(BP143-BX134)</f>
        <v>5.5</v>
      </c>
      <c r="BY143" s="100">
        <f>BS143/(BP143-BY134)</f>
        <v>7.2368421052631575</v>
      </c>
      <c r="BZ143" s="102">
        <f t="shared" si="246"/>
        <v>32.704432915172028</v>
      </c>
      <c r="CA143" s="211">
        <v>9</v>
      </c>
      <c r="CB143" s="32">
        <f t="shared" si="233"/>
        <v>33.660502102317722</v>
      </c>
      <c r="CC143" s="38">
        <f t="shared" si="247"/>
        <v>25.765369868180535</v>
      </c>
      <c r="CD143" s="38">
        <f t="shared" si="248"/>
        <v>38.449872732031224</v>
      </c>
      <c r="CE143" s="38">
        <f t="shared" si="249"/>
        <v>26.475828645637215</v>
      </c>
      <c r="CF143" s="39">
        <f t="shared" si="250"/>
        <v>34.128015868778107</v>
      </c>
      <c r="CK143" s="86" t="s">
        <v>39</v>
      </c>
      <c r="CP143" s="96" t="s">
        <v>18</v>
      </c>
      <c r="CQ143" s="39">
        <v>22</v>
      </c>
      <c r="CR143" s="465">
        <f t="shared" si="265"/>
        <v>1</v>
      </c>
      <c r="CT143" s="88">
        <v>9</v>
      </c>
      <c r="CU143" s="95">
        <v>7</v>
      </c>
      <c r="CV143" s="90"/>
      <c r="CW143" s="99">
        <f>CU143/(CR143-CW134)</f>
        <v>7.0886075949367084</v>
      </c>
      <c r="CX143" s="100">
        <f>CU143/(CR143-CX134)</f>
        <v>9.6551724137931032</v>
      </c>
      <c r="CY143" s="100">
        <f>CU143/(CR143-CY134)</f>
        <v>9.3333333333333339</v>
      </c>
      <c r="CZ143" s="100">
        <f>CU143/(CR143-CZ134)</f>
        <v>10.181818181818182</v>
      </c>
      <c r="DA143" s="100">
        <f>CU143/(CR143-DA134)</f>
        <v>8.2352941176470598</v>
      </c>
      <c r="DB143" s="102">
        <f t="shared" si="251"/>
        <v>44.494225641528381</v>
      </c>
      <c r="DC143" s="211">
        <v>9</v>
      </c>
      <c r="DD143" s="32">
        <f t="shared" si="234"/>
        <v>27.431522557661069</v>
      </c>
      <c r="DE143" s="38">
        <f t="shared" si="252"/>
        <v>35.499832449228002</v>
      </c>
      <c r="DF143" s="38">
        <f t="shared" si="253"/>
        <v>30.108857642096879</v>
      </c>
      <c r="DG143" s="38">
        <f t="shared" si="254"/>
        <v>36.383459673731352</v>
      </c>
      <c r="DH143" s="39">
        <f t="shared" si="255"/>
        <v>28.365823475602042</v>
      </c>
      <c r="DM143" s="86" t="s">
        <v>39</v>
      </c>
      <c r="DR143" s="96" t="s">
        <v>18</v>
      </c>
      <c r="DS143" s="103">
        <v>10</v>
      </c>
      <c r="DT143" s="465">
        <f t="shared" si="266"/>
        <v>1</v>
      </c>
      <c r="DV143" s="88">
        <v>9</v>
      </c>
      <c r="DW143" s="95">
        <v>1</v>
      </c>
      <c r="DX143" s="90"/>
      <c r="DY143" s="99">
        <f>DW143/(DT143-DY134)</f>
        <v>1.25</v>
      </c>
      <c r="DZ143" s="100">
        <f>DW143/(DT143-DZ134)</f>
        <v>1.1666666666666665</v>
      </c>
      <c r="EA143" s="100">
        <f>DW143/(DT143-EA134)</f>
        <v>1.1290322580645162</v>
      </c>
      <c r="EB143" s="100">
        <f>DW143/(DT143-EB134)</f>
        <v>1.2280701754385965</v>
      </c>
      <c r="EC143" s="100">
        <f>DW143/(DT143-EC134)</f>
        <v>1.5555555555555558</v>
      </c>
      <c r="ED143" s="102">
        <f t="shared" si="256"/>
        <v>6.3293246557253351</v>
      </c>
      <c r="EE143" s="211">
        <v>9</v>
      </c>
      <c r="EF143" s="32">
        <f t="shared" si="257"/>
        <v>29.231485290846017</v>
      </c>
      <c r="EG143" s="38">
        <f t="shared" si="258"/>
        <v>29.730591945215146</v>
      </c>
      <c r="EH143" s="38">
        <f t="shared" si="259"/>
        <v>29.638115746570598</v>
      </c>
      <c r="EI143" s="38">
        <f t="shared" si="260"/>
        <v>30.465362741883805</v>
      </c>
      <c r="EJ143" s="39">
        <f t="shared" si="261"/>
        <v>37.851959473052823</v>
      </c>
    </row>
    <row r="144" spans="5:140" ht="15" thickBot="1" x14ac:dyDescent="0.25">
      <c r="E144" s="86" t="s">
        <v>39</v>
      </c>
      <c r="J144" s="119" t="s">
        <v>22</v>
      </c>
      <c r="K144" s="71">
        <v>22</v>
      </c>
      <c r="L144" s="465">
        <f t="shared" si="262"/>
        <v>1</v>
      </c>
      <c r="N144" s="88">
        <v>10</v>
      </c>
      <c r="O144" s="95">
        <v>8</v>
      </c>
      <c r="P144" s="90"/>
      <c r="Q144" s="99">
        <f>O144/(L144-Q134)</f>
        <v>10.666666666666666</v>
      </c>
      <c r="R144" s="100">
        <f>O144/(L144-R134)</f>
        <v>10.126582278481012</v>
      </c>
      <c r="S144" s="100">
        <f>O144/(L144-S134)</f>
        <v>9.8765432098765427</v>
      </c>
      <c r="T144" s="100">
        <f>O144/(L144-T134)</f>
        <v>10.526315789473685</v>
      </c>
      <c r="U144" s="100">
        <f>O144/(L144-U134)</f>
        <v>8.9887640449438209</v>
      </c>
      <c r="V144" s="102">
        <f t="shared" si="235"/>
        <v>50.184871989441724</v>
      </c>
      <c r="W144" s="88">
        <v>10</v>
      </c>
      <c r="X144" s="32">
        <f t="shared" si="236"/>
        <v>31.934745192756097</v>
      </c>
      <c r="Y144" s="38">
        <f t="shared" si="237"/>
        <v>32.314919199106761</v>
      </c>
      <c r="Z144" s="38">
        <f t="shared" si="238"/>
        <v>32.195944622922312</v>
      </c>
      <c r="AA144" s="38">
        <f t="shared" si="239"/>
        <v>32.93030137344843</v>
      </c>
      <c r="AB144" s="39">
        <f t="shared" si="240"/>
        <v>27.447016414441336</v>
      </c>
      <c r="AG144" s="86" t="s">
        <v>39</v>
      </c>
      <c r="AL144" s="119" t="s">
        <v>22</v>
      </c>
      <c r="AM144" s="71">
        <v>1</v>
      </c>
      <c r="AN144" s="465">
        <f t="shared" si="263"/>
        <v>1</v>
      </c>
      <c r="AP144" s="88">
        <v>10</v>
      </c>
      <c r="AQ144" s="95">
        <v>5</v>
      </c>
      <c r="AR144" s="90"/>
      <c r="AS144" s="99">
        <f>AQ144/(AN144-AS134)</f>
        <v>5.3030303030303028</v>
      </c>
      <c r="AT144" s="100">
        <f>AQ144/(AN144-AT134)</f>
        <v>7.7777777777777786</v>
      </c>
      <c r="AU144" s="100">
        <f>AQ144/(AN144-AU134)</f>
        <v>7.4468085106382969</v>
      </c>
      <c r="AV144" s="100">
        <f>AQ144/(AN144-AV134)</f>
        <v>5.2238805970149249</v>
      </c>
      <c r="AW144" s="100">
        <f>AQ144/(AN144-AW134)</f>
        <v>6.3636363636363642</v>
      </c>
      <c r="AX144" s="102">
        <f t="shared" si="241"/>
        <v>32.115133552097667</v>
      </c>
      <c r="AY144" s="98">
        <v>10</v>
      </c>
      <c r="AZ144" s="32">
        <f t="shared" si="232"/>
        <v>35.637558773662406</v>
      </c>
      <c r="BA144" s="38">
        <f t="shared" si="242"/>
        <v>33.780919534704864</v>
      </c>
      <c r="BB144" s="38">
        <f t="shared" si="243"/>
        <v>33.38784849067487</v>
      </c>
      <c r="BC144" s="38">
        <f t="shared" si="244"/>
        <v>25.538829945290242</v>
      </c>
      <c r="BD144" s="39">
        <f t="shared" si="245"/>
        <v>32.055070528394893</v>
      </c>
      <c r="BI144" s="86" t="s">
        <v>39</v>
      </c>
      <c r="BN144" s="119" t="s">
        <v>22</v>
      </c>
      <c r="BO144" s="71">
        <v>3</v>
      </c>
      <c r="BP144" s="465">
        <f t="shared" si="264"/>
        <v>1</v>
      </c>
      <c r="BR144" s="88">
        <v>10</v>
      </c>
      <c r="BS144" s="107">
        <v>7</v>
      </c>
      <c r="BT144" s="90"/>
      <c r="BU144" s="99">
        <f>BS144/(BP144-BU134)</f>
        <v>7.8571428571428577</v>
      </c>
      <c r="BV144" s="100">
        <f>BS144/(BP144-BV134)</f>
        <v>7.2641509433962268</v>
      </c>
      <c r="BW144" s="100">
        <f>BS144/(BP144-BW134)</f>
        <v>12.833333333333334</v>
      </c>
      <c r="BX144" s="100">
        <f>BS144/(BP144-BX134)</f>
        <v>7.7</v>
      </c>
      <c r="BY144" s="100">
        <f>BS144/(BP144-BY134)</f>
        <v>10.131578947368421</v>
      </c>
      <c r="BZ144" s="102">
        <f t="shared" si="246"/>
        <v>45.786206081240849</v>
      </c>
      <c r="CA144" s="211">
        <v>10</v>
      </c>
      <c r="CB144" s="32">
        <f t="shared" si="233"/>
        <v>33.660502102317714</v>
      </c>
      <c r="CC144" s="38">
        <f t="shared" si="247"/>
        <v>25.765369868180528</v>
      </c>
      <c r="CD144" s="38">
        <f t="shared" si="248"/>
        <v>38.449872732031217</v>
      </c>
      <c r="CE144" s="38">
        <f t="shared" si="249"/>
        <v>26.475828645637215</v>
      </c>
      <c r="CF144" s="39">
        <f t="shared" si="250"/>
        <v>34.128015868778107</v>
      </c>
      <c r="CK144" s="86" t="s">
        <v>39</v>
      </c>
      <c r="CP144" s="119" t="s">
        <v>22</v>
      </c>
      <c r="CQ144" s="71">
        <v>23</v>
      </c>
      <c r="CR144" s="465">
        <f t="shared" si="265"/>
        <v>1</v>
      </c>
      <c r="CT144" s="88">
        <v>10</v>
      </c>
      <c r="CU144" s="107">
        <v>1</v>
      </c>
      <c r="CV144" s="90"/>
      <c r="CW144" s="99">
        <f>CU144/(CR144-CW134)</f>
        <v>1.0126582278481011</v>
      </c>
      <c r="CX144" s="100">
        <f>CU144/(CR144-CX134)</f>
        <v>1.3793103448275863</v>
      </c>
      <c r="CY144" s="100">
        <f>CU144/(CR144-CY134)</f>
        <v>1.3333333333333333</v>
      </c>
      <c r="CZ144" s="100">
        <f>CU144/(CR144-CZ134)</f>
        <v>1.4545454545454546</v>
      </c>
      <c r="DA144" s="100">
        <f>CU144/(CR144-DA134)</f>
        <v>1.1764705882352942</v>
      </c>
      <c r="DB144" s="102">
        <f t="shared" si="251"/>
        <v>6.3563179487897701</v>
      </c>
      <c r="DC144" s="211">
        <v>10</v>
      </c>
      <c r="DD144" s="32">
        <f t="shared" si="234"/>
        <v>27.431522557661062</v>
      </c>
      <c r="DE144" s="38">
        <f t="shared" si="252"/>
        <v>35.499832449228002</v>
      </c>
      <c r="DF144" s="38">
        <f t="shared" si="253"/>
        <v>30.108857642096872</v>
      </c>
      <c r="DG144" s="38">
        <f t="shared" si="254"/>
        <v>36.383459673731345</v>
      </c>
      <c r="DH144" s="39">
        <f t="shared" si="255"/>
        <v>28.365823475602035</v>
      </c>
      <c r="DM144" s="86" t="s">
        <v>39</v>
      </c>
      <c r="DR144" s="119" t="s">
        <v>22</v>
      </c>
      <c r="DS144" s="152">
        <v>11</v>
      </c>
      <c r="DT144" s="465">
        <f t="shared" si="266"/>
        <v>1</v>
      </c>
      <c r="DV144" s="88">
        <v>10</v>
      </c>
      <c r="DW144" s="107">
        <v>4</v>
      </c>
      <c r="DX144" s="90"/>
      <c r="DY144" s="99">
        <f>DW144/(DT144-DY134)</f>
        <v>5</v>
      </c>
      <c r="DZ144" s="100">
        <f>DW144/(DT144-DZ134)</f>
        <v>4.6666666666666661</v>
      </c>
      <c r="EA144" s="100">
        <f>DW144/(DT144-EA134)</f>
        <v>4.5161290322580649</v>
      </c>
      <c r="EB144" s="100">
        <f>DW144/(DT144-EB134)</f>
        <v>4.9122807017543861</v>
      </c>
      <c r="EC144" s="100">
        <f>DW144/(DT144-EC134)</f>
        <v>6.2222222222222232</v>
      </c>
      <c r="ED144" s="102">
        <f t="shared" si="256"/>
        <v>25.31729862290134</v>
      </c>
      <c r="EE144" s="211">
        <v>10</v>
      </c>
      <c r="EF144" s="32">
        <f t="shared" si="257"/>
        <v>29.231485290846017</v>
      </c>
      <c r="EG144" s="38">
        <f t="shared" si="258"/>
        <v>29.730591945215146</v>
      </c>
      <c r="EH144" s="38">
        <f t="shared" si="259"/>
        <v>29.638115746570598</v>
      </c>
      <c r="EI144" s="38">
        <f t="shared" si="260"/>
        <v>30.465362741883805</v>
      </c>
      <c r="EJ144" s="39">
        <f t="shared" si="261"/>
        <v>37.851959473052823</v>
      </c>
    </row>
    <row r="145" spans="2:140" x14ac:dyDescent="0.2">
      <c r="L145" s="465">
        <f t="shared" si="262"/>
        <v>1</v>
      </c>
      <c r="N145" s="88">
        <v>11</v>
      </c>
      <c r="O145" s="107">
        <v>5</v>
      </c>
      <c r="P145" s="90"/>
      <c r="Q145" s="99">
        <f>O145/(L145-Q134)</f>
        <v>6.666666666666667</v>
      </c>
      <c r="R145" s="100">
        <f>O145/(L145-R134)</f>
        <v>6.3291139240506329</v>
      </c>
      <c r="S145" s="100">
        <f>O145/(L145-S134)</f>
        <v>6.1728395061728394</v>
      </c>
      <c r="T145" s="100">
        <f>O145/(L145-T134)</f>
        <v>6.5789473684210522</v>
      </c>
      <c r="U145" s="100">
        <f>O145/(L145-U134)</f>
        <v>5.6179775280898872</v>
      </c>
      <c r="V145" s="102">
        <f t="shared" si="235"/>
        <v>31.365544993401077</v>
      </c>
      <c r="W145" s="88">
        <v>11</v>
      </c>
      <c r="X145" s="32">
        <f t="shared" si="236"/>
        <v>30.748078526089433</v>
      </c>
      <c r="Y145" s="38">
        <f t="shared" si="237"/>
        <v>30.966434350621917</v>
      </c>
      <c r="Z145" s="38">
        <f t="shared" si="238"/>
        <v>30.805319622922312</v>
      </c>
      <c r="AA145" s="38">
        <f t="shared" si="239"/>
        <v>31.6019431644932</v>
      </c>
      <c r="AB145" s="39">
        <f t="shared" si="240"/>
        <v>26.387492604917526</v>
      </c>
      <c r="AN145" s="465">
        <f t="shared" si="263"/>
        <v>1</v>
      </c>
      <c r="AP145" s="88">
        <v>11</v>
      </c>
      <c r="AQ145" s="107">
        <v>7</v>
      </c>
      <c r="AR145" s="90"/>
      <c r="AS145" s="99">
        <f>AQ145/(AN145-AS134)</f>
        <v>7.4242424242424248</v>
      </c>
      <c r="AT145" s="100">
        <f>AQ145/(AN145-AT134)</f>
        <v>10.888888888888889</v>
      </c>
      <c r="AU145" s="100">
        <f>AQ145/(AN145-AU134)</f>
        <v>10.425531914893616</v>
      </c>
      <c r="AV145" s="100">
        <f>AQ145/(AN145-AV134)</f>
        <v>7.3134328358208949</v>
      </c>
      <c r="AW145" s="100">
        <f>AQ145/(AN145-AW134)</f>
        <v>8.9090909090909101</v>
      </c>
      <c r="AX145" s="102">
        <f t="shared" si="241"/>
        <v>44.961186972936744</v>
      </c>
      <c r="AY145" s="98">
        <v>11</v>
      </c>
      <c r="AZ145" s="32">
        <f t="shared" si="232"/>
        <v>33.512558773662406</v>
      </c>
      <c r="BA145" s="38">
        <f t="shared" si="242"/>
        <v>32.718419534704864</v>
      </c>
      <c r="BB145" s="38">
        <f t="shared" si="243"/>
        <v>32.25451515734153</v>
      </c>
      <c r="BC145" s="38">
        <f t="shared" si="244"/>
        <v>24.508526914987204</v>
      </c>
      <c r="BD145" s="39">
        <f t="shared" si="245"/>
        <v>30.695070528394886</v>
      </c>
      <c r="BP145" s="465">
        <f t="shared" si="264"/>
        <v>1</v>
      </c>
      <c r="BR145" s="88">
        <v>11</v>
      </c>
      <c r="BS145" s="107">
        <v>1</v>
      </c>
      <c r="BT145" s="90"/>
      <c r="BU145" s="99">
        <f>BS145/(BP145-BU134)</f>
        <v>1.1224489795918369</v>
      </c>
      <c r="BV145" s="100">
        <f>BS145/(BP145-BV134)</f>
        <v>1.0377358490566038</v>
      </c>
      <c r="BW145" s="100">
        <f>BS145/(BP145-BW134)</f>
        <v>1.8333333333333335</v>
      </c>
      <c r="BX145" s="100">
        <f>BS145/(BP145-BX134)</f>
        <v>1.1000000000000001</v>
      </c>
      <c r="BY145" s="100">
        <f>BS145/(BP145-BY134)</f>
        <v>1.4473684210526316</v>
      </c>
      <c r="BZ145" s="102">
        <f t="shared" si="246"/>
        <v>6.5408865830344061</v>
      </c>
      <c r="CA145" s="211">
        <v>11</v>
      </c>
      <c r="CB145" s="32">
        <f t="shared" si="233"/>
        <v>31.827168768984386</v>
      </c>
      <c r="CC145" s="38">
        <f t="shared" si="247"/>
        <v>24.665369868180534</v>
      </c>
      <c r="CD145" s="38">
        <f t="shared" si="248"/>
        <v>37.291977995189114</v>
      </c>
      <c r="CE145" s="38">
        <f t="shared" si="249"/>
        <v>25.4026579139299</v>
      </c>
      <c r="CF145" s="39">
        <f t="shared" si="250"/>
        <v>32.794682535444778</v>
      </c>
      <c r="CR145" s="465">
        <f t="shared" si="265"/>
        <v>1</v>
      </c>
      <c r="CT145" s="88">
        <v>11</v>
      </c>
      <c r="CU145" s="107">
        <v>4</v>
      </c>
      <c r="CV145" s="90"/>
      <c r="CW145" s="99">
        <f>CU145/(CR145-CW134)</f>
        <v>4.0506329113924044</v>
      </c>
      <c r="CX145" s="100">
        <f>CU145/(CR145-CX134)</f>
        <v>5.5172413793103452</v>
      </c>
      <c r="CY145" s="100">
        <f>CU145/(CR145-CY134)</f>
        <v>5.333333333333333</v>
      </c>
      <c r="CZ145" s="100">
        <f>CU145/(CR145-CZ134)</f>
        <v>5.8181818181818183</v>
      </c>
      <c r="DA145" s="100">
        <f>CU145/(CR145-DA134)</f>
        <v>4.7058823529411766</v>
      </c>
      <c r="DB145" s="102">
        <f t="shared" si="251"/>
        <v>25.42527179515908</v>
      </c>
      <c r="DC145" s="211">
        <v>11</v>
      </c>
      <c r="DD145" s="32">
        <f t="shared" si="234"/>
        <v>26.153744779883283</v>
      </c>
      <c r="DE145" s="38">
        <f t="shared" si="252"/>
        <v>33.966499115894663</v>
      </c>
      <c r="DF145" s="38">
        <f t="shared" si="253"/>
        <v>29.09415175974393</v>
      </c>
      <c r="DG145" s="38">
        <f t="shared" si="254"/>
        <v>34.883459673731345</v>
      </c>
      <c r="DH145" s="39">
        <f t="shared" si="255"/>
        <v>27.27058538036394</v>
      </c>
      <c r="DT145" s="465">
        <f t="shared" si="266"/>
        <v>1</v>
      </c>
      <c r="DV145" s="88">
        <v>11</v>
      </c>
      <c r="DW145" s="107">
        <v>2</v>
      </c>
      <c r="DX145" s="90"/>
      <c r="DY145" s="99">
        <f>DW145/(DT145-DY134)</f>
        <v>2.5</v>
      </c>
      <c r="DZ145" s="100">
        <f>DW145/(DT145-DZ134)</f>
        <v>2.333333333333333</v>
      </c>
      <c r="EA145" s="100">
        <f>DW145/(DT145-EA134)</f>
        <v>2.2580645161290325</v>
      </c>
      <c r="EB145" s="100">
        <f>DW145/(DT145-EB134)</f>
        <v>2.4561403508771931</v>
      </c>
      <c r="EC145" s="100">
        <f>DW145/(DT145-EC134)</f>
        <v>3.1111111111111116</v>
      </c>
      <c r="ED145" s="102">
        <f t="shared" si="256"/>
        <v>12.65864931145067</v>
      </c>
      <c r="EE145" s="211">
        <v>11</v>
      </c>
      <c r="EF145" s="32">
        <f t="shared" si="257"/>
        <v>28.177913862274586</v>
      </c>
      <c r="EG145" s="38">
        <f t="shared" si="258"/>
        <v>28.475272796278976</v>
      </c>
      <c r="EH145" s="38">
        <f t="shared" si="259"/>
        <v>28.327004635459488</v>
      </c>
      <c r="EI145" s="38">
        <f t="shared" si="260"/>
        <v>29.236196075217137</v>
      </c>
      <c r="EJ145" s="39">
        <f t="shared" si="261"/>
        <v>36.376959473052821</v>
      </c>
    </row>
    <row r="146" spans="2:140" ht="15" thickBot="1" x14ac:dyDescent="0.25">
      <c r="L146" s="465">
        <f t="shared" si="262"/>
        <v>1</v>
      </c>
      <c r="N146" s="109">
        <v>12</v>
      </c>
      <c r="O146" s="110">
        <v>7</v>
      </c>
      <c r="P146" s="90"/>
      <c r="Q146" s="111">
        <f>O146/(L146-Q134)</f>
        <v>9.3333333333333339</v>
      </c>
      <c r="R146" s="112">
        <f>O146/(L146-R134)</f>
        <v>8.8607594936708853</v>
      </c>
      <c r="S146" s="112">
        <f>O146/(L146-S134)</f>
        <v>8.6419753086419746</v>
      </c>
      <c r="T146" s="112">
        <f>O146/(L146-T134)</f>
        <v>9.2105263157894743</v>
      </c>
      <c r="U146" s="112">
        <f>O146/(L146-U134)</f>
        <v>7.8651685393258424</v>
      </c>
      <c r="V146" s="102">
        <f t="shared" si="235"/>
        <v>43.91176299076151</v>
      </c>
      <c r="W146" s="109">
        <v>12</v>
      </c>
      <c r="X146" s="43">
        <f t="shared" si="236"/>
        <v>29.561411859422769</v>
      </c>
      <c r="Y146" s="70">
        <f t="shared" si="237"/>
        <v>29.617949502137073</v>
      </c>
      <c r="Z146" s="70">
        <f t="shared" si="238"/>
        <v>29.414694622922312</v>
      </c>
      <c r="AA146" s="70">
        <f t="shared" si="239"/>
        <v>30.273584955537977</v>
      </c>
      <c r="AB146" s="71">
        <f t="shared" si="240"/>
        <v>25.327968795393716</v>
      </c>
      <c r="AN146" s="465">
        <f t="shared" si="263"/>
        <v>1</v>
      </c>
      <c r="AP146" s="109">
        <v>12</v>
      </c>
      <c r="AQ146" s="110">
        <v>1</v>
      </c>
      <c r="AR146" s="90"/>
      <c r="AS146" s="111">
        <f>AQ146/(AN146-AS134)</f>
        <v>1.0606060606060606</v>
      </c>
      <c r="AT146" s="112">
        <f>AQ146/(AN146-AT134)</f>
        <v>1.5555555555555558</v>
      </c>
      <c r="AU146" s="112">
        <f>AQ146/(AN146-AU134)</f>
        <v>1.4893617021276595</v>
      </c>
      <c r="AV146" s="112">
        <f>AQ146/(AN146-AV134)</f>
        <v>1.044776119402985</v>
      </c>
      <c r="AW146" s="112">
        <f>AQ146/(AN146-AW134)</f>
        <v>1.2727272727272727</v>
      </c>
      <c r="AX146" s="102">
        <f t="shared" si="241"/>
        <v>6.4230267104195331</v>
      </c>
      <c r="AY146" s="108">
        <v>12</v>
      </c>
      <c r="AZ146" s="43">
        <f t="shared" si="232"/>
        <v>31.387558773662409</v>
      </c>
      <c r="BA146" s="70">
        <f t="shared" si="242"/>
        <v>31.655919534704868</v>
      </c>
      <c r="BB146" s="70">
        <f t="shared" si="243"/>
        <v>31.121181824008204</v>
      </c>
      <c r="BC146" s="70">
        <f t="shared" si="244"/>
        <v>23.47822388468418</v>
      </c>
      <c r="BD146" s="71">
        <f t="shared" si="245"/>
        <v>29.33507052839489</v>
      </c>
      <c r="BP146" s="465">
        <f t="shared" si="264"/>
        <v>1</v>
      </c>
      <c r="BR146" s="109">
        <v>12</v>
      </c>
      <c r="BS146" s="110">
        <v>4</v>
      </c>
      <c r="BT146" s="90"/>
      <c r="BU146" s="111">
        <f>BS146/(BP146-BU134)</f>
        <v>4.4897959183673475</v>
      </c>
      <c r="BV146" s="112">
        <f>BS146/(BP146-BV134)</f>
        <v>4.1509433962264151</v>
      </c>
      <c r="BW146" s="112">
        <f>BS146/(BP146-BW134)</f>
        <v>7.3333333333333339</v>
      </c>
      <c r="BX146" s="112">
        <f>BS146/(BP146-BX134)</f>
        <v>4.4000000000000004</v>
      </c>
      <c r="BY146" s="112">
        <f>BS146/(BP146-BY134)</f>
        <v>5.7894736842105265</v>
      </c>
      <c r="BZ146" s="102">
        <f t="shared" si="246"/>
        <v>26.163546332137624</v>
      </c>
      <c r="CA146" s="212">
        <v>12</v>
      </c>
      <c r="CB146" s="43">
        <f t="shared" si="233"/>
        <v>29.99383543565105</v>
      </c>
      <c r="CC146" s="70">
        <f t="shared" si="247"/>
        <v>23.565369868180532</v>
      </c>
      <c r="CD146" s="70">
        <f t="shared" si="248"/>
        <v>36.134083258347005</v>
      </c>
      <c r="CE146" s="70">
        <f t="shared" si="249"/>
        <v>24.329487182222582</v>
      </c>
      <c r="CF146" s="71">
        <f t="shared" si="250"/>
        <v>31.461349202111442</v>
      </c>
      <c r="CR146" s="465">
        <f t="shared" si="265"/>
        <v>1</v>
      </c>
      <c r="CT146" s="109">
        <v>12</v>
      </c>
      <c r="CU146" s="110">
        <v>2</v>
      </c>
      <c r="CV146" s="90"/>
      <c r="CW146" s="111">
        <f>CU146/(CR146-CW134)</f>
        <v>2.0253164556962022</v>
      </c>
      <c r="CX146" s="112">
        <f>CU146/(CR146-CX134)</f>
        <v>2.7586206896551726</v>
      </c>
      <c r="CY146" s="112">
        <f>CU146/(CR146-CY134)</f>
        <v>2.6666666666666665</v>
      </c>
      <c r="CZ146" s="112">
        <f>CU146/(CR146-CZ134)</f>
        <v>2.9090909090909092</v>
      </c>
      <c r="DA146" s="112">
        <f>CU146/(CR146-DA134)</f>
        <v>2.3529411764705883</v>
      </c>
      <c r="DB146" s="102">
        <f t="shared" si="251"/>
        <v>12.71263589757954</v>
      </c>
      <c r="DC146" s="212">
        <v>12</v>
      </c>
      <c r="DD146" s="43">
        <f t="shared" si="234"/>
        <v>24.875967002105508</v>
      </c>
      <c r="DE146" s="70">
        <f t="shared" si="252"/>
        <v>32.433165782561332</v>
      </c>
      <c r="DF146" s="70">
        <f t="shared" si="253"/>
        <v>28.079445877390988</v>
      </c>
      <c r="DG146" s="70">
        <f t="shared" si="254"/>
        <v>33.383459673731345</v>
      </c>
      <c r="DH146" s="71">
        <f t="shared" si="255"/>
        <v>26.175347285125845</v>
      </c>
      <c r="DT146" s="465">
        <f t="shared" si="266"/>
        <v>1</v>
      </c>
      <c r="DV146" s="109">
        <v>12</v>
      </c>
      <c r="DW146" s="110">
        <v>8</v>
      </c>
      <c r="DX146" s="90"/>
      <c r="DY146" s="111">
        <f>DW146/(DT146-DY134)</f>
        <v>10</v>
      </c>
      <c r="DZ146" s="112">
        <f>DW146/(DT146-DZ134)</f>
        <v>9.3333333333333321</v>
      </c>
      <c r="EA146" s="112">
        <f>DW146/(DT146-EA134)</f>
        <v>9.0322580645161299</v>
      </c>
      <c r="EB146" s="112">
        <f>DW146/(DT146-EB134)</f>
        <v>9.8245614035087723</v>
      </c>
      <c r="EC146" s="112">
        <f>DW146/(DT146-EC134)</f>
        <v>12.444444444444446</v>
      </c>
      <c r="ED146" s="102">
        <f t="shared" si="256"/>
        <v>50.634597245802681</v>
      </c>
      <c r="EE146" s="212">
        <v>12</v>
      </c>
      <c r="EF146" s="43">
        <f t="shared" si="257"/>
        <v>27.124342433703159</v>
      </c>
      <c r="EG146" s="70">
        <f t="shared" si="258"/>
        <v>27.219953647342805</v>
      </c>
      <c r="EH146" s="70">
        <f t="shared" si="259"/>
        <v>27.015893524348378</v>
      </c>
      <c r="EI146" s="70">
        <f t="shared" si="260"/>
        <v>28.007029408550473</v>
      </c>
      <c r="EJ146" s="71">
        <f t="shared" si="261"/>
        <v>34.901959473052827</v>
      </c>
    </row>
    <row r="147" spans="2:140" x14ac:dyDescent="0.2">
      <c r="N147" s="10"/>
      <c r="O147" s="90"/>
      <c r="P147" s="90"/>
      <c r="Q147" s="113"/>
      <c r="R147" s="113"/>
      <c r="S147" s="113"/>
      <c r="T147" s="113"/>
      <c r="U147" s="113"/>
      <c r="AP147" s="10"/>
      <c r="AQ147" s="90"/>
      <c r="AR147" s="90"/>
      <c r="AS147" s="113"/>
      <c r="AT147" s="113"/>
      <c r="AU147" s="113"/>
      <c r="AV147" s="113"/>
      <c r="AW147" s="113"/>
      <c r="BR147" s="10"/>
      <c r="BS147" s="90"/>
      <c r="BT147" s="90"/>
      <c r="BU147" s="113"/>
      <c r="BV147" s="113"/>
      <c r="BW147" s="113"/>
      <c r="BX147" s="113"/>
      <c r="BY147" s="113"/>
      <c r="CT147" s="10"/>
      <c r="CU147" s="90"/>
      <c r="CV147" s="90"/>
      <c r="CW147" s="113"/>
      <c r="CX147" s="113"/>
      <c r="CY147" s="113"/>
      <c r="CZ147" s="113"/>
      <c r="DA147" s="113"/>
      <c r="DV147" s="10"/>
      <c r="DW147" s="90"/>
      <c r="DX147" s="90"/>
      <c r="DY147" s="113"/>
      <c r="DZ147" s="113"/>
      <c r="EA147" s="113"/>
      <c r="EB147" s="113"/>
      <c r="EC147" s="113"/>
    </row>
    <row r="149" spans="2:140" x14ac:dyDescent="0.2">
      <c r="B149" s="5" t="s">
        <v>22</v>
      </c>
      <c r="C149" s="5" t="s">
        <v>22</v>
      </c>
      <c r="D149" s="5" t="s">
        <v>22</v>
      </c>
      <c r="E149" s="5" t="s">
        <v>22</v>
      </c>
      <c r="F149" s="5" t="s">
        <v>22</v>
      </c>
      <c r="G149" s="5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  <c r="S149" s="5" t="s">
        <v>22</v>
      </c>
      <c r="T149" s="5" t="s">
        <v>22</v>
      </c>
      <c r="U149" s="5" t="s">
        <v>22</v>
      </c>
      <c r="V149" s="5" t="s">
        <v>22</v>
      </c>
      <c r="W149" s="5" t="s">
        <v>22</v>
      </c>
      <c r="X149" s="5" t="s">
        <v>22</v>
      </c>
      <c r="Y149" s="5" t="s">
        <v>22</v>
      </c>
      <c r="Z149" s="5" t="s">
        <v>22</v>
      </c>
      <c r="AA149" s="5" t="s">
        <v>22</v>
      </c>
      <c r="AB149" s="5" t="s">
        <v>22</v>
      </c>
      <c r="AD149" s="6" t="s">
        <v>9</v>
      </c>
      <c r="AE149" s="6" t="s">
        <v>9</v>
      </c>
      <c r="AF149" s="6" t="s">
        <v>9</v>
      </c>
      <c r="AG149" s="6" t="s">
        <v>9</v>
      </c>
      <c r="AH149" s="6" t="s">
        <v>9</v>
      </c>
      <c r="AI149" s="6" t="s">
        <v>9</v>
      </c>
      <c r="AJ149" s="6" t="s">
        <v>9</v>
      </c>
      <c r="AK149" s="6" t="s">
        <v>9</v>
      </c>
      <c r="AL149" s="6" t="s">
        <v>9</v>
      </c>
      <c r="AM149" s="6" t="s">
        <v>9</v>
      </c>
      <c r="AN149" s="6" t="s">
        <v>9</v>
      </c>
      <c r="AO149" s="6" t="s">
        <v>9</v>
      </c>
      <c r="AP149" s="6" t="s">
        <v>9</v>
      </c>
      <c r="AQ149" s="6" t="s">
        <v>9</v>
      </c>
      <c r="AR149" s="6" t="s">
        <v>9</v>
      </c>
      <c r="AS149" s="6" t="s">
        <v>9</v>
      </c>
      <c r="AT149" s="6" t="s">
        <v>9</v>
      </c>
      <c r="AU149" s="6" t="s">
        <v>9</v>
      </c>
      <c r="AV149" s="6" t="s">
        <v>9</v>
      </c>
      <c r="AW149" s="6" t="s">
        <v>9</v>
      </c>
      <c r="AX149" s="6" t="s">
        <v>9</v>
      </c>
      <c r="AY149" s="6" t="s">
        <v>9</v>
      </c>
      <c r="AZ149" s="6" t="s">
        <v>9</v>
      </c>
      <c r="BA149" s="6" t="s">
        <v>9</v>
      </c>
      <c r="BB149" s="6" t="s">
        <v>9</v>
      </c>
      <c r="BC149" s="6" t="s">
        <v>9</v>
      </c>
      <c r="BD149" s="6" t="s">
        <v>9</v>
      </c>
      <c r="BF149" s="6" t="s">
        <v>23</v>
      </c>
      <c r="BG149" s="6" t="s">
        <v>23</v>
      </c>
      <c r="BH149" s="6" t="s">
        <v>23</v>
      </c>
      <c r="BI149" s="6" t="s">
        <v>23</v>
      </c>
      <c r="BJ149" s="6" t="s">
        <v>23</v>
      </c>
      <c r="BK149" s="6" t="s">
        <v>23</v>
      </c>
      <c r="BL149" s="6" t="s">
        <v>23</v>
      </c>
      <c r="BM149" s="6" t="s">
        <v>23</v>
      </c>
      <c r="BN149" s="6" t="s">
        <v>23</v>
      </c>
      <c r="BO149" s="6" t="s">
        <v>23</v>
      </c>
      <c r="BP149" s="6" t="s">
        <v>23</v>
      </c>
      <c r="BQ149" s="6" t="s">
        <v>23</v>
      </c>
      <c r="BR149" s="6" t="s">
        <v>23</v>
      </c>
      <c r="BS149" s="6" t="s">
        <v>23</v>
      </c>
      <c r="BT149" s="6" t="s">
        <v>23</v>
      </c>
      <c r="BU149" s="6" t="s">
        <v>23</v>
      </c>
      <c r="BV149" s="6" t="s">
        <v>23</v>
      </c>
      <c r="BW149" s="6" t="s">
        <v>23</v>
      </c>
      <c r="BX149" s="6" t="s">
        <v>23</v>
      </c>
      <c r="BY149" s="6" t="s">
        <v>23</v>
      </c>
      <c r="BZ149" s="6" t="s">
        <v>23</v>
      </c>
      <c r="CA149" s="6" t="s">
        <v>23</v>
      </c>
      <c r="CB149" s="6" t="s">
        <v>23</v>
      </c>
      <c r="CC149" s="6" t="s">
        <v>23</v>
      </c>
      <c r="CD149" s="6" t="s">
        <v>23</v>
      </c>
      <c r="CE149" s="6" t="s">
        <v>23</v>
      </c>
      <c r="CF149" s="6" t="s">
        <v>23</v>
      </c>
      <c r="CH149" s="6" t="s">
        <v>7</v>
      </c>
      <c r="CI149" s="6" t="s">
        <v>7</v>
      </c>
      <c r="CJ149" s="6" t="s">
        <v>7</v>
      </c>
      <c r="CK149" s="6" t="s">
        <v>7</v>
      </c>
      <c r="CL149" s="6" t="s">
        <v>7</v>
      </c>
      <c r="CM149" s="6" t="s">
        <v>7</v>
      </c>
      <c r="CN149" s="6" t="s">
        <v>7</v>
      </c>
      <c r="CO149" s="6" t="s">
        <v>7</v>
      </c>
      <c r="CP149" s="6" t="s">
        <v>7</v>
      </c>
      <c r="CQ149" s="6" t="s">
        <v>7</v>
      </c>
      <c r="CR149" s="6" t="s">
        <v>7</v>
      </c>
      <c r="CS149" s="6" t="s">
        <v>7</v>
      </c>
      <c r="CT149" s="6" t="s">
        <v>7</v>
      </c>
      <c r="CU149" s="6" t="s">
        <v>7</v>
      </c>
      <c r="CV149" s="6" t="s">
        <v>7</v>
      </c>
      <c r="CW149" s="6" t="s">
        <v>7</v>
      </c>
      <c r="CX149" s="6" t="s">
        <v>7</v>
      </c>
      <c r="CY149" s="6" t="s">
        <v>7</v>
      </c>
      <c r="CZ149" s="6" t="s">
        <v>7</v>
      </c>
      <c r="DA149" s="6" t="s">
        <v>7</v>
      </c>
      <c r="DB149" s="6" t="s">
        <v>7</v>
      </c>
      <c r="DC149" s="6" t="s">
        <v>7</v>
      </c>
      <c r="DD149" s="6" t="s">
        <v>7</v>
      </c>
      <c r="DE149" s="6" t="s">
        <v>7</v>
      </c>
      <c r="DF149" s="6" t="s">
        <v>7</v>
      </c>
      <c r="DG149" s="6" t="s">
        <v>7</v>
      </c>
      <c r="DH149" s="6" t="s">
        <v>7</v>
      </c>
      <c r="DJ149" s="6" t="s">
        <v>13</v>
      </c>
      <c r="DK149" s="6" t="s">
        <v>13</v>
      </c>
      <c r="DL149" s="6" t="s">
        <v>13</v>
      </c>
      <c r="DM149" s="6" t="s">
        <v>13</v>
      </c>
      <c r="DN149" s="6" t="s">
        <v>13</v>
      </c>
      <c r="DO149" s="6" t="s">
        <v>13</v>
      </c>
      <c r="DP149" s="6" t="s">
        <v>13</v>
      </c>
      <c r="DQ149" s="6" t="s">
        <v>13</v>
      </c>
      <c r="DR149" s="6" t="s">
        <v>13</v>
      </c>
      <c r="DS149" s="6" t="s">
        <v>13</v>
      </c>
      <c r="DT149" s="6" t="s">
        <v>13</v>
      </c>
      <c r="DU149" s="6" t="s">
        <v>13</v>
      </c>
      <c r="DV149" s="6" t="s">
        <v>13</v>
      </c>
      <c r="DW149" s="6" t="s">
        <v>13</v>
      </c>
      <c r="DX149" s="6" t="s">
        <v>13</v>
      </c>
      <c r="DY149" s="6" t="s">
        <v>13</v>
      </c>
      <c r="DZ149" s="6" t="s">
        <v>13</v>
      </c>
      <c r="EA149" s="6" t="s">
        <v>13</v>
      </c>
      <c r="EB149" s="6" t="s">
        <v>13</v>
      </c>
      <c r="EC149" s="6" t="s">
        <v>13</v>
      </c>
      <c r="ED149" s="6" t="s">
        <v>13</v>
      </c>
      <c r="EE149" s="6" t="s">
        <v>13</v>
      </c>
      <c r="EF149" s="6" t="s">
        <v>13</v>
      </c>
      <c r="EG149" s="6" t="s">
        <v>13</v>
      </c>
      <c r="EH149" s="6" t="s">
        <v>13</v>
      </c>
      <c r="EI149" s="6" t="s">
        <v>13</v>
      </c>
      <c r="EJ149" s="6" t="s">
        <v>13</v>
      </c>
    </row>
    <row r="150" spans="2:140" ht="15" thickBot="1" x14ac:dyDescent="0.25"/>
    <row r="151" spans="2:140" ht="15" thickBot="1" x14ac:dyDescent="0.25">
      <c r="B151" s="7"/>
      <c r="C151" s="8" t="s">
        <v>6</v>
      </c>
      <c r="D151" s="8" t="s">
        <v>7</v>
      </c>
      <c r="E151" s="8" t="s">
        <v>8</v>
      </c>
      <c r="F151" s="8" t="s">
        <v>9</v>
      </c>
      <c r="G151" s="8" t="s">
        <v>10</v>
      </c>
      <c r="H151" s="9"/>
      <c r="I151" s="10"/>
      <c r="J151" s="11" t="s">
        <v>11</v>
      </c>
      <c r="K151" s="12" t="s">
        <v>6</v>
      </c>
      <c r="L151" s="12" t="s">
        <v>7</v>
      </c>
      <c r="M151" s="12" t="s">
        <v>8</v>
      </c>
      <c r="N151" s="12" t="s">
        <v>9</v>
      </c>
      <c r="O151" s="13" t="s">
        <v>10</v>
      </c>
      <c r="P151" s="10"/>
      <c r="W151" s="204" t="s">
        <v>37</v>
      </c>
      <c r="X151" s="835" t="s">
        <v>61</v>
      </c>
      <c r="Y151" s="836"/>
      <c r="Z151" s="836"/>
      <c r="AA151" s="836"/>
      <c r="AB151" s="837"/>
      <c r="AD151" s="7"/>
      <c r="AE151" s="8" t="s">
        <v>6</v>
      </c>
      <c r="AF151" s="8" t="s">
        <v>7</v>
      </c>
      <c r="AG151" s="8" t="s">
        <v>8</v>
      </c>
      <c r="AH151" s="8" t="s">
        <v>9</v>
      </c>
      <c r="AI151" s="8" t="s">
        <v>10</v>
      </c>
      <c r="AJ151" s="9"/>
      <c r="AK151" s="10"/>
      <c r="AL151" s="11" t="s">
        <v>11</v>
      </c>
      <c r="AM151" s="12" t="s">
        <v>6</v>
      </c>
      <c r="AN151" s="12" t="s">
        <v>7</v>
      </c>
      <c r="AO151" s="12" t="s">
        <v>8</v>
      </c>
      <c r="AP151" s="12" t="s">
        <v>9</v>
      </c>
      <c r="AQ151" s="13" t="s">
        <v>10</v>
      </c>
      <c r="AR151" s="10"/>
      <c r="AY151" s="204" t="s">
        <v>37</v>
      </c>
      <c r="AZ151" s="835" t="s">
        <v>73</v>
      </c>
      <c r="BA151" s="836"/>
      <c r="BB151" s="836"/>
      <c r="BC151" s="836"/>
      <c r="BD151" s="837"/>
      <c r="BF151" s="7"/>
      <c r="BG151" s="8" t="s">
        <v>6</v>
      </c>
      <c r="BH151" s="8" t="s">
        <v>7</v>
      </c>
      <c r="BI151" s="8" t="s">
        <v>8</v>
      </c>
      <c r="BJ151" s="8" t="s">
        <v>9</v>
      </c>
      <c r="BK151" s="8" t="s">
        <v>10</v>
      </c>
      <c r="BL151" s="9"/>
      <c r="BM151" s="10"/>
      <c r="BN151" s="11" t="s">
        <v>11</v>
      </c>
      <c r="BO151" s="12" t="s">
        <v>6</v>
      </c>
      <c r="BP151" s="12" t="s">
        <v>7</v>
      </c>
      <c r="BQ151" s="12" t="s">
        <v>8</v>
      </c>
      <c r="BR151" s="12" t="s">
        <v>9</v>
      </c>
      <c r="BS151" s="13" t="s">
        <v>10</v>
      </c>
      <c r="BT151" s="10"/>
      <c r="CA151" s="204" t="s">
        <v>37</v>
      </c>
      <c r="CB151" s="835" t="s">
        <v>91</v>
      </c>
      <c r="CC151" s="836"/>
      <c r="CD151" s="836"/>
      <c r="CE151" s="836"/>
      <c r="CF151" s="837"/>
      <c r="CH151" s="7"/>
      <c r="CI151" s="8" t="s">
        <v>6</v>
      </c>
      <c r="CJ151" s="8" t="s">
        <v>7</v>
      </c>
      <c r="CK151" s="8" t="s">
        <v>8</v>
      </c>
      <c r="CL151" s="8" t="s">
        <v>9</v>
      </c>
      <c r="CM151" s="8" t="s">
        <v>10</v>
      </c>
      <c r="CN151" s="9"/>
      <c r="CO151" s="10"/>
      <c r="CP151" s="11" t="s">
        <v>11</v>
      </c>
      <c r="CQ151" s="12" t="s">
        <v>6</v>
      </c>
      <c r="CR151" s="12" t="s">
        <v>7</v>
      </c>
      <c r="CS151" s="12" t="s">
        <v>8</v>
      </c>
      <c r="CT151" s="12" t="s">
        <v>9</v>
      </c>
      <c r="CU151" s="13" t="s">
        <v>10</v>
      </c>
      <c r="CV151" s="10"/>
      <c r="DC151" s="204" t="s">
        <v>37</v>
      </c>
      <c r="DD151" s="835" t="s">
        <v>106</v>
      </c>
      <c r="DE151" s="836"/>
      <c r="DF151" s="836"/>
      <c r="DG151" s="836"/>
      <c r="DH151" s="837"/>
      <c r="DJ151" s="7"/>
      <c r="DK151" s="8" t="s">
        <v>6</v>
      </c>
      <c r="DL151" s="8" t="s">
        <v>7</v>
      </c>
      <c r="DM151" s="8" t="s">
        <v>8</v>
      </c>
      <c r="DN151" s="8" t="s">
        <v>9</v>
      </c>
      <c r="DO151" s="8" t="s">
        <v>10</v>
      </c>
      <c r="DP151" s="9"/>
      <c r="DQ151" s="10"/>
      <c r="DR151" s="11" t="s">
        <v>11</v>
      </c>
      <c r="DS151" s="12" t="s">
        <v>6</v>
      </c>
      <c r="DT151" s="12" t="s">
        <v>7</v>
      </c>
      <c r="DU151" s="12" t="s">
        <v>8</v>
      </c>
      <c r="DV151" s="12" t="s">
        <v>9</v>
      </c>
      <c r="DW151" s="13" t="s">
        <v>10</v>
      </c>
      <c r="DX151" s="10"/>
      <c r="EE151" s="204" t="s">
        <v>37</v>
      </c>
      <c r="EF151" s="835" t="s">
        <v>121</v>
      </c>
      <c r="EG151" s="836"/>
      <c r="EH151" s="836"/>
      <c r="EI151" s="836"/>
      <c r="EJ151" s="837"/>
    </row>
    <row r="152" spans="2:140" x14ac:dyDescent="0.2">
      <c r="B152" s="14" t="s">
        <v>13</v>
      </c>
      <c r="C152" s="120">
        <f>K184</f>
        <v>17</v>
      </c>
      <c r="D152" s="16">
        <f>K190</f>
        <v>23</v>
      </c>
      <c r="E152" s="16">
        <f>K172</f>
        <v>5</v>
      </c>
      <c r="F152" s="16">
        <f>K185</f>
        <v>18</v>
      </c>
      <c r="G152" s="17">
        <f>K187</f>
        <v>20</v>
      </c>
      <c r="H152" s="18">
        <f>SUM(C152:G152)</f>
        <v>83</v>
      </c>
      <c r="I152" s="10"/>
      <c r="J152" s="19" t="s">
        <v>13</v>
      </c>
      <c r="K152" s="20">
        <f>C152/C157</f>
        <v>0.31481481481481483</v>
      </c>
      <c r="L152" s="21">
        <f>D152/D157</f>
        <v>0.23711340206185566</v>
      </c>
      <c r="M152" s="21">
        <f>E152/E157</f>
        <v>9.8039215686274508E-2</v>
      </c>
      <c r="N152" s="21">
        <f>F152/F157</f>
        <v>0.33962264150943394</v>
      </c>
      <c r="O152" s="22">
        <f>G152/G157</f>
        <v>0.2857142857142857</v>
      </c>
      <c r="P152" s="23"/>
      <c r="W152" s="206">
        <v>1</v>
      </c>
      <c r="X152" s="24">
        <f t="shared" ref="X152:AB163" si="267">X168+X183</f>
        <v>41.33294708571654</v>
      </c>
      <c r="Y152" s="25">
        <f t="shared" si="267"/>
        <v>36.782648544100972</v>
      </c>
      <c r="Z152" s="25">
        <f t="shared" si="267"/>
        <v>33.577832883884767</v>
      </c>
      <c r="AA152" s="25">
        <f t="shared" si="267"/>
        <v>40.795570782651467</v>
      </c>
      <c r="AB152" s="26">
        <f t="shared" si="267"/>
        <v>36.270899633483822</v>
      </c>
      <c r="AD152" s="14" t="s">
        <v>13</v>
      </c>
      <c r="AE152" s="120">
        <f>AM184</f>
        <v>21</v>
      </c>
      <c r="AF152" s="16">
        <f>AM190</f>
        <v>2</v>
      </c>
      <c r="AG152" s="16">
        <f>AM172</f>
        <v>9</v>
      </c>
      <c r="AH152" s="16">
        <f>AM185</f>
        <v>22</v>
      </c>
      <c r="AI152" s="17">
        <f>AM187</f>
        <v>24</v>
      </c>
      <c r="AJ152" s="18">
        <f>SUM(AE152:AI152)</f>
        <v>78</v>
      </c>
      <c r="AK152" s="10"/>
      <c r="AL152" s="19" t="s">
        <v>13</v>
      </c>
      <c r="AM152" s="28">
        <f>AE152/AE157</f>
        <v>0.42857142857142855</v>
      </c>
      <c r="AN152" s="29">
        <f>AF152/AF157</f>
        <v>2.9850746268656716E-2</v>
      </c>
      <c r="AO152" s="21">
        <f>AG152/AG157</f>
        <v>0.19565217391304349</v>
      </c>
      <c r="AP152" s="21">
        <f>AH152/AH157</f>
        <v>0.30136986301369861</v>
      </c>
      <c r="AQ152" s="22">
        <f>AI152/AI157</f>
        <v>0.26666666666666666</v>
      </c>
      <c r="AR152" s="23"/>
      <c r="AY152" s="206">
        <v>1</v>
      </c>
      <c r="AZ152" s="24">
        <f t="shared" ref="AZ152:BD163" si="268">AZ168+AZ183</f>
        <v>40.384011132331437</v>
      </c>
      <c r="BA152" s="25">
        <f t="shared" si="268"/>
        <v>43.74534485241027</v>
      </c>
      <c r="BB152" s="25">
        <f t="shared" si="268"/>
        <v>39.059223390041964</v>
      </c>
      <c r="BC152" s="25">
        <f t="shared" si="268"/>
        <v>40.798736047859641</v>
      </c>
      <c r="BD152" s="26">
        <f t="shared" si="268"/>
        <v>42.871125852612131</v>
      </c>
      <c r="BF152" s="14" t="s">
        <v>13</v>
      </c>
      <c r="BG152" s="120">
        <f>BO184</f>
        <v>8</v>
      </c>
      <c r="BH152" s="16">
        <f>BO190</f>
        <v>14</v>
      </c>
      <c r="BI152" s="16">
        <f>BO172</f>
        <v>21</v>
      </c>
      <c r="BJ152" s="16">
        <f>BO185</f>
        <v>9</v>
      </c>
      <c r="BK152" s="17">
        <f>BO187</f>
        <v>11</v>
      </c>
      <c r="BL152" s="18">
        <f>SUM(BG152:BK152)</f>
        <v>63</v>
      </c>
      <c r="BM152" s="10"/>
      <c r="BN152" s="19" t="s">
        <v>13</v>
      </c>
      <c r="BO152" s="28">
        <f>BG152/BG157</f>
        <v>9.5238095238095233E-2</v>
      </c>
      <c r="BP152" s="21">
        <f>BH152/BH157</f>
        <v>0.26923076923076922</v>
      </c>
      <c r="BQ152" s="29">
        <f>BI152/BI157</f>
        <v>0.25925925925925924</v>
      </c>
      <c r="BR152" s="21">
        <f>BJ152/BJ157</f>
        <v>0.15517241379310345</v>
      </c>
      <c r="BS152" s="22">
        <f>BK152/BK157</f>
        <v>0.22</v>
      </c>
      <c r="BT152" s="23"/>
      <c r="CA152" s="206">
        <v>1</v>
      </c>
      <c r="CB152" s="24">
        <f t="shared" ref="CB152:CF163" si="269">CB168+CB183</f>
        <v>38.388619299489541</v>
      </c>
      <c r="CC152" s="25">
        <f t="shared" si="269"/>
        <v>37.697518039614437</v>
      </c>
      <c r="CD152" s="25">
        <f t="shared" si="269"/>
        <v>44.825760180576268</v>
      </c>
      <c r="CE152" s="25">
        <f t="shared" si="269"/>
        <v>35.405484263162506</v>
      </c>
      <c r="CF152" s="26">
        <f t="shared" si="269"/>
        <v>36.888370503581683</v>
      </c>
      <c r="CH152" s="14" t="s">
        <v>13</v>
      </c>
      <c r="CI152" s="120">
        <f>CQ184</f>
        <v>2</v>
      </c>
      <c r="CJ152" s="16">
        <f>CQ190</f>
        <v>8</v>
      </c>
      <c r="CK152" s="16">
        <f>CQ172</f>
        <v>15</v>
      </c>
      <c r="CL152" s="16">
        <f>CQ185</f>
        <v>3</v>
      </c>
      <c r="CM152" s="17">
        <f>CQ187</f>
        <v>5</v>
      </c>
      <c r="CN152" s="18">
        <f>SUM(CI152:CM152)</f>
        <v>33</v>
      </c>
      <c r="CO152" s="10"/>
      <c r="CP152" s="19" t="s">
        <v>13</v>
      </c>
      <c r="CQ152" s="28">
        <f>CI152/CI157</f>
        <v>3.7037037037037035E-2</v>
      </c>
      <c r="CR152" s="21">
        <f>CJ152/CJ157</f>
        <v>0.1702127659574468</v>
      </c>
      <c r="CS152" s="21">
        <f>CK152/CK157</f>
        <v>0.19736842105263158</v>
      </c>
      <c r="CT152" s="29">
        <f>CL152/CL157</f>
        <v>3.8461538461538464E-2</v>
      </c>
      <c r="CU152" s="22">
        <f>CM152/CM157</f>
        <v>7.1428571428571425E-2</v>
      </c>
      <c r="CV152" s="23"/>
      <c r="DC152" s="206">
        <v>1</v>
      </c>
      <c r="DD152" s="24">
        <f t="shared" ref="DD152:DH163" si="270">DD168+DD183</f>
        <v>42.619879485453033</v>
      </c>
      <c r="DE152" s="25">
        <f t="shared" si="270"/>
        <v>42.100693150673187</v>
      </c>
      <c r="DF152" s="25">
        <f t="shared" si="270"/>
        <v>50.582799921963264</v>
      </c>
      <c r="DG152" s="25">
        <f t="shared" si="270"/>
        <v>55.632800327779513</v>
      </c>
      <c r="DH152" s="26">
        <f t="shared" si="270"/>
        <v>41.641801408788922</v>
      </c>
      <c r="DJ152" s="14" t="s">
        <v>13</v>
      </c>
      <c r="DK152" s="120">
        <f>DS184</f>
        <v>1</v>
      </c>
      <c r="DL152" s="16">
        <f>DS190</f>
        <v>7</v>
      </c>
      <c r="DM152" s="16">
        <f>DS172</f>
        <v>14</v>
      </c>
      <c r="DN152" s="16">
        <f>DS185</f>
        <v>2</v>
      </c>
      <c r="DO152" s="17">
        <f>DS187</f>
        <v>4</v>
      </c>
      <c r="DP152" s="18">
        <f>SUM(DK152:DO152)</f>
        <v>28</v>
      </c>
      <c r="DQ152" s="10"/>
      <c r="DR152" s="19" t="s">
        <v>13</v>
      </c>
      <c r="DS152" s="28">
        <f>DK152/DK157</f>
        <v>2.0408163265306121E-2</v>
      </c>
      <c r="DT152" s="21">
        <f>DL152/DL157</f>
        <v>0.16666666666666666</v>
      </c>
      <c r="DU152" s="21">
        <f>DM152/DM157</f>
        <v>0.19718309859154928</v>
      </c>
      <c r="DV152" s="21">
        <f>DN152/DN157</f>
        <v>2.7397260273972601E-2</v>
      </c>
      <c r="DW152" s="31">
        <f>DO152/DO157</f>
        <v>4.4444444444444446E-2</v>
      </c>
      <c r="DX152" s="23"/>
      <c r="EE152" s="206">
        <v>1</v>
      </c>
      <c r="EF152" s="24">
        <f t="shared" ref="EF152:EJ163" si="271">EF168+EF183</f>
        <v>37.795833333333334</v>
      </c>
      <c r="EG152" s="25">
        <f t="shared" si="271"/>
        <v>38.215485829959519</v>
      </c>
      <c r="EH152" s="25">
        <f t="shared" si="271"/>
        <v>43.257175032175027</v>
      </c>
      <c r="EI152" s="25">
        <f t="shared" si="271"/>
        <v>45.371929824561398</v>
      </c>
      <c r="EJ152" s="26">
        <f t="shared" si="271"/>
        <v>48.042559523809523</v>
      </c>
    </row>
    <row r="153" spans="2:140" x14ac:dyDescent="0.2">
      <c r="B153" s="14" t="s">
        <v>3</v>
      </c>
      <c r="C153" s="32">
        <f>K168</f>
        <v>1</v>
      </c>
      <c r="D153" s="33">
        <f>K186</f>
        <v>19</v>
      </c>
      <c r="E153" s="33">
        <f>K171</f>
        <v>4</v>
      </c>
      <c r="F153" s="33">
        <f>K173</f>
        <v>6</v>
      </c>
      <c r="G153" s="34">
        <f>K174</f>
        <v>7</v>
      </c>
      <c r="H153" s="18">
        <f t="shared" ref="H153:H156" si="272">SUM(C153:G153)</f>
        <v>37</v>
      </c>
      <c r="I153" s="10"/>
      <c r="J153" s="19" t="s">
        <v>3</v>
      </c>
      <c r="K153" s="35">
        <f>C153/C157</f>
        <v>1.8518518518518517E-2</v>
      </c>
      <c r="L153" s="36">
        <f>D153/D157</f>
        <v>0.19587628865979381</v>
      </c>
      <c r="M153" s="36">
        <f>E153/E157</f>
        <v>7.8431372549019607E-2</v>
      </c>
      <c r="N153" s="36">
        <f>F153/F157</f>
        <v>0.11320754716981132</v>
      </c>
      <c r="O153" s="37">
        <f>G153/G157</f>
        <v>0.1</v>
      </c>
      <c r="P153" s="23"/>
      <c r="W153" s="98">
        <v>2</v>
      </c>
      <c r="X153" s="32">
        <f t="shared" si="267"/>
        <v>48.063581408563977</v>
      </c>
      <c r="Y153" s="38">
        <f t="shared" si="267"/>
        <v>42.812413904526707</v>
      </c>
      <c r="Z153" s="38">
        <f t="shared" si="267"/>
        <v>39.028972430612548</v>
      </c>
      <c r="AA153" s="38">
        <f t="shared" si="267"/>
        <v>47.333109231736792</v>
      </c>
      <c r="AB153" s="39">
        <f t="shared" si="267"/>
        <v>42.172193629343028</v>
      </c>
      <c r="AD153" s="14" t="s">
        <v>3</v>
      </c>
      <c r="AE153" s="32">
        <f>AM168</f>
        <v>5</v>
      </c>
      <c r="AF153" s="33">
        <f>AM186</f>
        <v>23</v>
      </c>
      <c r="AG153" s="33">
        <f>AM171</f>
        <v>8</v>
      </c>
      <c r="AH153" s="33">
        <f>AM173</f>
        <v>10</v>
      </c>
      <c r="AI153" s="34">
        <f>AM174</f>
        <v>11</v>
      </c>
      <c r="AJ153" s="18">
        <f t="shared" ref="AJ153:AJ156" si="273">SUM(AE153:AI153)</f>
        <v>57</v>
      </c>
      <c r="AK153" s="10"/>
      <c r="AL153" s="19" t="s">
        <v>3</v>
      </c>
      <c r="AM153" s="40">
        <f>AE153/AE157</f>
        <v>0.10204081632653061</v>
      </c>
      <c r="AN153" s="41">
        <f>AF153/AF157</f>
        <v>0.34328358208955223</v>
      </c>
      <c r="AO153" s="36">
        <f>AG153/AG157</f>
        <v>0.17391304347826086</v>
      </c>
      <c r="AP153" s="36">
        <f>AH153/AH157</f>
        <v>0.13698630136986301</v>
      </c>
      <c r="AQ153" s="37">
        <f>AI153/AI157</f>
        <v>0.12222222222222222</v>
      </c>
      <c r="AR153" s="23"/>
      <c r="AY153" s="98">
        <v>2</v>
      </c>
      <c r="AZ153" s="32">
        <f t="shared" si="268"/>
        <v>41.071781695101997</v>
      </c>
      <c r="BA153" s="38">
        <f t="shared" si="268"/>
        <v>43.007790739856155</v>
      </c>
      <c r="BB153" s="38">
        <f t="shared" si="268"/>
        <v>38.885203782198829</v>
      </c>
      <c r="BC153" s="38">
        <f t="shared" si="268"/>
        <v>40.316388377608746</v>
      </c>
      <c r="BD153" s="39">
        <f t="shared" si="268"/>
        <v>42.581379138685094</v>
      </c>
      <c r="BF153" s="14" t="s">
        <v>3</v>
      </c>
      <c r="BG153" s="32">
        <f>BO168</f>
        <v>17</v>
      </c>
      <c r="BH153" s="33">
        <f>BO186</f>
        <v>10</v>
      </c>
      <c r="BI153" s="33">
        <f>BO171</f>
        <v>20</v>
      </c>
      <c r="BJ153" s="33">
        <f>BO173</f>
        <v>22</v>
      </c>
      <c r="BK153" s="34">
        <f>BO174</f>
        <v>23</v>
      </c>
      <c r="BL153" s="18">
        <f t="shared" ref="BL153:BL156" si="274">SUM(BG153:BK153)</f>
        <v>92</v>
      </c>
      <c r="BM153" s="10"/>
      <c r="BN153" s="19" t="s">
        <v>3</v>
      </c>
      <c r="BO153" s="40">
        <f>BG153/BG157</f>
        <v>0.20238095238095238</v>
      </c>
      <c r="BP153" s="36">
        <f>BH153/BH157</f>
        <v>0.19230769230769232</v>
      </c>
      <c r="BQ153" s="41">
        <f>BI153/BI157</f>
        <v>0.24691358024691357</v>
      </c>
      <c r="BR153" s="36">
        <f>BJ153/BJ157</f>
        <v>0.37931034482758619</v>
      </c>
      <c r="BS153" s="37">
        <f>BK153/BK157</f>
        <v>0.46</v>
      </c>
      <c r="BT153" s="23"/>
      <c r="CA153" s="98">
        <v>2</v>
      </c>
      <c r="CB153" s="32">
        <f t="shared" si="269"/>
        <v>48.455549124050947</v>
      </c>
      <c r="CC153" s="38">
        <f t="shared" si="269"/>
        <v>47.326249382898027</v>
      </c>
      <c r="CD153" s="38">
        <f t="shared" si="269"/>
        <v>56.818271124916471</v>
      </c>
      <c r="CE153" s="38">
        <f t="shared" si="269"/>
        <v>44.28244504747623</v>
      </c>
      <c r="CF153" s="39">
        <f t="shared" si="269"/>
        <v>46.041901577028007</v>
      </c>
      <c r="CH153" s="14" t="s">
        <v>3</v>
      </c>
      <c r="CI153" s="32">
        <f>CQ168</f>
        <v>11</v>
      </c>
      <c r="CJ153" s="33">
        <f>CQ186</f>
        <v>4</v>
      </c>
      <c r="CK153" s="33">
        <f>CQ171</f>
        <v>14</v>
      </c>
      <c r="CL153" s="33">
        <f>CQ173</f>
        <v>16</v>
      </c>
      <c r="CM153" s="34">
        <f>CQ174</f>
        <v>17</v>
      </c>
      <c r="CN153" s="18">
        <f t="shared" ref="CN153:CN156" si="275">SUM(CI153:CM153)</f>
        <v>62</v>
      </c>
      <c r="CO153" s="10"/>
      <c r="CP153" s="19" t="s">
        <v>3</v>
      </c>
      <c r="CQ153" s="40">
        <f>CI153/CI157</f>
        <v>0.20370370370370369</v>
      </c>
      <c r="CR153" s="36">
        <f>CJ153/CJ157</f>
        <v>8.5106382978723402E-2</v>
      </c>
      <c r="CS153" s="36">
        <f>CK153/CK157</f>
        <v>0.18421052631578946</v>
      </c>
      <c r="CT153" s="41">
        <f>CL153/CL157</f>
        <v>0.20512820512820512</v>
      </c>
      <c r="CU153" s="37">
        <f>CM153/CM157</f>
        <v>0.24285714285714285</v>
      </c>
      <c r="CV153" s="23"/>
      <c r="DC153" s="98">
        <v>2</v>
      </c>
      <c r="DD153" s="32">
        <f t="shared" si="270"/>
        <v>41.111772396463586</v>
      </c>
      <c r="DE153" s="38">
        <f t="shared" si="270"/>
        <v>41.070901043555494</v>
      </c>
      <c r="DF153" s="38">
        <f t="shared" si="270"/>
        <v>48.584396902218778</v>
      </c>
      <c r="DG153" s="38">
        <f t="shared" si="270"/>
        <v>52.818406388385576</v>
      </c>
      <c r="DH153" s="39">
        <f t="shared" si="270"/>
        <v>41.133468075455582</v>
      </c>
      <c r="DJ153" s="14" t="s">
        <v>3</v>
      </c>
      <c r="DK153" s="32">
        <f>DS168</f>
        <v>10</v>
      </c>
      <c r="DL153" s="33">
        <f>DS186</f>
        <v>3</v>
      </c>
      <c r="DM153" s="33">
        <f>DS171</f>
        <v>13</v>
      </c>
      <c r="DN153" s="33">
        <f>DS173</f>
        <v>15</v>
      </c>
      <c r="DO153" s="34">
        <f>DS174</f>
        <v>16</v>
      </c>
      <c r="DP153" s="18">
        <f t="shared" ref="DP153:DP156" si="276">SUM(DK153:DO153)</f>
        <v>57</v>
      </c>
      <c r="DQ153" s="10"/>
      <c r="DR153" s="19" t="s">
        <v>3</v>
      </c>
      <c r="DS153" s="40">
        <f>DK153/DK157</f>
        <v>0.20408163265306123</v>
      </c>
      <c r="DT153" s="36">
        <f>DL153/DL157</f>
        <v>7.1428571428571425E-2</v>
      </c>
      <c r="DU153" s="36">
        <f>DM153/DM157</f>
        <v>0.18309859154929578</v>
      </c>
      <c r="DV153" s="36">
        <f>DN153/DN157</f>
        <v>0.20547945205479451</v>
      </c>
      <c r="DW153" s="42">
        <f>DO153/DO157</f>
        <v>0.17777777777777778</v>
      </c>
      <c r="DX153" s="23"/>
      <c r="EE153" s="98">
        <v>2</v>
      </c>
      <c r="EF153" s="32">
        <f t="shared" si="271"/>
        <v>42.108333333333334</v>
      </c>
      <c r="EG153" s="38">
        <f t="shared" si="271"/>
        <v>42.645141700404864</v>
      </c>
      <c r="EH153" s="38">
        <f t="shared" si="271"/>
        <v>48.194594594594591</v>
      </c>
      <c r="EI153" s="38">
        <f t="shared" si="271"/>
        <v>50.480701754385969</v>
      </c>
      <c r="EJ153" s="39">
        <f t="shared" si="271"/>
        <v>53.508333333333333</v>
      </c>
    </row>
    <row r="154" spans="2:140" x14ac:dyDescent="0.2">
      <c r="B154" s="14" t="s">
        <v>14</v>
      </c>
      <c r="C154" s="123">
        <f>K170</f>
        <v>3</v>
      </c>
      <c r="D154" s="33">
        <f>K191</f>
        <v>24</v>
      </c>
      <c r="E154" s="33">
        <f>K189</f>
        <v>22</v>
      </c>
      <c r="F154" s="33">
        <f>K169</f>
        <v>2</v>
      </c>
      <c r="G154" s="34">
        <f>K181</f>
        <v>14</v>
      </c>
      <c r="H154" s="18">
        <f t="shared" si="272"/>
        <v>65</v>
      </c>
      <c r="I154" s="10"/>
      <c r="J154" s="19" t="s">
        <v>14</v>
      </c>
      <c r="K154" s="35">
        <f>C154/C157</f>
        <v>5.5555555555555552E-2</v>
      </c>
      <c r="L154" s="36">
        <f>D154/D157</f>
        <v>0.24742268041237114</v>
      </c>
      <c r="M154" s="36">
        <f>E154/E157</f>
        <v>0.43137254901960786</v>
      </c>
      <c r="N154" s="36">
        <f>F154/F157</f>
        <v>3.7735849056603772E-2</v>
      </c>
      <c r="O154" s="37">
        <f>G154/G157</f>
        <v>0.2</v>
      </c>
      <c r="P154" s="23"/>
      <c r="W154" s="98">
        <v>3</v>
      </c>
      <c r="X154" s="32">
        <f t="shared" si="267"/>
        <v>47.745035403542559</v>
      </c>
      <c r="Y154" s="38">
        <f t="shared" si="267"/>
        <v>42.226794649567829</v>
      </c>
      <c r="Z154" s="38">
        <f t="shared" si="267"/>
        <v>38.895696392924748</v>
      </c>
      <c r="AA154" s="38">
        <f t="shared" si="267"/>
        <v>47.814309652653101</v>
      </c>
      <c r="AB154" s="39">
        <f t="shared" si="267"/>
        <v>41.930630482345101</v>
      </c>
      <c r="AD154" s="14" t="s">
        <v>14</v>
      </c>
      <c r="AE154" s="123">
        <f>AM170</f>
        <v>7</v>
      </c>
      <c r="AF154" s="33">
        <f>AM191</f>
        <v>3</v>
      </c>
      <c r="AG154" s="33">
        <f>AM189</f>
        <v>1</v>
      </c>
      <c r="AH154" s="33">
        <f>AM169</f>
        <v>6</v>
      </c>
      <c r="AI154" s="34">
        <f>AM181</f>
        <v>18</v>
      </c>
      <c r="AJ154" s="18">
        <f t="shared" si="273"/>
        <v>35</v>
      </c>
      <c r="AK154" s="10"/>
      <c r="AL154" s="19" t="s">
        <v>14</v>
      </c>
      <c r="AM154" s="40">
        <f>AE154/AE157</f>
        <v>0.14285714285714285</v>
      </c>
      <c r="AN154" s="41">
        <f>AF154/AF157</f>
        <v>4.4776119402985072E-2</v>
      </c>
      <c r="AO154" s="36">
        <f>AG154/AG157</f>
        <v>2.1739130434782608E-2</v>
      </c>
      <c r="AP154" s="36">
        <f>AH154/AH157</f>
        <v>8.2191780821917804E-2</v>
      </c>
      <c r="AQ154" s="37">
        <f>AI154/AI157</f>
        <v>0.2</v>
      </c>
      <c r="AR154" s="23"/>
      <c r="AY154" s="98">
        <v>3</v>
      </c>
      <c r="AZ154" s="32">
        <f t="shared" si="268"/>
        <v>50.175136673456976</v>
      </c>
      <c r="BA154" s="38">
        <f t="shared" si="268"/>
        <v>53.84166519873061</v>
      </c>
      <c r="BB154" s="38">
        <f t="shared" si="268"/>
        <v>48.240595939061578</v>
      </c>
      <c r="BC154" s="38">
        <f t="shared" si="268"/>
        <v>50.285653610583658</v>
      </c>
      <c r="BD154" s="39">
        <f t="shared" si="268"/>
        <v>52.914583244430176</v>
      </c>
      <c r="BF154" s="14" t="s">
        <v>14</v>
      </c>
      <c r="BG154" s="123">
        <f>BO170</f>
        <v>19</v>
      </c>
      <c r="BH154" s="33">
        <f>BO191</f>
        <v>15</v>
      </c>
      <c r="BI154" s="33">
        <f>BO189</f>
        <v>13</v>
      </c>
      <c r="BJ154" s="33">
        <f>BO169</f>
        <v>18</v>
      </c>
      <c r="BK154" s="34">
        <f>BO181</f>
        <v>5</v>
      </c>
      <c r="BL154" s="18">
        <f t="shared" si="274"/>
        <v>70</v>
      </c>
      <c r="BM154" s="10"/>
      <c r="BN154" s="19" t="s">
        <v>14</v>
      </c>
      <c r="BO154" s="40">
        <f>BG154/BG157</f>
        <v>0.22619047619047619</v>
      </c>
      <c r="BP154" s="36">
        <f>BH154/BH157</f>
        <v>0.28846153846153844</v>
      </c>
      <c r="BQ154" s="41">
        <f>BI154/BI157</f>
        <v>0.16049382716049382</v>
      </c>
      <c r="BR154" s="36">
        <f>BJ154/BJ157</f>
        <v>0.31034482758620691</v>
      </c>
      <c r="BS154" s="37">
        <f>BK154/BK157</f>
        <v>0.1</v>
      </c>
      <c r="BT154" s="23"/>
      <c r="CA154" s="98">
        <v>3</v>
      </c>
      <c r="CB154" s="32">
        <f t="shared" si="269"/>
        <v>46.642478948612343</v>
      </c>
      <c r="CC154" s="38">
        <f t="shared" si="269"/>
        <v>45.954980726181603</v>
      </c>
      <c r="CD154" s="38">
        <f t="shared" si="269"/>
        <v>54.322977191207912</v>
      </c>
      <c r="CE154" s="38">
        <f t="shared" si="269"/>
        <v>43.259405831789962</v>
      </c>
      <c r="CF154" s="39">
        <f t="shared" si="269"/>
        <v>45.127636040304843</v>
      </c>
      <c r="CH154" s="14" t="s">
        <v>14</v>
      </c>
      <c r="CI154" s="123">
        <f>CQ170</f>
        <v>13</v>
      </c>
      <c r="CJ154" s="33">
        <f>CQ191</f>
        <v>9</v>
      </c>
      <c r="CK154" s="33">
        <f>CQ189</f>
        <v>7</v>
      </c>
      <c r="CL154" s="33">
        <f>CQ169</f>
        <v>12</v>
      </c>
      <c r="CM154" s="34">
        <f>CQ181</f>
        <v>24</v>
      </c>
      <c r="CN154" s="18">
        <f t="shared" si="275"/>
        <v>65</v>
      </c>
      <c r="CO154" s="10"/>
      <c r="CP154" s="19" t="s">
        <v>14</v>
      </c>
      <c r="CQ154" s="40">
        <f>CI154/CI157</f>
        <v>0.24074074074074073</v>
      </c>
      <c r="CR154" s="36">
        <f>CJ154/CJ157</f>
        <v>0.19148936170212766</v>
      </c>
      <c r="CS154" s="36">
        <f>CK154/CK157</f>
        <v>9.2105263157894732E-2</v>
      </c>
      <c r="CT154" s="41">
        <f>CL154/CL157</f>
        <v>0.15384615384615385</v>
      </c>
      <c r="CU154" s="37">
        <f>CM154/CM157</f>
        <v>0.34285714285714286</v>
      </c>
      <c r="CV154" s="23"/>
      <c r="DC154" s="98">
        <v>3</v>
      </c>
      <c r="DD154" s="32">
        <f t="shared" si="270"/>
        <v>45.584057464336894</v>
      </c>
      <c r="DE154" s="38">
        <f t="shared" si="270"/>
        <v>45.586563481892355</v>
      </c>
      <c r="DF154" s="38">
        <f t="shared" si="270"/>
        <v>53.847898644379057</v>
      </c>
      <c r="DG154" s="38">
        <f t="shared" si="270"/>
        <v>58.476234671213859</v>
      </c>
      <c r="DH154" s="39">
        <f t="shared" si="270"/>
        <v>45.708468075455592</v>
      </c>
      <c r="DJ154" s="14" t="s">
        <v>14</v>
      </c>
      <c r="DK154" s="123">
        <f>DS170</f>
        <v>12</v>
      </c>
      <c r="DL154" s="33">
        <f>DS191</f>
        <v>8</v>
      </c>
      <c r="DM154" s="33">
        <f>DS189</f>
        <v>6</v>
      </c>
      <c r="DN154" s="33">
        <f>DS169</f>
        <v>11</v>
      </c>
      <c r="DO154" s="34">
        <f>DS181</f>
        <v>23</v>
      </c>
      <c r="DP154" s="18">
        <f t="shared" si="276"/>
        <v>60</v>
      </c>
      <c r="DQ154" s="10"/>
      <c r="DR154" s="19" t="s">
        <v>14</v>
      </c>
      <c r="DS154" s="40">
        <f>DK154/DK157</f>
        <v>0.24489795918367346</v>
      </c>
      <c r="DT154" s="36">
        <f>DL154/DL157</f>
        <v>0.19047619047619047</v>
      </c>
      <c r="DU154" s="36">
        <f>DM154/DM157</f>
        <v>8.4507042253521125E-2</v>
      </c>
      <c r="DV154" s="36">
        <f>DN154/DN157</f>
        <v>0.15068493150684931</v>
      </c>
      <c r="DW154" s="42">
        <f>DO154/DO157</f>
        <v>0.25555555555555554</v>
      </c>
      <c r="DX154" s="23"/>
      <c r="EE154" s="98">
        <v>3</v>
      </c>
      <c r="EF154" s="32">
        <f t="shared" si="271"/>
        <v>37.420833333333334</v>
      </c>
      <c r="EG154" s="38">
        <f t="shared" si="271"/>
        <v>38.548481781376523</v>
      </c>
      <c r="EH154" s="38">
        <f t="shared" si="271"/>
        <v>42.84629987129987</v>
      </c>
      <c r="EI154" s="38">
        <f t="shared" si="271"/>
        <v>44.221052631578949</v>
      </c>
      <c r="EJ154" s="39">
        <f t="shared" si="271"/>
        <v>47.402678571428574</v>
      </c>
    </row>
    <row r="155" spans="2:140" x14ac:dyDescent="0.2">
      <c r="B155" s="14" t="s">
        <v>8</v>
      </c>
      <c r="C155" s="121">
        <f>K192</f>
        <v>25</v>
      </c>
      <c r="D155" s="33">
        <f>K188</f>
        <v>21</v>
      </c>
      <c r="E155" s="33">
        <f>K176</f>
        <v>9</v>
      </c>
      <c r="F155" s="33">
        <f>K182</f>
        <v>15</v>
      </c>
      <c r="G155" s="34">
        <f>K183</f>
        <v>16</v>
      </c>
      <c r="H155" s="18">
        <f t="shared" si="272"/>
        <v>86</v>
      </c>
      <c r="I155" s="10"/>
      <c r="J155" s="19" t="s">
        <v>8</v>
      </c>
      <c r="K155" s="35">
        <f>C155/C157</f>
        <v>0.46296296296296297</v>
      </c>
      <c r="L155" s="36">
        <f>D155/D157</f>
        <v>0.21649484536082475</v>
      </c>
      <c r="M155" s="36">
        <f>E155/E157</f>
        <v>0.17647058823529413</v>
      </c>
      <c r="N155" s="36">
        <f>F155/F157</f>
        <v>0.28301886792452829</v>
      </c>
      <c r="O155" s="37">
        <f>G155/G157</f>
        <v>0.22857142857142856</v>
      </c>
      <c r="P155" s="23"/>
      <c r="W155" s="98">
        <v>4</v>
      </c>
      <c r="X155" s="32">
        <f t="shared" si="267"/>
        <v>56.204051796985183</v>
      </c>
      <c r="Y155" s="38">
        <f t="shared" si="267"/>
        <v>50.165256188029367</v>
      </c>
      <c r="Z155" s="38">
        <f t="shared" si="267"/>
        <v>45.596995094223445</v>
      </c>
      <c r="AA155" s="38">
        <f t="shared" si="267"/>
        <v>55.081915286455917</v>
      </c>
      <c r="AB155" s="39">
        <f t="shared" si="267"/>
        <v>49.302059053773675</v>
      </c>
      <c r="AD155" s="14" t="s">
        <v>8</v>
      </c>
      <c r="AE155" s="32">
        <f>AM192</f>
        <v>4</v>
      </c>
      <c r="AF155" s="122">
        <f>AM188</f>
        <v>25</v>
      </c>
      <c r="AG155" s="33">
        <f>AM176</f>
        <v>13</v>
      </c>
      <c r="AH155" s="33">
        <f>AM182</f>
        <v>19</v>
      </c>
      <c r="AI155" s="34">
        <f>AM183</f>
        <v>20</v>
      </c>
      <c r="AJ155" s="18">
        <f t="shared" si="273"/>
        <v>81</v>
      </c>
      <c r="AK155" s="10"/>
      <c r="AL155" s="19" t="s">
        <v>8</v>
      </c>
      <c r="AM155" s="40">
        <f>AE155/AE157</f>
        <v>8.1632653061224483E-2</v>
      </c>
      <c r="AN155" s="41">
        <f>AF155/AF157</f>
        <v>0.37313432835820898</v>
      </c>
      <c r="AO155" s="36">
        <f>AG155/AG157</f>
        <v>0.28260869565217389</v>
      </c>
      <c r="AP155" s="36">
        <f>AH155/AH157</f>
        <v>0.26027397260273971</v>
      </c>
      <c r="AQ155" s="37">
        <f>AI155/AI157</f>
        <v>0.22222222222222221</v>
      </c>
      <c r="AR155" s="23"/>
      <c r="AY155" s="98">
        <v>4</v>
      </c>
      <c r="AZ155" s="32">
        <f t="shared" si="268"/>
        <v>47.019292517612811</v>
      </c>
      <c r="BA155" s="38">
        <f t="shared" si="268"/>
        <v>49.502379484444901</v>
      </c>
      <c r="BB155" s="38">
        <f t="shared" si="268"/>
        <v>44.667066527296868</v>
      </c>
      <c r="BC155" s="38">
        <f t="shared" si="268"/>
        <v>46.366298771873979</v>
      </c>
      <c r="BD155" s="39">
        <f t="shared" si="268"/>
        <v>48.930976687053132</v>
      </c>
      <c r="BF155" s="14" t="s">
        <v>8</v>
      </c>
      <c r="BG155" s="32">
        <f>BO192</f>
        <v>16</v>
      </c>
      <c r="BH155" s="38">
        <f>BO188</f>
        <v>12</v>
      </c>
      <c r="BI155" s="122">
        <f>BO176</f>
        <v>25</v>
      </c>
      <c r="BJ155" s="33">
        <f>BO182</f>
        <v>6</v>
      </c>
      <c r="BK155" s="34">
        <f>BO183</f>
        <v>7</v>
      </c>
      <c r="BL155" s="18">
        <f t="shared" si="274"/>
        <v>66</v>
      </c>
      <c r="BM155" s="10"/>
      <c r="BN155" s="19" t="s">
        <v>8</v>
      </c>
      <c r="BO155" s="40">
        <f>BG155/BG157</f>
        <v>0.19047619047619047</v>
      </c>
      <c r="BP155" s="36">
        <f>BH155/BH157</f>
        <v>0.23076923076923078</v>
      </c>
      <c r="BQ155" s="41">
        <f>BI155/BI157</f>
        <v>0.30864197530864196</v>
      </c>
      <c r="BR155" s="36">
        <f>BJ155/BJ157</f>
        <v>0.10344827586206896</v>
      </c>
      <c r="BS155" s="37">
        <f>BK155/BK157</f>
        <v>0.14000000000000001</v>
      </c>
      <c r="BT155" s="23"/>
      <c r="CA155" s="98">
        <v>4</v>
      </c>
      <c r="CB155" s="32">
        <f t="shared" si="269"/>
        <v>49.282478948612351</v>
      </c>
      <c r="CC155" s="38">
        <f t="shared" si="269"/>
        <v>48.399425170626053</v>
      </c>
      <c r="CD155" s="38">
        <f t="shared" si="269"/>
        <v>57.542489386329862</v>
      </c>
      <c r="CE155" s="38">
        <f t="shared" si="269"/>
        <v>45.459405831789958</v>
      </c>
      <c r="CF155" s="39">
        <f t="shared" si="269"/>
        <v>47.364924175898061</v>
      </c>
      <c r="CH155" s="14" t="s">
        <v>8</v>
      </c>
      <c r="CI155" s="32">
        <f>CQ192</f>
        <v>10</v>
      </c>
      <c r="CJ155" s="38">
        <f>CQ188</f>
        <v>6</v>
      </c>
      <c r="CK155" s="38">
        <f>CQ176</f>
        <v>19</v>
      </c>
      <c r="CL155" s="122">
        <f>CQ182</f>
        <v>25</v>
      </c>
      <c r="CM155" s="34">
        <f>CQ183</f>
        <v>1</v>
      </c>
      <c r="CN155" s="18">
        <f t="shared" si="275"/>
        <v>61</v>
      </c>
      <c r="CO155" s="10"/>
      <c r="CP155" s="19" t="s">
        <v>8</v>
      </c>
      <c r="CQ155" s="40">
        <f>CI155/CI157</f>
        <v>0.18518518518518517</v>
      </c>
      <c r="CR155" s="36">
        <f>CJ155/CJ157</f>
        <v>0.1276595744680851</v>
      </c>
      <c r="CS155" s="36">
        <f>CK155/CK157</f>
        <v>0.25</v>
      </c>
      <c r="CT155" s="41">
        <f>CL155/CL157</f>
        <v>0.32051282051282054</v>
      </c>
      <c r="CU155" s="37">
        <f>CM155/CM157</f>
        <v>1.4285714285714285E-2</v>
      </c>
      <c r="CV155" s="23"/>
      <c r="DC155" s="98">
        <v>4</v>
      </c>
      <c r="DD155" s="32">
        <f t="shared" si="270"/>
        <v>38.407586876101597</v>
      </c>
      <c r="DE155" s="38">
        <f t="shared" si="270"/>
        <v>38.932018027346906</v>
      </c>
      <c r="DF155" s="38">
        <f t="shared" si="270"/>
        <v>45.133612930093349</v>
      </c>
      <c r="DG155" s="38">
        <f t="shared" si="270"/>
        <v>48.309568004547188</v>
      </c>
      <c r="DH155" s="39">
        <f t="shared" si="270"/>
        <v>39.608468075455583</v>
      </c>
      <c r="DJ155" s="14" t="s">
        <v>8</v>
      </c>
      <c r="DK155" s="32">
        <f>DS192</f>
        <v>9</v>
      </c>
      <c r="DL155" s="38">
        <f>DS188</f>
        <v>5</v>
      </c>
      <c r="DM155" s="38">
        <f>DS176</f>
        <v>18</v>
      </c>
      <c r="DN155" s="38">
        <f>DS182</f>
        <v>24</v>
      </c>
      <c r="DO155" s="117">
        <f>DS183</f>
        <v>25</v>
      </c>
      <c r="DP155" s="18">
        <f t="shared" si="276"/>
        <v>81</v>
      </c>
      <c r="DQ155" s="10"/>
      <c r="DR155" s="19" t="s">
        <v>8</v>
      </c>
      <c r="DS155" s="40">
        <f>DK155/DK157</f>
        <v>0.18367346938775511</v>
      </c>
      <c r="DT155" s="36">
        <f>DL155/DL157</f>
        <v>0.11904761904761904</v>
      </c>
      <c r="DU155" s="36">
        <f>DM155/DM157</f>
        <v>0.25352112676056338</v>
      </c>
      <c r="DV155" s="36">
        <f>DN155/DN157</f>
        <v>0.32876712328767121</v>
      </c>
      <c r="DW155" s="42">
        <f>DO155/DO157</f>
        <v>0.27777777777777779</v>
      </c>
      <c r="DX155" s="23"/>
      <c r="EE155" s="98">
        <v>4</v>
      </c>
      <c r="EF155" s="32">
        <f t="shared" si="271"/>
        <v>40.795833333333334</v>
      </c>
      <c r="EG155" s="38">
        <f t="shared" si="271"/>
        <v>41.745850202429153</v>
      </c>
      <c r="EH155" s="38">
        <f t="shared" si="271"/>
        <v>46.703442728442724</v>
      </c>
      <c r="EI155" s="38">
        <f t="shared" si="271"/>
        <v>48.484210526315792</v>
      </c>
      <c r="EJ155" s="39">
        <f t="shared" si="271"/>
        <v>51.741964285714289</v>
      </c>
    </row>
    <row r="156" spans="2:140" ht="15" thickBot="1" x14ac:dyDescent="0.25">
      <c r="B156" s="14" t="s">
        <v>3</v>
      </c>
      <c r="C156" s="43">
        <f>K175</f>
        <v>8</v>
      </c>
      <c r="D156" s="44">
        <f>K177</f>
        <v>10</v>
      </c>
      <c r="E156" s="44">
        <f>K178</f>
        <v>11</v>
      </c>
      <c r="F156" s="44">
        <f>K179</f>
        <v>12</v>
      </c>
      <c r="G156" s="45">
        <f>K180</f>
        <v>13</v>
      </c>
      <c r="H156" s="18">
        <f t="shared" si="272"/>
        <v>54</v>
      </c>
      <c r="I156" s="10"/>
      <c r="J156" s="46" t="s">
        <v>3</v>
      </c>
      <c r="K156" s="47">
        <f>C156/C157</f>
        <v>0.14814814814814814</v>
      </c>
      <c r="L156" s="48">
        <f>D156/D157</f>
        <v>0.10309278350515463</v>
      </c>
      <c r="M156" s="48">
        <f>E156/E157</f>
        <v>0.21568627450980393</v>
      </c>
      <c r="N156" s="48">
        <f>F156/F157</f>
        <v>0.22641509433962265</v>
      </c>
      <c r="O156" s="49">
        <f>G156/G157</f>
        <v>0.18571428571428572</v>
      </c>
      <c r="P156" s="23"/>
      <c r="W156" s="98">
        <v>5</v>
      </c>
      <c r="X156" s="32">
        <f t="shared" si="267"/>
        <v>49.473417474137747</v>
      </c>
      <c r="Y156" s="38">
        <f t="shared" si="267"/>
        <v>44.13549082760364</v>
      </c>
      <c r="Z156" s="38">
        <f t="shared" si="267"/>
        <v>40.145855547495671</v>
      </c>
      <c r="AA156" s="38">
        <f t="shared" si="267"/>
        <v>48.544376837370599</v>
      </c>
      <c r="AB156" s="39">
        <f t="shared" si="267"/>
        <v>43.400765057914455</v>
      </c>
      <c r="AD156" s="14" t="s">
        <v>3</v>
      </c>
      <c r="AE156" s="43">
        <f>AM175</f>
        <v>12</v>
      </c>
      <c r="AF156" s="44">
        <f>AM177</f>
        <v>14</v>
      </c>
      <c r="AG156" s="44">
        <f>AM178</f>
        <v>15</v>
      </c>
      <c r="AH156" s="44">
        <f>AM179</f>
        <v>16</v>
      </c>
      <c r="AI156" s="45">
        <f>AM180</f>
        <v>17</v>
      </c>
      <c r="AJ156" s="18">
        <f t="shared" si="273"/>
        <v>74</v>
      </c>
      <c r="AK156" s="10"/>
      <c r="AL156" s="46" t="s">
        <v>3</v>
      </c>
      <c r="AM156" s="50">
        <f>AE156/AE157</f>
        <v>0.24489795918367346</v>
      </c>
      <c r="AN156" s="51">
        <f>AF156/AF157</f>
        <v>0.20895522388059701</v>
      </c>
      <c r="AO156" s="48">
        <f>AG156/AG157</f>
        <v>0.32608695652173914</v>
      </c>
      <c r="AP156" s="48">
        <f>AH156/AH157</f>
        <v>0.21917808219178081</v>
      </c>
      <c r="AQ156" s="49">
        <f>AI156/AI157</f>
        <v>0.18888888888888888</v>
      </c>
      <c r="AR156" s="23"/>
      <c r="AY156" s="98">
        <v>5</v>
      </c>
      <c r="AZ156" s="32">
        <f t="shared" si="268"/>
        <v>46.331521954842259</v>
      </c>
      <c r="BA156" s="38">
        <f t="shared" si="268"/>
        <v>50.239933596999009</v>
      </c>
      <c r="BB156" s="38">
        <f t="shared" si="268"/>
        <v>44.841086135140003</v>
      </c>
      <c r="BC156" s="38">
        <f t="shared" si="268"/>
        <v>46.848646442124874</v>
      </c>
      <c r="BD156" s="39">
        <f t="shared" si="268"/>
        <v>49.220723400980177</v>
      </c>
      <c r="BF156" s="14" t="s">
        <v>3</v>
      </c>
      <c r="BG156" s="43">
        <f>BO175</f>
        <v>24</v>
      </c>
      <c r="BH156" s="44">
        <f>BO177</f>
        <v>1</v>
      </c>
      <c r="BI156" s="44">
        <f>BO178</f>
        <v>2</v>
      </c>
      <c r="BJ156" s="44">
        <f>BO179</f>
        <v>3</v>
      </c>
      <c r="BK156" s="45">
        <f>BO180</f>
        <v>4</v>
      </c>
      <c r="BL156" s="18">
        <f t="shared" si="274"/>
        <v>34</v>
      </c>
      <c r="BM156" s="10"/>
      <c r="BN156" s="46" t="s">
        <v>3</v>
      </c>
      <c r="BO156" s="50">
        <f>BG156/BG157</f>
        <v>0.2857142857142857</v>
      </c>
      <c r="BP156" s="48">
        <f>BH156/BH157</f>
        <v>1.9230769230769232E-2</v>
      </c>
      <c r="BQ156" s="51">
        <f>BI156/BI157</f>
        <v>2.4691358024691357E-2</v>
      </c>
      <c r="BR156" s="48">
        <f>BJ156/BJ157</f>
        <v>5.1724137931034482E-2</v>
      </c>
      <c r="BS156" s="49">
        <f>BK156/BK157</f>
        <v>0.08</v>
      </c>
      <c r="BT156" s="23"/>
      <c r="CA156" s="98">
        <v>5</v>
      </c>
      <c r="CB156" s="32">
        <f t="shared" si="269"/>
        <v>39.215549124050945</v>
      </c>
      <c r="CC156" s="38">
        <f t="shared" si="269"/>
        <v>38.77069382734247</v>
      </c>
      <c r="CD156" s="38">
        <f t="shared" si="269"/>
        <v>45.549978441989644</v>
      </c>
      <c r="CE156" s="38">
        <f t="shared" si="269"/>
        <v>36.582445047476234</v>
      </c>
      <c r="CF156" s="39">
        <f t="shared" si="269"/>
        <v>38.211393102451737</v>
      </c>
      <c r="CH156" s="14" t="s">
        <v>3</v>
      </c>
      <c r="CI156" s="43">
        <f>CQ175</f>
        <v>18</v>
      </c>
      <c r="CJ156" s="44">
        <f>CQ177</f>
        <v>20</v>
      </c>
      <c r="CK156" s="44">
        <f>CQ178</f>
        <v>21</v>
      </c>
      <c r="CL156" s="44">
        <f>CQ179</f>
        <v>22</v>
      </c>
      <c r="CM156" s="45">
        <f>CQ180</f>
        <v>23</v>
      </c>
      <c r="CN156" s="18">
        <f t="shared" si="275"/>
        <v>104</v>
      </c>
      <c r="CO156" s="10"/>
      <c r="CP156" s="46" t="s">
        <v>3</v>
      </c>
      <c r="CQ156" s="50">
        <f>CI156/CI157</f>
        <v>0.33333333333333331</v>
      </c>
      <c r="CR156" s="48">
        <f>CJ156/CJ157</f>
        <v>0.42553191489361702</v>
      </c>
      <c r="CS156" s="48">
        <f>CK156/CK157</f>
        <v>0.27631578947368424</v>
      </c>
      <c r="CT156" s="51">
        <f>CL156/CL157</f>
        <v>0.28205128205128205</v>
      </c>
      <c r="CU156" s="49">
        <f>CM156/CM157</f>
        <v>0.32857142857142857</v>
      </c>
      <c r="CV156" s="23"/>
      <c r="DC156" s="98">
        <v>5</v>
      </c>
      <c r="DD156" s="32">
        <f t="shared" si="270"/>
        <v>39.915693965091037</v>
      </c>
      <c r="DE156" s="38">
        <f t="shared" si="270"/>
        <v>39.961810134464592</v>
      </c>
      <c r="DF156" s="38">
        <f t="shared" si="270"/>
        <v>47.132015949837822</v>
      </c>
      <c r="DG156" s="38">
        <f t="shared" si="270"/>
        <v>51.123961943941126</v>
      </c>
      <c r="DH156" s="39">
        <f t="shared" si="270"/>
        <v>40.116801408788916</v>
      </c>
      <c r="DJ156" s="14" t="s">
        <v>3</v>
      </c>
      <c r="DK156" s="43">
        <f>DS175</f>
        <v>17</v>
      </c>
      <c r="DL156" s="44">
        <f>DS177</f>
        <v>19</v>
      </c>
      <c r="DM156" s="44">
        <f>DS178</f>
        <v>20</v>
      </c>
      <c r="DN156" s="44">
        <f>DS179</f>
        <v>21</v>
      </c>
      <c r="DO156" s="45">
        <f>DS180</f>
        <v>22</v>
      </c>
      <c r="DP156" s="18">
        <f t="shared" si="276"/>
        <v>99</v>
      </c>
      <c r="DQ156" s="10"/>
      <c r="DR156" s="46" t="s">
        <v>3</v>
      </c>
      <c r="DS156" s="50">
        <f>DK156/DK157</f>
        <v>0.34693877551020408</v>
      </c>
      <c r="DT156" s="48">
        <f>DL156/DL157</f>
        <v>0.45238095238095238</v>
      </c>
      <c r="DU156" s="48">
        <f>DM156/DM157</f>
        <v>0.28169014084507044</v>
      </c>
      <c r="DV156" s="48">
        <f>DN156/DN157</f>
        <v>0.28767123287671231</v>
      </c>
      <c r="DW156" s="52">
        <f>DO156/DO157</f>
        <v>0.24444444444444444</v>
      </c>
      <c r="DX156" s="23"/>
      <c r="EE156" s="98">
        <v>5</v>
      </c>
      <c r="EF156" s="32">
        <f t="shared" si="271"/>
        <v>36.483333333333334</v>
      </c>
      <c r="EG156" s="38">
        <f t="shared" si="271"/>
        <v>37.316194331983809</v>
      </c>
      <c r="EH156" s="38">
        <f t="shared" si="271"/>
        <v>41.76602316602316</v>
      </c>
      <c r="EI156" s="38">
        <f t="shared" si="271"/>
        <v>43.375438596491229</v>
      </c>
      <c r="EJ156" s="39">
        <f t="shared" si="271"/>
        <v>46.276190476190479</v>
      </c>
    </row>
    <row r="157" spans="2:140" ht="15" thickBot="1" x14ac:dyDescent="0.25">
      <c r="B157" s="53"/>
      <c r="C157" s="55">
        <f>SUM(C152:C156)</f>
        <v>54</v>
      </c>
      <c r="D157" s="55">
        <f t="shared" ref="D157:G157" si="277">SUM(D152:D156)</f>
        <v>97</v>
      </c>
      <c r="E157" s="55">
        <f t="shared" si="277"/>
        <v>51</v>
      </c>
      <c r="F157" s="55">
        <f t="shared" si="277"/>
        <v>53</v>
      </c>
      <c r="G157" s="55">
        <f t="shared" si="277"/>
        <v>70</v>
      </c>
      <c r="H157" s="56"/>
      <c r="I157" s="10"/>
      <c r="K157" s="57"/>
      <c r="L157" s="57"/>
      <c r="M157" s="57"/>
      <c r="N157" s="57"/>
      <c r="O157" s="57"/>
      <c r="P157" s="57"/>
      <c r="W157" s="98">
        <v>6</v>
      </c>
      <c r="X157" s="32">
        <f t="shared" si="267"/>
        <v>49.791963479159165</v>
      </c>
      <c r="Y157" s="38">
        <f t="shared" si="267"/>
        <v>44.721110082562504</v>
      </c>
      <c r="Z157" s="38">
        <f t="shared" si="267"/>
        <v>40.279131585183464</v>
      </c>
      <c r="AA157" s="38">
        <f t="shared" si="267"/>
        <v>48.06317641645429</v>
      </c>
      <c r="AB157" s="39">
        <f t="shared" si="267"/>
        <v>43.642328204912381</v>
      </c>
      <c r="AD157" s="53"/>
      <c r="AE157" s="55">
        <f>SUM(AE152:AE156)</f>
        <v>49</v>
      </c>
      <c r="AF157" s="55">
        <f t="shared" ref="AF157:AI157" si="278">SUM(AF152:AF156)</f>
        <v>67</v>
      </c>
      <c r="AG157" s="55">
        <f t="shared" si="278"/>
        <v>46</v>
      </c>
      <c r="AH157" s="55">
        <f t="shared" si="278"/>
        <v>73</v>
      </c>
      <c r="AI157" s="55">
        <f t="shared" si="278"/>
        <v>90</v>
      </c>
      <c r="AJ157" s="56"/>
      <c r="AK157" s="10"/>
      <c r="AM157" s="57"/>
      <c r="AN157" s="57"/>
      <c r="AO157" s="57"/>
      <c r="AP157" s="57"/>
      <c r="AQ157" s="57"/>
      <c r="AR157" s="57"/>
      <c r="AY157" s="98">
        <v>6</v>
      </c>
      <c r="AZ157" s="32">
        <f t="shared" si="268"/>
        <v>37.22816697648728</v>
      </c>
      <c r="BA157" s="38">
        <f t="shared" si="268"/>
        <v>39.406059138124554</v>
      </c>
      <c r="BB157" s="38">
        <f t="shared" si="268"/>
        <v>35.485693978277261</v>
      </c>
      <c r="BC157" s="38">
        <f t="shared" si="268"/>
        <v>36.879381209149969</v>
      </c>
      <c r="BD157" s="39">
        <f t="shared" si="268"/>
        <v>38.88751929523508</v>
      </c>
      <c r="BF157" s="53"/>
      <c r="BG157" s="55">
        <f>SUM(BG152:BG156)</f>
        <v>84</v>
      </c>
      <c r="BH157" s="55">
        <f t="shared" ref="BH157:BK157" si="279">SUM(BH152:BH156)</f>
        <v>52</v>
      </c>
      <c r="BI157" s="55">
        <f t="shared" si="279"/>
        <v>81</v>
      </c>
      <c r="BJ157" s="55">
        <f t="shared" si="279"/>
        <v>58</v>
      </c>
      <c r="BK157" s="55">
        <f t="shared" si="279"/>
        <v>50</v>
      </c>
      <c r="BL157" s="56"/>
      <c r="BM157" s="10"/>
      <c r="BO157" s="57"/>
      <c r="BP157" s="57"/>
      <c r="BQ157" s="57"/>
      <c r="BR157" s="57"/>
      <c r="BS157" s="57"/>
      <c r="BT157" s="57"/>
      <c r="CA157" s="98">
        <v>6</v>
      </c>
      <c r="CB157" s="32">
        <f t="shared" si="269"/>
        <v>41.028619299489542</v>
      </c>
      <c r="CC157" s="38">
        <f t="shared" si="269"/>
        <v>40.141962484058887</v>
      </c>
      <c r="CD157" s="38">
        <f t="shared" si="269"/>
        <v>48.045272375698218</v>
      </c>
      <c r="CE157" s="38">
        <f t="shared" si="269"/>
        <v>37.605484263162509</v>
      </c>
      <c r="CF157" s="39">
        <f t="shared" si="269"/>
        <v>39.125658639174901</v>
      </c>
      <c r="CH157" s="53"/>
      <c r="CI157" s="55">
        <f>SUM(CI152:CI156)</f>
        <v>54</v>
      </c>
      <c r="CJ157" s="55">
        <f t="shared" ref="CJ157:CM157" si="280">SUM(CJ152:CJ156)</f>
        <v>47</v>
      </c>
      <c r="CK157" s="55">
        <f t="shared" si="280"/>
        <v>76</v>
      </c>
      <c r="CL157" s="55">
        <f t="shared" si="280"/>
        <v>78</v>
      </c>
      <c r="CM157" s="55">
        <f t="shared" si="280"/>
        <v>70</v>
      </c>
      <c r="CN157" s="56"/>
      <c r="CO157" s="10"/>
      <c r="CQ157" s="57"/>
      <c r="CR157" s="57"/>
      <c r="CS157" s="57"/>
      <c r="CT157" s="57"/>
      <c r="CU157" s="57"/>
      <c r="CV157" s="57"/>
      <c r="DC157" s="98">
        <v>6</v>
      </c>
      <c r="DD157" s="32">
        <f t="shared" si="270"/>
        <v>35.443408897217736</v>
      </c>
      <c r="DE157" s="38">
        <f t="shared" si="270"/>
        <v>35.446147696127731</v>
      </c>
      <c r="DF157" s="38">
        <f t="shared" si="270"/>
        <v>41.868514207677549</v>
      </c>
      <c r="DG157" s="38">
        <f t="shared" si="270"/>
        <v>45.466133661112849</v>
      </c>
      <c r="DH157" s="39">
        <f t="shared" si="270"/>
        <v>35.541801408788913</v>
      </c>
      <c r="DJ157" s="53"/>
      <c r="DK157" s="55">
        <f>SUM(DK152:DK156)</f>
        <v>49</v>
      </c>
      <c r="DL157" s="55">
        <f t="shared" ref="DL157:DO157" si="281">SUM(DL152:DL156)</f>
        <v>42</v>
      </c>
      <c r="DM157" s="55">
        <f t="shared" si="281"/>
        <v>71</v>
      </c>
      <c r="DN157" s="55">
        <f t="shared" si="281"/>
        <v>73</v>
      </c>
      <c r="DO157" s="55">
        <f t="shared" si="281"/>
        <v>90</v>
      </c>
      <c r="DP157" s="56"/>
      <c r="DQ157" s="10"/>
      <c r="DS157" s="57"/>
      <c r="DT157" s="57"/>
      <c r="DU157" s="57"/>
      <c r="DV157" s="57"/>
      <c r="DW157" s="57"/>
      <c r="DX157" s="57"/>
      <c r="EE157" s="98">
        <v>6</v>
      </c>
      <c r="EF157" s="32">
        <f t="shared" si="271"/>
        <v>41.170833333333334</v>
      </c>
      <c r="EG157" s="38">
        <f t="shared" si="271"/>
        <v>41.412854251012149</v>
      </c>
      <c r="EH157" s="38">
        <f t="shared" si="271"/>
        <v>47.114317889317881</v>
      </c>
      <c r="EI157" s="38">
        <f t="shared" si="271"/>
        <v>49.635087719298248</v>
      </c>
      <c r="EJ157" s="39">
        <f t="shared" si="271"/>
        <v>52.381845238095245</v>
      </c>
    </row>
    <row r="158" spans="2:140" ht="15" thickBot="1" x14ac:dyDescent="0.25">
      <c r="B158" s="10"/>
      <c r="H158" s="10"/>
      <c r="I158" s="10"/>
      <c r="K158" s="57"/>
      <c r="L158" s="57"/>
      <c r="M158" s="57"/>
      <c r="N158" s="57"/>
      <c r="O158" s="57"/>
      <c r="P158" s="57"/>
      <c r="W158" s="98">
        <v>7</v>
      </c>
      <c r="X158" s="32">
        <f t="shared" si="267"/>
        <v>41.33294708571654</v>
      </c>
      <c r="Y158" s="38">
        <f t="shared" si="267"/>
        <v>36.782648544100972</v>
      </c>
      <c r="Z158" s="38">
        <f t="shared" si="267"/>
        <v>33.577832883884767</v>
      </c>
      <c r="AA158" s="38">
        <f t="shared" si="267"/>
        <v>40.795570782651467</v>
      </c>
      <c r="AB158" s="39">
        <f t="shared" si="267"/>
        <v>36.270899633483822</v>
      </c>
      <c r="AD158" s="10"/>
      <c r="AJ158" s="10"/>
      <c r="AK158" s="10"/>
      <c r="AM158" s="57"/>
      <c r="AN158" s="57"/>
      <c r="AO158" s="57"/>
      <c r="AP158" s="57"/>
      <c r="AQ158" s="57"/>
      <c r="AR158" s="57"/>
      <c r="AY158" s="98">
        <v>7</v>
      </c>
      <c r="AZ158" s="32">
        <f t="shared" si="268"/>
        <v>40.384011132331437</v>
      </c>
      <c r="BA158" s="38">
        <f t="shared" si="268"/>
        <v>43.74534485241027</v>
      </c>
      <c r="BB158" s="38">
        <f t="shared" si="268"/>
        <v>39.059223390041964</v>
      </c>
      <c r="BC158" s="38">
        <f t="shared" si="268"/>
        <v>40.798736047859641</v>
      </c>
      <c r="BD158" s="39">
        <f t="shared" si="268"/>
        <v>42.871125852612131</v>
      </c>
      <c r="BF158" s="10"/>
      <c r="BL158" s="10"/>
      <c r="BM158" s="10"/>
      <c r="BO158" s="57"/>
      <c r="BP158" s="57"/>
      <c r="BQ158" s="57"/>
      <c r="BR158" s="57"/>
      <c r="BS158" s="57"/>
      <c r="BT158" s="57"/>
      <c r="CA158" s="98">
        <v>7</v>
      </c>
      <c r="CB158" s="32">
        <f t="shared" si="269"/>
        <v>38.388619299489541</v>
      </c>
      <c r="CC158" s="38">
        <f t="shared" si="269"/>
        <v>37.697518039614437</v>
      </c>
      <c r="CD158" s="38">
        <f t="shared" si="269"/>
        <v>44.825760180576268</v>
      </c>
      <c r="CE158" s="38">
        <f t="shared" si="269"/>
        <v>35.405484263162506</v>
      </c>
      <c r="CF158" s="39">
        <f t="shared" si="269"/>
        <v>36.888370503581683</v>
      </c>
      <c r="CH158" s="10"/>
      <c r="CN158" s="10"/>
      <c r="CO158" s="10"/>
      <c r="CQ158" s="57"/>
      <c r="CR158" s="57"/>
      <c r="CS158" s="57"/>
      <c r="CT158" s="57"/>
      <c r="CU158" s="57"/>
      <c r="CV158" s="57"/>
      <c r="DC158" s="98">
        <v>7</v>
      </c>
      <c r="DD158" s="32">
        <f t="shared" si="270"/>
        <v>42.619879485453033</v>
      </c>
      <c r="DE158" s="38">
        <f t="shared" si="270"/>
        <v>42.100693150673187</v>
      </c>
      <c r="DF158" s="38">
        <f t="shared" si="270"/>
        <v>50.582799921963264</v>
      </c>
      <c r="DG158" s="38">
        <f t="shared" si="270"/>
        <v>55.632800327779513</v>
      </c>
      <c r="DH158" s="39">
        <f t="shared" si="270"/>
        <v>41.641801408788922</v>
      </c>
      <c r="DJ158" s="10"/>
      <c r="DP158" s="10"/>
      <c r="DQ158" s="10"/>
      <c r="DS158" s="57"/>
      <c r="DT158" s="57"/>
      <c r="DU158" s="57"/>
      <c r="DV158" s="57"/>
      <c r="DW158" s="57"/>
      <c r="DX158" s="57"/>
      <c r="EE158" s="98">
        <v>7</v>
      </c>
      <c r="EF158" s="32">
        <f t="shared" si="271"/>
        <v>37.795833333333334</v>
      </c>
      <c r="EG158" s="38">
        <f t="shared" si="271"/>
        <v>38.215485829959519</v>
      </c>
      <c r="EH158" s="38">
        <f t="shared" si="271"/>
        <v>43.257175032175027</v>
      </c>
      <c r="EI158" s="38">
        <f t="shared" si="271"/>
        <v>45.371929824561398</v>
      </c>
      <c r="EJ158" s="39">
        <f t="shared" si="271"/>
        <v>48.042559523809523</v>
      </c>
    </row>
    <row r="159" spans="2:140" ht="15" thickBot="1" x14ac:dyDescent="0.25">
      <c r="B159" s="58"/>
      <c r="C159" s="60" t="s">
        <v>6</v>
      </c>
      <c r="D159" s="60" t="s">
        <v>7</v>
      </c>
      <c r="E159" s="60" t="s">
        <v>8</v>
      </c>
      <c r="F159" s="60" t="s">
        <v>9</v>
      </c>
      <c r="G159" s="60" t="s">
        <v>10</v>
      </c>
      <c r="H159" s="61"/>
      <c r="I159" s="10"/>
      <c r="J159" s="11" t="s">
        <v>15</v>
      </c>
      <c r="K159" s="62" t="s">
        <v>6</v>
      </c>
      <c r="L159" s="62" t="s">
        <v>7</v>
      </c>
      <c r="M159" s="62" t="s">
        <v>8</v>
      </c>
      <c r="N159" s="62" t="s">
        <v>9</v>
      </c>
      <c r="O159" s="63" t="s">
        <v>10</v>
      </c>
      <c r="P159" s="23"/>
      <c r="W159" s="98">
        <v>8</v>
      </c>
      <c r="X159" s="32">
        <f t="shared" si="267"/>
        <v>48.063581408563977</v>
      </c>
      <c r="Y159" s="38">
        <f t="shared" si="267"/>
        <v>42.812413904526707</v>
      </c>
      <c r="Z159" s="38">
        <f t="shared" si="267"/>
        <v>39.028972430612548</v>
      </c>
      <c r="AA159" s="38">
        <f t="shared" si="267"/>
        <v>47.333109231736792</v>
      </c>
      <c r="AB159" s="39">
        <f t="shared" si="267"/>
        <v>42.172193629343028</v>
      </c>
      <c r="AD159" s="58"/>
      <c r="AE159" s="60" t="s">
        <v>6</v>
      </c>
      <c r="AF159" s="60" t="s">
        <v>7</v>
      </c>
      <c r="AG159" s="60" t="s">
        <v>8</v>
      </c>
      <c r="AH159" s="60" t="s">
        <v>9</v>
      </c>
      <c r="AI159" s="60" t="s">
        <v>10</v>
      </c>
      <c r="AJ159" s="61"/>
      <c r="AK159" s="10"/>
      <c r="AL159" s="11" t="s">
        <v>15</v>
      </c>
      <c r="AM159" s="62" t="s">
        <v>6</v>
      </c>
      <c r="AN159" s="62" t="s">
        <v>7</v>
      </c>
      <c r="AO159" s="62" t="s">
        <v>8</v>
      </c>
      <c r="AP159" s="62" t="s">
        <v>9</v>
      </c>
      <c r="AQ159" s="63" t="s">
        <v>10</v>
      </c>
      <c r="AR159" s="23"/>
      <c r="AY159" s="98">
        <v>8</v>
      </c>
      <c r="AZ159" s="32">
        <f t="shared" si="268"/>
        <v>41.071781695101997</v>
      </c>
      <c r="BA159" s="38">
        <f t="shared" si="268"/>
        <v>43.007790739856155</v>
      </c>
      <c r="BB159" s="38">
        <f t="shared" si="268"/>
        <v>38.885203782198829</v>
      </c>
      <c r="BC159" s="38">
        <f t="shared" si="268"/>
        <v>40.316388377608746</v>
      </c>
      <c r="BD159" s="39">
        <f t="shared" si="268"/>
        <v>42.581379138685094</v>
      </c>
      <c r="BF159" s="58"/>
      <c r="BG159" s="60" t="s">
        <v>6</v>
      </c>
      <c r="BH159" s="60" t="s">
        <v>7</v>
      </c>
      <c r="BI159" s="60" t="s">
        <v>8</v>
      </c>
      <c r="BJ159" s="60" t="s">
        <v>9</v>
      </c>
      <c r="BK159" s="60" t="s">
        <v>10</v>
      </c>
      <c r="BL159" s="61"/>
      <c r="BM159" s="10"/>
      <c r="BN159" s="11" t="s">
        <v>15</v>
      </c>
      <c r="BO159" s="62" t="s">
        <v>6</v>
      </c>
      <c r="BP159" s="62" t="s">
        <v>7</v>
      </c>
      <c r="BQ159" s="62" t="s">
        <v>8</v>
      </c>
      <c r="BR159" s="62" t="s">
        <v>9</v>
      </c>
      <c r="BS159" s="63" t="s">
        <v>10</v>
      </c>
      <c r="BT159" s="23"/>
      <c r="CA159" s="98">
        <v>8</v>
      </c>
      <c r="CB159" s="32">
        <f t="shared" si="269"/>
        <v>48.455549124050947</v>
      </c>
      <c r="CC159" s="38">
        <f t="shared" si="269"/>
        <v>47.326249382898027</v>
      </c>
      <c r="CD159" s="38">
        <f t="shared" si="269"/>
        <v>56.818271124916471</v>
      </c>
      <c r="CE159" s="38">
        <f t="shared" si="269"/>
        <v>44.28244504747623</v>
      </c>
      <c r="CF159" s="39">
        <f t="shared" si="269"/>
        <v>46.041901577028007</v>
      </c>
      <c r="CH159" s="58"/>
      <c r="CI159" s="60" t="s">
        <v>6</v>
      </c>
      <c r="CJ159" s="60" t="s">
        <v>7</v>
      </c>
      <c r="CK159" s="60" t="s">
        <v>8</v>
      </c>
      <c r="CL159" s="60" t="s">
        <v>9</v>
      </c>
      <c r="CM159" s="60" t="s">
        <v>10</v>
      </c>
      <c r="CN159" s="61"/>
      <c r="CO159" s="10"/>
      <c r="CP159" s="11" t="s">
        <v>15</v>
      </c>
      <c r="CQ159" s="62" t="s">
        <v>6</v>
      </c>
      <c r="CR159" s="62" t="s">
        <v>7</v>
      </c>
      <c r="CS159" s="62" t="s">
        <v>8</v>
      </c>
      <c r="CT159" s="62" t="s">
        <v>9</v>
      </c>
      <c r="CU159" s="63" t="s">
        <v>10</v>
      </c>
      <c r="CV159" s="23"/>
      <c r="DC159" s="98">
        <v>8</v>
      </c>
      <c r="DD159" s="32">
        <f t="shared" si="270"/>
        <v>41.111772396463586</v>
      </c>
      <c r="DE159" s="38">
        <f t="shared" si="270"/>
        <v>41.070901043555494</v>
      </c>
      <c r="DF159" s="38">
        <f t="shared" si="270"/>
        <v>48.584396902218778</v>
      </c>
      <c r="DG159" s="38">
        <f t="shared" si="270"/>
        <v>52.818406388385576</v>
      </c>
      <c r="DH159" s="39">
        <f t="shared" si="270"/>
        <v>41.133468075455582</v>
      </c>
      <c r="DJ159" s="58"/>
      <c r="DK159" s="60" t="s">
        <v>6</v>
      </c>
      <c r="DL159" s="60" t="s">
        <v>7</v>
      </c>
      <c r="DM159" s="60" t="s">
        <v>8</v>
      </c>
      <c r="DN159" s="60" t="s">
        <v>9</v>
      </c>
      <c r="DO159" s="60" t="s">
        <v>10</v>
      </c>
      <c r="DP159" s="61"/>
      <c r="DQ159" s="10"/>
      <c r="DR159" s="11" t="s">
        <v>15</v>
      </c>
      <c r="DS159" s="62" t="s">
        <v>6</v>
      </c>
      <c r="DT159" s="62" t="s">
        <v>7</v>
      </c>
      <c r="DU159" s="62" t="s">
        <v>8</v>
      </c>
      <c r="DV159" s="62" t="s">
        <v>9</v>
      </c>
      <c r="DW159" s="63" t="s">
        <v>10</v>
      </c>
      <c r="DX159" s="23"/>
      <c r="EE159" s="98">
        <v>8</v>
      </c>
      <c r="EF159" s="32">
        <f t="shared" si="271"/>
        <v>42.108333333333334</v>
      </c>
      <c r="EG159" s="38">
        <f t="shared" si="271"/>
        <v>42.645141700404864</v>
      </c>
      <c r="EH159" s="38">
        <f t="shared" si="271"/>
        <v>48.194594594594591</v>
      </c>
      <c r="EI159" s="38">
        <f t="shared" si="271"/>
        <v>50.480701754385969</v>
      </c>
      <c r="EJ159" s="39">
        <f t="shared" si="271"/>
        <v>53.508333333333333</v>
      </c>
    </row>
    <row r="160" spans="2:140" x14ac:dyDescent="0.2">
      <c r="B160" s="64" t="s">
        <v>13</v>
      </c>
      <c r="C160" s="24" t="s">
        <v>1</v>
      </c>
      <c r="D160" s="25" t="s">
        <v>2</v>
      </c>
      <c r="E160" s="25" t="s">
        <v>3</v>
      </c>
      <c r="F160" s="25" t="s">
        <v>4</v>
      </c>
      <c r="G160" s="26" t="s">
        <v>5</v>
      </c>
      <c r="H160" s="65"/>
      <c r="I160" s="10"/>
      <c r="J160" s="66" t="s">
        <v>13</v>
      </c>
      <c r="K160" s="125">
        <f>C152/H152</f>
        <v>0.20481927710843373</v>
      </c>
      <c r="L160" s="126">
        <f>D152/H152</f>
        <v>0.27710843373493976</v>
      </c>
      <c r="M160" s="126">
        <f>E152/H152</f>
        <v>6.0240963855421686E-2</v>
      </c>
      <c r="N160" s="126">
        <f>F152/H152</f>
        <v>0.21686746987951808</v>
      </c>
      <c r="O160" s="127">
        <f>G152/H152</f>
        <v>0.24096385542168675</v>
      </c>
      <c r="P160" s="23"/>
      <c r="W160" s="98">
        <v>9</v>
      </c>
      <c r="X160" s="32">
        <f t="shared" si="267"/>
        <v>47.745035403542559</v>
      </c>
      <c r="Y160" s="38">
        <f t="shared" si="267"/>
        <v>42.226794649567829</v>
      </c>
      <c r="Z160" s="38">
        <f t="shared" si="267"/>
        <v>38.895696392924748</v>
      </c>
      <c r="AA160" s="38">
        <f t="shared" si="267"/>
        <v>47.814309652653101</v>
      </c>
      <c r="AB160" s="39">
        <f t="shared" si="267"/>
        <v>41.930630482345101</v>
      </c>
      <c r="AD160" s="64" t="s">
        <v>13</v>
      </c>
      <c r="AE160" s="24" t="s">
        <v>1</v>
      </c>
      <c r="AF160" s="25" t="s">
        <v>2</v>
      </c>
      <c r="AG160" s="25" t="s">
        <v>3</v>
      </c>
      <c r="AH160" s="25" t="s">
        <v>4</v>
      </c>
      <c r="AI160" s="26" t="s">
        <v>5</v>
      </c>
      <c r="AJ160" s="65"/>
      <c r="AK160" s="10"/>
      <c r="AL160" s="66" t="s">
        <v>13</v>
      </c>
      <c r="AM160" s="125">
        <f>AE152/AJ152</f>
        <v>0.26923076923076922</v>
      </c>
      <c r="AN160" s="126">
        <f>AF152/AJ152</f>
        <v>2.564102564102564E-2</v>
      </c>
      <c r="AO160" s="126">
        <f>AG152/AJ152</f>
        <v>0.11538461538461539</v>
      </c>
      <c r="AP160" s="126">
        <f>AH152/AJ152</f>
        <v>0.28205128205128205</v>
      </c>
      <c r="AQ160" s="127">
        <f>AI152/AJ152</f>
        <v>0.30769230769230771</v>
      </c>
      <c r="AR160" s="23"/>
      <c r="AY160" s="98">
        <v>9</v>
      </c>
      <c r="AZ160" s="32">
        <f t="shared" si="268"/>
        <v>50.175136673456976</v>
      </c>
      <c r="BA160" s="38">
        <f t="shared" si="268"/>
        <v>53.84166519873061</v>
      </c>
      <c r="BB160" s="38">
        <f t="shared" si="268"/>
        <v>48.240595939061578</v>
      </c>
      <c r="BC160" s="38">
        <f t="shared" si="268"/>
        <v>50.285653610583658</v>
      </c>
      <c r="BD160" s="39">
        <f t="shared" si="268"/>
        <v>52.914583244430176</v>
      </c>
      <c r="BF160" s="64" t="s">
        <v>13</v>
      </c>
      <c r="BG160" s="24" t="s">
        <v>1</v>
      </c>
      <c r="BH160" s="25" t="s">
        <v>2</v>
      </c>
      <c r="BI160" s="25" t="s">
        <v>3</v>
      </c>
      <c r="BJ160" s="25" t="s">
        <v>4</v>
      </c>
      <c r="BK160" s="26" t="s">
        <v>5</v>
      </c>
      <c r="BL160" s="65"/>
      <c r="BM160" s="10"/>
      <c r="BN160" s="66" t="s">
        <v>13</v>
      </c>
      <c r="BO160" s="125">
        <f>BG152/BL152</f>
        <v>0.12698412698412698</v>
      </c>
      <c r="BP160" s="126">
        <f>BH152/BL152</f>
        <v>0.22222222222222221</v>
      </c>
      <c r="BQ160" s="126">
        <f>BI152/BL152</f>
        <v>0.33333333333333331</v>
      </c>
      <c r="BR160" s="126">
        <f>BJ152/BL152</f>
        <v>0.14285714285714285</v>
      </c>
      <c r="BS160" s="127">
        <f>BK152/BL152</f>
        <v>0.17460317460317459</v>
      </c>
      <c r="BT160" s="23"/>
      <c r="CA160" s="98">
        <v>9</v>
      </c>
      <c r="CB160" s="32">
        <f t="shared" si="269"/>
        <v>46.642478948612343</v>
      </c>
      <c r="CC160" s="38">
        <f t="shared" si="269"/>
        <v>45.954980726181603</v>
      </c>
      <c r="CD160" s="38">
        <f t="shared" si="269"/>
        <v>54.322977191207912</v>
      </c>
      <c r="CE160" s="38">
        <f t="shared" si="269"/>
        <v>43.259405831789962</v>
      </c>
      <c r="CF160" s="39">
        <f t="shared" si="269"/>
        <v>45.127636040304843</v>
      </c>
      <c r="CH160" s="64" t="s">
        <v>13</v>
      </c>
      <c r="CI160" s="24" t="s">
        <v>1</v>
      </c>
      <c r="CJ160" s="25" t="s">
        <v>2</v>
      </c>
      <c r="CK160" s="25" t="s">
        <v>3</v>
      </c>
      <c r="CL160" s="25" t="s">
        <v>4</v>
      </c>
      <c r="CM160" s="26" t="s">
        <v>5</v>
      </c>
      <c r="CN160" s="65"/>
      <c r="CO160" s="10"/>
      <c r="CP160" s="66" t="s">
        <v>13</v>
      </c>
      <c r="CQ160" s="125">
        <f>CI152/CN152</f>
        <v>6.0606060606060608E-2</v>
      </c>
      <c r="CR160" s="126">
        <f>CJ152/CN152</f>
        <v>0.24242424242424243</v>
      </c>
      <c r="CS160" s="126">
        <f>CK152/CN152</f>
        <v>0.45454545454545453</v>
      </c>
      <c r="CT160" s="126">
        <f>CL152/CN152</f>
        <v>9.0909090909090912E-2</v>
      </c>
      <c r="CU160" s="127">
        <f>CM152/CN152</f>
        <v>0.15151515151515152</v>
      </c>
      <c r="CV160" s="23"/>
      <c r="DC160" s="98">
        <v>9</v>
      </c>
      <c r="DD160" s="32">
        <f t="shared" si="270"/>
        <v>45.584057464336894</v>
      </c>
      <c r="DE160" s="38">
        <f t="shared" si="270"/>
        <v>45.586563481892355</v>
      </c>
      <c r="DF160" s="38">
        <f t="shared" si="270"/>
        <v>53.847898644379057</v>
      </c>
      <c r="DG160" s="38">
        <f t="shared" si="270"/>
        <v>58.476234671213859</v>
      </c>
      <c r="DH160" s="39">
        <f t="shared" si="270"/>
        <v>45.708468075455592</v>
      </c>
      <c r="DJ160" s="64" t="s">
        <v>13</v>
      </c>
      <c r="DK160" s="24" t="s">
        <v>1</v>
      </c>
      <c r="DL160" s="25" t="s">
        <v>2</v>
      </c>
      <c r="DM160" s="25" t="s">
        <v>3</v>
      </c>
      <c r="DN160" s="25" t="s">
        <v>4</v>
      </c>
      <c r="DO160" s="26" t="s">
        <v>5</v>
      </c>
      <c r="DP160" s="65"/>
      <c r="DQ160" s="10"/>
      <c r="DR160" s="66" t="s">
        <v>13</v>
      </c>
      <c r="DS160" s="125">
        <f>DK152/DP152</f>
        <v>3.5714285714285712E-2</v>
      </c>
      <c r="DT160" s="126">
        <f>DL152/DP152</f>
        <v>0.25</v>
      </c>
      <c r="DU160" s="126">
        <f>DM152/DP152</f>
        <v>0.5</v>
      </c>
      <c r="DV160" s="126">
        <f>DN152/DP152</f>
        <v>7.1428571428571425E-2</v>
      </c>
      <c r="DW160" s="127">
        <f>DO152/DP152</f>
        <v>0.14285714285714285</v>
      </c>
      <c r="DX160" s="23"/>
      <c r="EE160" s="98">
        <v>9</v>
      </c>
      <c r="EF160" s="32">
        <f t="shared" si="271"/>
        <v>37.420833333333334</v>
      </c>
      <c r="EG160" s="38">
        <f t="shared" si="271"/>
        <v>38.548481781376523</v>
      </c>
      <c r="EH160" s="38">
        <f t="shared" si="271"/>
        <v>42.84629987129987</v>
      </c>
      <c r="EI160" s="38">
        <f t="shared" si="271"/>
        <v>44.221052631578949</v>
      </c>
      <c r="EJ160" s="39">
        <f t="shared" si="271"/>
        <v>47.402678571428574</v>
      </c>
    </row>
    <row r="161" spans="2:140" x14ac:dyDescent="0.2">
      <c r="B161" s="64" t="s">
        <v>3</v>
      </c>
      <c r="C161" s="32" t="s">
        <v>14</v>
      </c>
      <c r="D161" s="38" t="s">
        <v>10</v>
      </c>
      <c r="E161" s="38" t="s">
        <v>16</v>
      </c>
      <c r="F161" s="38" t="s">
        <v>6</v>
      </c>
      <c r="G161" s="39" t="s">
        <v>17</v>
      </c>
      <c r="H161" s="65"/>
      <c r="I161" s="10"/>
      <c r="J161" s="66" t="s">
        <v>3</v>
      </c>
      <c r="K161" s="40">
        <f>C153/H153</f>
        <v>2.7027027027027029E-2</v>
      </c>
      <c r="L161" s="36">
        <f>D153/H153</f>
        <v>0.51351351351351349</v>
      </c>
      <c r="M161" s="36">
        <f>E153/H153</f>
        <v>0.10810810810810811</v>
      </c>
      <c r="N161" s="36">
        <f>F153/H153</f>
        <v>0.16216216216216217</v>
      </c>
      <c r="O161" s="37">
        <f>G153/H153</f>
        <v>0.1891891891891892</v>
      </c>
      <c r="P161" s="23"/>
      <c r="W161" s="98">
        <v>10</v>
      </c>
      <c r="X161" s="32">
        <f t="shared" si="267"/>
        <v>56.204051796985183</v>
      </c>
      <c r="Y161" s="38">
        <f t="shared" si="267"/>
        <v>50.165256188029367</v>
      </c>
      <c r="Z161" s="38">
        <f t="shared" si="267"/>
        <v>45.596995094223445</v>
      </c>
      <c r="AA161" s="38">
        <f t="shared" si="267"/>
        <v>55.081915286455917</v>
      </c>
      <c r="AB161" s="39">
        <f t="shared" si="267"/>
        <v>49.302059053773675</v>
      </c>
      <c r="AD161" s="64" t="s">
        <v>3</v>
      </c>
      <c r="AE161" s="32" t="s">
        <v>14</v>
      </c>
      <c r="AF161" s="38" t="s">
        <v>10</v>
      </c>
      <c r="AG161" s="38" t="s">
        <v>16</v>
      </c>
      <c r="AH161" s="38" t="s">
        <v>6</v>
      </c>
      <c r="AI161" s="39" t="s">
        <v>17</v>
      </c>
      <c r="AJ161" s="65"/>
      <c r="AK161" s="10"/>
      <c r="AL161" s="66" t="s">
        <v>3</v>
      </c>
      <c r="AM161" s="40">
        <f>AE153/AJ153</f>
        <v>8.771929824561403E-2</v>
      </c>
      <c r="AN161" s="36">
        <f>AF153/AJ153</f>
        <v>0.40350877192982454</v>
      </c>
      <c r="AO161" s="36">
        <f>AG153/AJ153</f>
        <v>0.14035087719298245</v>
      </c>
      <c r="AP161" s="36">
        <f>AH153/AJ153</f>
        <v>0.17543859649122806</v>
      </c>
      <c r="AQ161" s="37">
        <f>AI153/AJ153</f>
        <v>0.19298245614035087</v>
      </c>
      <c r="AR161" s="23"/>
      <c r="AY161" s="98">
        <v>10</v>
      </c>
      <c r="AZ161" s="32">
        <f t="shared" si="268"/>
        <v>47.019292517612811</v>
      </c>
      <c r="BA161" s="38">
        <f t="shared" si="268"/>
        <v>49.502379484444901</v>
      </c>
      <c r="BB161" s="38">
        <f t="shared" si="268"/>
        <v>44.667066527296868</v>
      </c>
      <c r="BC161" s="38">
        <f t="shared" si="268"/>
        <v>46.366298771873979</v>
      </c>
      <c r="BD161" s="39">
        <f t="shared" si="268"/>
        <v>48.930976687053132</v>
      </c>
      <c r="BF161" s="64" t="s">
        <v>3</v>
      </c>
      <c r="BG161" s="32" t="s">
        <v>14</v>
      </c>
      <c r="BH161" s="38" t="s">
        <v>10</v>
      </c>
      <c r="BI161" s="38" t="s">
        <v>16</v>
      </c>
      <c r="BJ161" s="38" t="s">
        <v>6</v>
      </c>
      <c r="BK161" s="39" t="s">
        <v>17</v>
      </c>
      <c r="BL161" s="65"/>
      <c r="BM161" s="10"/>
      <c r="BN161" s="66" t="s">
        <v>3</v>
      </c>
      <c r="BO161" s="40">
        <f>BG153/BL153</f>
        <v>0.18478260869565216</v>
      </c>
      <c r="BP161" s="36">
        <f>BH153/BL153</f>
        <v>0.10869565217391304</v>
      </c>
      <c r="BQ161" s="36">
        <f>BI153/BL153</f>
        <v>0.21739130434782608</v>
      </c>
      <c r="BR161" s="36">
        <f>BJ153/BL153</f>
        <v>0.2391304347826087</v>
      </c>
      <c r="BS161" s="37">
        <f>BK153/BL153</f>
        <v>0.25</v>
      </c>
      <c r="BT161" s="23"/>
      <c r="CA161" s="98">
        <v>10</v>
      </c>
      <c r="CB161" s="32">
        <f t="shared" si="269"/>
        <v>49.282478948612351</v>
      </c>
      <c r="CC161" s="38">
        <f t="shared" si="269"/>
        <v>48.399425170626053</v>
      </c>
      <c r="CD161" s="38">
        <f t="shared" si="269"/>
        <v>57.542489386329862</v>
      </c>
      <c r="CE161" s="38">
        <f t="shared" si="269"/>
        <v>45.459405831789958</v>
      </c>
      <c r="CF161" s="39">
        <f t="shared" si="269"/>
        <v>47.364924175898061</v>
      </c>
      <c r="CH161" s="64" t="s">
        <v>3</v>
      </c>
      <c r="CI161" s="32" t="s">
        <v>14</v>
      </c>
      <c r="CJ161" s="38" t="s">
        <v>10</v>
      </c>
      <c r="CK161" s="38" t="s">
        <v>16</v>
      </c>
      <c r="CL161" s="38" t="s">
        <v>6</v>
      </c>
      <c r="CM161" s="39" t="s">
        <v>17</v>
      </c>
      <c r="CN161" s="65"/>
      <c r="CO161" s="10"/>
      <c r="CP161" s="66" t="s">
        <v>3</v>
      </c>
      <c r="CQ161" s="40">
        <f>CI153/CN153</f>
        <v>0.17741935483870969</v>
      </c>
      <c r="CR161" s="36">
        <f>CJ153/CN153</f>
        <v>6.4516129032258063E-2</v>
      </c>
      <c r="CS161" s="36">
        <f>CK153/CN153</f>
        <v>0.22580645161290322</v>
      </c>
      <c r="CT161" s="36">
        <f>CL153/CN153</f>
        <v>0.25806451612903225</v>
      </c>
      <c r="CU161" s="37">
        <f>CM153/CN153</f>
        <v>0.27419354838709675</v>
      </c>
      <c r="CV161" s="23"/>
      <c r="DC161" s="98">
        <v>10</v>
      </c>
      <c r="DD161" s="32">
        <f t="shared" si="270"/>
        <v>38.407586876101597</v>
      </c>
      <c r="DE161" s="38">
        <f t="shared" si="270"/>
        <v>38.932018027346906</v>
      </c>
      <c r="DF161" s="38">
        <f t="shared" si="270"/>
        <v>45.133612930093349</v>
      </c>
      <c r="DG161" s="38">
        <f t="shared" si="270"/>
        <v>48.309568004547188</v>
      </c>
      <c r="DH161" s="39">
        <f t="shared" si="270"/>
        <v>39.608468075455583</v>
      </c>
      <c r="DJ161" s="64" t="s">
        <v>3</v>
      </c>
      <c r="DK161" s="32" t="s">
        <v>14</v>
      </c>
      <c r="DL161" s="38" t="s">
        <v>10</v>
      </c>
      <c r="DM161" s="38" t="s">
        <v>16</v>
      </c>
      <c r="DN161" s="38" t="s">
        <v>6</v>
      </c>
      <c r="DO161" s="39" t="s">
        <v>17</v>
      </c>
      <c r="DP161" s="65"/>
      <c r="DQ161" s="10"/>
      <c r="DR161" s="66" t="s">
        <v>3</v>
      </c>
      <c r="DS161" s="40">
        <f>DK153/DP153</f>
        <v>0.17543859649122806</v>
      </c>
      <c r="DT161" s="36">
        <f>DL153/DP153</f>
        <v>5.2631578947368418E-2</v>
      </c>
      <c r="DU161" s="36">
        <f>DM153/DP153</f>
        <v>0.22807017543859648</v>
      </c>
      <c r="DV161" s="36">
        <f>DN153/DP153</f>
        <v>0.26315789473684209</v>
      </c>
      <c r="DW161" s="37">
        <f>DO153/DP153</f>
        <v>0.2807017543859649</v>
      </c>
      <c r="DX161" s="23"/>
      <c r="EE161" s="98">
        <v>10</v>
      </c>
      <c r="EF161" s="32">
        <f t="shared" si="271"/>
        <v>40.795833333333334</v>
      </c>
      <c r="EG161" s="38">
        <f t="shared" si="271"/>
        <v>41.745850202429153</v>
      </c>
      <c r="EH161" s="38">
        <f t="shared" si="271"/>
        <v>46.703442728442724</v>
      </c>
      <c r="EI161" s="38">
        <f t="shared" si="271"/>
        <v>48.484210526315792</v>
      </c>
      <c r="EJ161" s="39">
        <f t="shared" si="271"/>
        <v>51.741964285714289</v>
      </c>
    </row>
    <row r="162" spans="2:140" x14ac:dyDescent="0.2">
      <c r="B162" s="64" t="s">
        <v>14</v>
      </c>
      <c r="C162" s="32" t="s">
        <v>8</v>
      </c>
      <c r="D162" s="38" t="s">
        <v>18</v>
      </c>
      <c r="E162" s="38" t="s">
        <v>19</v>
      </c>
      <c r="F162" s="38" t="s">
        <v>20</v>
      </c>
      <c r="G162" s="39" t="s">
        <v>21</v>
      </c>
      <c r="H162" s="65"/>
      <c r="I162" s="10"/>
      <c r="J162" s="66" t="s">
        <v>14</v>
      </c>
      <c r="K162" s="40">
        <f>C154/H154</f>
        <v>4.6153846153846156E-2</v>
      </c>
      <c r="L162" s="36">
        <f>D154/H154</f>
        <v>0.36923076923076925</v>
      </c>
      <c r="M162" s="36">
        <f>E154/H154</f>
        <v>0.33846153846153848</v>
      </c>
      <c r="N162" s="36">
        <f>F154/H154</f>
        <v>3.0769230769230771E-2</v>
      </c>
      <c r="O162" s="37">
        <f>G154/H154</f>
        <v>0.2153846153846154</v>
      </c>
      <c r="P162" s="23"/>
      <c r="W162" s="98">
        <v>11</v>
      </c>
      <c r="X162" s="32">
        <f t="shared" si="267"/>
        <v>49.473417474137747</v>
      </c>
      <c r="Y162" s="38">
        <f t="shared" si="267"/>
        <v>44.13549082760364</v>
      </c>
      <c r="Z162" s="38">
        <f t="shared" si="267"/>
        <v>40.145855547495671</v>
      </c>
      <c r="AA162" s="38">
        <f t="shared" si="267"/>
        <v>48.544376837370599</v>
      </c>
      <c r="AB162" s="39">
        <f t="shared" si="267"/>
        <v>43.400765057914455</v>
      </c>
      <c r="AD162" s="64" t="s">
        <v>14</v>
      </c>
      <c r="AE162" s="32" t="s">
        <v>8</v>
      </c>
      <c r="AF162" s="38" t="s">
        <v>18</v>
      </c>
      <c r="AG162" s="38" t="s">
        <v>19</v>
      </c>
      <c r="AH162" s="38" t="s">
        <v>20</v>
      </c>
      <c r="AI162" s="39" t="s">
        <v>21</v>
      </c>
      <c r="AJ162" s="65"/>
      <c r="AK162" s="10"/>
      <c r="AL162" s="66" t="s">
        <v>14</v>
      </c>
      <c r="AM162" s="40">
        <f>AE154/AJ154</f>
        <v>0.2</v>
      </c>
      <c r="AN162" s="36">
        <f>AF154/AJ154</f>
        <v>8.5714285714285715E-2</v>
      </c>
      <c r="AO162" s="36">
        <f>AG154/AJ154</f>
        <v>2.8571428571428571E-2</v>
      </c>
      <c r="AP162" s="36">
        <f>AH154/AJ154</f>
        <v>0.17142857142857143</v>
      </c>
      <c r="AQ162" s="37">
        <f>AI154/AJ154</f>
        <v>0.51428571428571423</v>
      </c>
      <c r="AR162" s="23"/>
      <c r="AY162" s="98">
        <v>11</v>
      </c>
      <c r="AZ162" s="32">
        <f t="shared" si="268"/>
        <v>46.331521954842259</v>
      </c>
      <c r="BA162" s="38">
        <f t="shared" si="268"/>
        <v>50.239933596999009</v>
      </c>
      <c r="BB162" s="38">
        <f t="shared" si="268"/>
        <v>44.841086135140003</v>
      </c>
      <c r="BC162" s="38">
        <f t="shared" si="268"/>
        <v>46.848646442124874</v>
      </c>
      <c r="BD162" s="39">
        <f t="shared" si="268"/>
        <v>49.220723400980177</v>
      </c>
      <c r="BF162" s="64" t="s">
        <v>14</v>
      </c>
      <c r="BG162" s="32" t="s">
        <v>8</v>
      </c>
      <c r="BH162" s="38" t="s">
        <v>18</v>
      </c>
      <c r="BI162" s="38" t="s">
        <v>19</v>
      </c>
      <c r="BJ162" s="38" t="s">
        <v>20</v>
      </c>
      <c r="BK162" s="39" t="s">
        <v>21</v>
      </c>
      <c r="BL162" s="65"/>
      <c r="BM162" s="10"/>
      <c r="BN162" s="66" t="s">
        <v>14</v>
      </c>
      <c r="BO162" s="40">
        <f>BG154/BL154</f>
        <v>0.27142857142857141</v>
      </c>
      <c r="BP162" s="36">
        <f>BH154/BL154</f>
        <v>0.21428571428571427</v>
      </c>
      <c r="BQ162" s="36">
        <f>BI154/BL154</f>
        <v>0.18571428571428572</v>
      </c>
      <c r="BR162" s="36">
        <f>BJ154/BL154</f>
        <v>0.25714285714285712</v>
      </c>
      <c r="BS162" s="37">
        <f>BK154/BL154</f>
        <v>7.1428571428571425E-2</v>
      </c>
      <c r="BT162" s="23"/>
      <c r="CA162" s="98">
        <v>11</v>
      </c>
      <c r="CB162" s="32">
        <f t="shared" si="269"/>
        <v>39.215549124050945</v>
      </c>
      <c r="CC162" s="38">
        <f t="shared" si="269"/>
        <v>38.77069382734247</v>
      </c>
      <c r="CD162" s="38">
        <f t="shared" si="269"/>
        <v>45.549978441989644</v>
      </c>
      <c r="CE162" s="38">
        <f t="shared" si="269"/>
        <v>36.582445047476234</v>
      </c>
      <c r="CF162" s="39">
        <f t="shared" si="269"/>
        <v>38.211393102451737</v>
      </c>
      <c r="CH162" s="64" t="s">
        <v>14</v>
      </c>
      <c r="CI162" s="32" t="s">
        <v>8</v>
      </c>
      <c r="CJ162" s="38" t="s">
        <v>18</v>
      </c>
      <c r="CK162" s="38" t="s">
        <v>19</v>
      </c>
      <c r="CL162" s="38" t="s">
        <v>20</v>
      </c>
      <c r="CM162" s="39" t="s">
        <v>21</v>
      </c>
      <c r="CN162" s="65"/>
      <c r="CO162" s="10"/>
      <c r="CP162" s="66" t="s">
        <v>14</v>
      </c>
      <c r="CQ162" s="40">
        <f>CI154/CN154</f>
        <v>0.2</v>
      </c>
      <c r="CR162" s="36">
        <f>CJ154/CN154</f>
        <v>0.13846153846153847</v>
      </c>
      <c r="CS162" s="36">
        <f>CK154/CN154</f>
        <v>0.1076923076923077</v>
      </c>
      <c r="CT162" s="36">
        <f>CL154/CN154</f>
        <v>0.18461538461538463</v>
      </c>
      <c r="CU162" s="37">
        <f>CM154/CN154</f>
        <v>0.36923076923076925</v>
      </c>
      <c r="CV162" s="23"/>
      <c r="DC162" s="98">
        <v>11</v>
      </c>
      <c r="DD162" s="32">
        <f t="shared" si="270"/>
        <v>39.915693965091037</v>
      </c>
      <c r="DE162" s="38">
        <f t="shared" si="270"/>
        <v>39.961810134464592</v>
      </c>
      <c r="DF162" s="38">
        <f t="shared" si="270"/>
        <v>47.132015949837822</v>
      </c>
      <c r="DG162" s="38">
        <f t="shared" si="270"/>
        <v>51.123961943941126</v>
      </c>
      <c r="DH162" s="39">
        <f t="shared" si="270"/>
        <v>40.116801408788916</v>
      </c>
      <c r="DJ162" s="64" t="s">
        <v>14</v>
      </c>
      <c r="DK162" s="32" t="s">
        <v>8</v>
      </c>
      <c r="DL162" s="38" t="s">
        <v>18</v>
      </c>
      <c r="DM162" s="38" t="s">
        <v>19</v>
      </c>
      <c r="DN162" s="38" t="s">
        <v>20</v>
      </c>
      <c r="DO162" s="39" t="s">
        <v>21</v>
      </c>
      <c r="DP162" s="65"/>
      <c r="DQ162" s="10"/>
      <c r="DR162" s="66" t="s">
        <v>14</v>
      </c>
      <c r="DS162" s="40">
        <f>DK154/DP154</f>
        <v>0.2</v>
      </c>
      <c r="DT162" s="36">
        <f>DL154/DP154</f>
        <v>0.13333333333333333</v>
      </c>
      <c r="DU162" s="36">
        <f>DM154/DP154</f>
        <v>0.1</v>
      </c>
      <c r="DV162" s="36">
        <f>DN154/DP154</f>
        <v>0.18333333333333332</v>
      </c>
      <c r="DW162" s="37">
        <f>DO154/DP154</f>
        <v>0.38333333333333336</v>
      </c>
      <c r="DX162" s="23"/>
      <c r="EE162" s="98">
        <v>11</v>
      </c>
      <c r="EF162" s="32">
        <f t="shared" si="271"/>
        <v>36.483333333333334</v>
      </c>
      <c r="EG162" s="38">
        <f t="shared" si="271"/>
        <v>37.316194331983809</v>
      </c>
      <c r="EH162" s="38">
        <f t="shared" si="271"/>
        <v>41.76602316602316</v>
      </c>
      <c r="EI162" s="38">
        <f t="shared" si="271"/>
        <v>43.375438596491229</v>
      </c>
      <c r="EJ162" s="39">
        <f t="shared" si="271"/>
        <v>46.276190476190479</v>
      </c>
    </row>
    <row r="163" spans="2:140" ht="15" thickBot="1" x14ac:dyDescent="0.25">
      <c r="B163" s="64" t="s">
        <v>8</v>
      </c>
      <c r="C163" s="121" t="s">
        <v>22</v>
      </c>
      <c r="D163" s="38" t="s">
        <v>9</v>
      </c>
      <c r="E163" s="38" t="s">
        <v>23</v>
      </c>
      <c r="F163" s="38" t="s">
        <v>7</v>
      </c>
      <c r="G163" s="39" t="s">
        <v>13</v>
      </c>
      <c r="H163" s="65"/>
      <c r="I163" s="10"/>
      <c r="J163" s="66" t="s">
        <v>8</v>
      </c>
      <c r="K163" s="128">
        <f>C155/H155</f>
        <v>0.29069767441860467</v>
      </c>
      <c r="L163" s="129">
        <f>D155/H155</f>
        <v>0.2441860465116279</v>
      </c>
      <c r="M163" s="129">
        <f>E155/H155</f>
        <v>0.10465116279069768</v>
      </c>
      <c r="N163" s="129">
        <f>F155/H155</f>
        <v>0.1744186046511628</v>
      </c>
      <c r="O163" s="130">
        <f>G155/H155</f>
        <v>0.18604651162790697</v>
      </c>
      <c r="P163" s="23"/>
      <c r="W163" s="108">
        <v>12</v>
      </c>
      <c r="X163" s="43">
        <f t="shared" si="267"/>
        <v>49.791963479159165</v>
      </c>
      <c r="Y163" s="70">
        <f t="shared" si="267"/>
        <v>44.721110082562504</v>
      </c>
      <c r="Z163" s="70">
        <f t="shared" si="267"/>
        <v>40.279131585183464</v>
      </c>
      <c r="AA163" s="70">
        <f t="shared" si="267"/>
        <v>48.06317641645429</v>
      </c>
      <c r="AB163" s="71">
        <f t="shared" si="267"/>
        <v>43.642328204912381</v>
      </c>
      <c r="AD163" s="64" t="s">
        <v>8</v>
      </c>
      <c r="AE163" s="32" t="s">
        <v>22</v>
      </c>
      <c r="AF163" s="122" t="s">
        <v>9</v>
      </c>
      <c r="AG163" s="38" t="s">
        <v>23</v>
      </c>
      <c r="AH163" s="38" t="s">
        <v>7</v>
      </c>
      <c r="AI163" s="39" t="s">
        <v>13</v>
      </c>
      <c r="AJ163" s="65"/>
      <c r="AK163" s="10"/>
      <c r="AL163" s="66" t="s">
        <v>8</v>
      </c>
      <c r="AM163" s="128">
        <f>AE155/AJ155</f>
        <v>4.9382716049382713E-2</v>
      </c>
      <c r="AN163" s="129">
        <f>AF155/AJ155</f>
        <v>0.30864197530864196</v>
      </c>
      <c r="AO163" s="129">
        <f>AG155/AJ155</f>
        <v>0.16049382716049382</v>
      </c>
      <c r="AP163" s="129">
        <f>AH155/AJ155</f>
        <v>0.23456790123456789</v>
      </c>
      <c r="AQ163" s="130">
        <f>AI155/AJ155</f>
        <v>0.24691358024691357</v>
      </c>
      <c r="AR163" s="23"/>
      <c r="AY163" s="108">
        <v>12</v>
      </c>
      <c r="AZ163" s="43">
        <f t="shared" si="268"/>
        <v>37.22816697648728</v>
      </c>
      <c r="BA163" s="70">
        <f t="shared" si="268"/>
        <v>39.406059138124554</v>
      </c>
      <c r="BB163" s="70">
        <f t="shared" si="268"/>
        <v>35.485693978277261</v>
      </c>
      <c r="BC163" s="70">
        <f t="shared" si="268"/>
        <v>36.879381209149969</v>
      </c>
      <c r="BD163" s="71">
        <f t="shared" si="268"/>
        <v>38.88751929523508</v>
      </c>
      <c r="BF163" s="64" t="s">
        <v>8</v>
      </c>
      <c r="BG163" s="32" t="s">
        <v>22</v>
      </c>
      <c r="BH163" s="38" t="s">
        <v>9</v>
      </c>
      <c r="BI163" s="122" t="s">
        <v>23</v>
      </c>
      <c r="BJ163" s="38" t="s">
        <v>7</v>
      </c>
      <c r="BK163" s="39" t="s">
        <v>13</v>
      </c>
      <c r="BL163" s="65"/>
      <c r="BM163" s="10"/>
      <c r="BN163" s="66" t="s">
        <v>8</v>
      </c>
      <c r="BO163" s="128">
        <f>BG155/BL155</f>
        <v>0.24242424242424243</v>
      </c>
      <c r="BP163" s="129">
        <f>BH155/BL155</f>
        <v>0.18181818181818182</v>
      </c>
      <c r="BQ163" s="129">
        <f>BI155/BL155</f>
        <v>0.37878787878787878</v>
      </c>
      <c r="BR163" s="129">
        <f>BJ155/BL155</f>
        <v>9.0909090909090912E-2</v>
      </c>
      <c r="BS163" s="130">
        <f>BK155/BL155</f>
        <v>0.10606060606060606</v>
      </c>
      <c r="BT163" s="23"/>
      <c r="CA163" s="108">
        <v>12</v>
      </c>
      <c r="CB163" s="43">
        <f t="shared" si="269"/>
        <v>41.028619299489542</v>
      </c>
      <c r="CC163" s="70">
        <f t="shared" si="269"/>
        <v>40.141962484058887</v>
      </c>
      <c r="CD163" s="70">
        <f t="shared" si="269"/>
        <v>48.045272375698218</v>
      </c>
      <c r="CE163" s="70">
        <f t="shared" si="269"/>
        <v>37.605484263162509</v>
      </c>
      <c r="CF163" s="71">
        <f t="shared" si="269"/>
        <v>39.125658639174901</v>
      </c>
      <c r="CH163" s="64" t="s">
        <v>8</v>
      </c>
      <c r="CI163" s="32" t="s">
        <v>22</v>
      </c>
      <c r="CJ163" s="38" t="s">
        <v>9</v>
      </c>
      <c r="CK163" s="38" t="s">
        <v>23</v>
      </c>
      <c r="CL163" s="122" t="s">
        <v>7</v>
      </c>
      <c r="CM163" s="39" t="s">
        <v>13</v>
      </c>
      <c r="CN163" s="65"/>
      <c r="CO163" s="10"/>
      <c r="CP163" s="66" t="s">
        <v>8</v>
      </c>
      <c r="CQ163" s="128">
        <f>CI155/CN155</f>
        <v>0.16393442622950818</v>
      </c>
      <c r="CR163" s="129">
        <f>CJ155/CN155</f>
        <v>9.8360655737704916E-2</v>
      </c>
      <c r="CS163" s="129">
        <f>CK155/CN155</f>
        <v>0.31147540983606559</v>
      </c>
      <c r="CT163" s="129">
        <f>CL155/CN155</f>
        <v>0.4098360655737705</v>
      </c>
      <c r="CU163" s="130">
        <f>CM155/CN155</f>
        <v>1.6393442622950821E-2</v>
      </c>
      <c r="CV163" s="23"/>
      <c r="DC163" s="108">
        <v>12</v>
      </c>
      <c r="DD163" s="43">
        <f t="shared" si="270"/>
        <v>35.443408897217736</v>
      </c>
      <c r="DE163" s="70">
        <f t="shared" si="270"/>
        <v>35.446147696127731</v>
      </c>
      <c r="DF163" s="70">
        <f t="shared" si="270"/>
        <v>41.868514207677549</v>
      </c>
      <c r="DG163" s="70">
        <f t="shared" si="270"/>
        <v>45.466133661112849</v>
      </c>
      <c r="DH163" s="71">
        <f t="shared" si="270"/>
        <v>35.541801408788913</v>
      </c>
      <c r="DJ163" s="64" t="s">
        <v>8</v>
      </c>
      <c r="DK163" s="32" t="s">
        <v>22</v>
      </c>
      <c r="DL163" s="38" t="s">
        <v>9</v>
      </c>
      <c r="DM163" s="38" t="s">
        <v>23</v>
      </c>
      <c r="DN163" s="38" t="s">
        <v>7</v>
      </c>
      <c r="DO163" s="117" t="s">
        <v>13</v>
      </c>
      <c r="DP163" s="65"/>
      <c r="DQ163" s="10"/>
      <c r="DR163" s="66" t="s">
        <v>8</v>
      </c>
      <c r="DS163" s="128">
        <f>DK155/DP155</f>
        <v>0.1111111111111111</v>
      </c>
      <c r="DT163" s="129">
        <f>DL155/DP155</f>
        <v>6.1728395061728392E-2</v>
      </c>
      <c r="DU163" s="129">
        <f>DM155/DP155</f>
        <v>0.22222222222222221</v>
      </c>
      <c r="DV163" s="129">
        <f>DN155/DP155</f>
        <v>0.29629629629629628</v>
      </c>
      <c r="DW163" s="130">
        <f>DO155/DP155</f>
        <v>0.30864197530864196</v>
      </c>
      <c r="DX163" s="23"/>
      <c r="EE163" s="108">
        <v>12</v>
      </c>
      <c r="EF163" s="43">
        <f t="shared" si="271"/>
        <v>41.170833333333334</v>
      </c>
      <c r="EG163" s="70">
        <f t="shared" si="271"/>
        <v>41.412854251012149</v>
      </c>
      <c r="EH163" s="70">
        <f t="shared" si="271"/>
        <v>47.114317889317881</v>
      </c>
      <c r="EI163" s="70">
        <f t="shared" si="271"/>
        <v>49.635087719298248</v>
      </c>
      <c r="EJ163" s="71">
        <f t="shared" si="271"/>
        <v>52.381845238095245</v>
      </c>
    </row>
    <row r="164" spans="2:140" ht="15" thickBot="1" x14ac:dyDescent="0.25">
      <c r="B164" s="64" t="s">
        <v>3</v>
      </c>
      <c r="C164" s="43" t="s">
        <v>24</v>
      </c>
      <c r="D164" s="70" t="s">
        <v>25</v>
      </c>
      <c r="E164" s="70" t="s">
        <v>26</v>
      </c>
      <c r="F164" s="70" t="s">
        <v>27</v>
      </c>
      <c r="G164" s="71" t="s">
        <v>28</v>
      </c>
      <c r="H164" s="65"/>
      <c r="I164" s="10"/>
      <c r="J164" s="72" t="s">
        <v>3</v>
      </c>
      <c r="K164" s="50">
        <f>C156/H156</f>
        <v>0.14814814814814814</v>
      </c>
      <c r="L164" s="48">
        <f>D156/H156</f>
        <v>0.18518518518518517</v>
      </c>
      <c r="M164" s="48">
        <f>E156/H156</f>
        <v>0.20370370370370369</v>
      </c>
      <c r="N164" s="48">
        <f>F156/H156</f>
        <v>0.22222222222222221</v>
      </c>
      <c r="O164" s="49">
        <f>G156/H156</f>
        <v>0.24074074074074073</v>
      </c>
      <c r="P164" s="23"/>
      <c r="AD164" s="64" t="s">
        <v>3</v>
      </c>
      <c r="AE164" s="43" t="s">
        <v>24</v>
      </c>
      <c r="AF164" s="70" t="s">
        <v>25</v>
      </c>
      <c r="AG164" s="70" t="s">
        <v>26</v>
      </c>
      <c r="AH164" s="70" t="s">
        <v>27</v>
      </c>
      <c r="AI164" s="71" t="s">
        <v>28</v>
      </c>
      <c r="AJ164" s="65"/>
      <c r="AK164" s="10"/>
      <c r="AL164" s="72" t="s">
        <v>3</v>
      </c>
      <c r="AM164" s="50">
        <f>AE156/AJ156</f>
        <v>0.16216216216216217</v>
      </c>
      <c r="AN164" s="48">
        <f>AF156/AJ156</f>
        <v>0.1891891891891892</v>
      </c>
      <c r="AO164" s="48">
        <f>AG156/AJ156</f>
        <v>0.20270270270270271</v>
      </c>
      <c r="AP164" s="48">
        <f>AH156/AJ156</f>
        <v>0.21621621621621623</v>
      </c>
      <c r="AQ164" s="49">
        <f>AI156/AJ156</f>
        <v>0.22972972972972974</v>
      </c>
      <c r="AR164" s="23"/>
      <c r="BF164" s="64" t="s">
        <v>3</v>
      </c>
      <c r="BG164" s="43" t="s">
        <v>24</v>
      </c>
      <c r="BH164" s="70" t="s">
        <v>25</v>
      </c>
      <c r="BI164" s="70" t="s">
        <v>26</v>
      </c>
      <c r="BJ164" s="70" t="s">
        <v>27</v>
      </c>
      <c r="BK164" s="71" t="s">
        <v>28</v>
      </c>
      <c r="BL164" s="65"/>
      <c r="BM164" s="10"/>
      <c r="BN164" s="72" t="s">
        <v>3</v>
      </c>
      <c r="BO164" s="50">
        <f>BG156/BL156</f>
        <v>0.70588235294117652</v>
      </c>
      <c r="BP164" s="48">
        <f>BH156/BL156</f>
        <v>2.9411764705882353E-2</v>
      </c>
      <c r="BQ164" s="48">
        <f>BI156/BL156</f>
        <v>5.8823529411764705E-2</v>
      </c>
      <c r="BR164" s="48">
        <f>BJ156/BL156</f>
        <v>8.8235294117647065E-2</v>
      </c>
      <c r="BS164" s="49">
        <f>BK156/BL156</f>
        <v>0.11764705882352941</v>
      </c>
      <c r="BT164" s="23"/>
      <c r="CH164" s="64" t="s">
        <v>3</v>
      </c>
      <c r="CI164" s="43" t="s">
        <v>24</v>
      </c>
      <c r="CJ164" s="70" t="s">
        <v>25</v>
      </c>
      <c r="CK164" s="70" t="s">
        <v>26</v>
      </c>
      <c r="CL164" s="70" t="s">
        <v>27</v>
      </c>
      <c r="CM164" s="71" t="s">
        <v>28</v>
      </c>
      <c r="CN164" s="65"/>
      <c r="CO164" s="10"/>
      <c r="CP164" s="72" t="s">
        <v>3</v>
      </c>
      <c r="CQ164" s="50">
        <f>CI156/CN156</f>
        <v>0.17307692307692307</v>
      </c>
      <c r="CR164" s="48">
        <f>CJ156/CN156</f>
        <v>0.19230769230769232</v>
      </c>
      <c r="CS164" s="48">
        <f>CK156/CN156</f>
        <v>0.20192307692307693</v>
      </c>
      <c r="CT164" s="48">
        <f>CL156/CN156</f>
        <v>0.21153846153846154</v>
      </c>
      <c r="CU164" s="49">
        <f>CM156/CN156</f>
        <v>0.22115384615384615</v>
      </c>
      <c r="CV164" s="23"/>
      <c r="DJ164" s="64" t="s">
        <v>3</v>
      </c>
      <c r="DK164" s="43" t="s">
        <v>24</v>
      </c>
      <c r="DL164" s="70" t="s">
        <v>25</v>
      </c>
      <c r="DM164" s="70" t="s">
        <v>26</v>
      </c>
      <c r="DN164" s="70" t="s">
        <v>27</v>
      </c>
      <c r="DO164" s="71" t="s">
        <v>28</v>
      </c>
      <c r="DP164" s="65"/>
      <c r="DQ164" s="10"/>
      <c r="DR164" s="72" t="s">
        <v>3</v>
      </c>
      <c r="DS164" s="50">
        <f>DK156/DP156</f>
        <v>0.17171717171717171</v>
      </c>
      <c r="DT164" s="48">
        <f>DL156/DP156</f>
        <v>0.19191919191919191</v>
      </c>
      <c r="DU164" s="48">
        <f>DM156/DP156</f>
        <v>0.20202020202020202</v>
      </c>
      <c r="DV164" s="48">
        <f>DN156/DP156</f>
        <v>0.21212121212121213</v>
      </c>
      <c r="DW164" s="49">
        <f>DO156/DP156</f>
        <v>0.22222222222222221</v>
      </c>
      <c r="DX164" s="23"/>
    </row>
    <row r="165" spans="2:140" ht="15" thickBot="1" x14ac:dyDescent="0.25">
      <c r="B165" s="73"/>
      <c r="C165" s="74"/>
      <c r="D165" s="74"/>
      <c r="E165" s="74"/>
      <c r="F165" s="74"/>
      <c r="G165" s="74"/>
      <c r="H165" s="75"/>
      <c r="I165" s="10"/>
      <c r="AD165" s="73"/>
      <c r="AE165" s="74"/>
      <c r="AF165" s="74"/>
      <c r="AG165" s="74"/>
      <c r="AH165" s="74"/>
      <c r="AI165" s="74"/>
      <c r="AJ165" s="75"/>
      <c r="AK165" s="10"/>
      <c r="BF165" s="73"/>
      <c r="BG165" s="74"/>
      <c r="BH165" s="74"/>
      <c r="BI165" s="74"/>
      <c r="BJ165" s="74"/>
      <c r="BK165" s="74"/>
      <c r="BL165" s="75"/>
      <c r="BM165" s="10"/>
      <c r="CH165" s="73"/>
      <c r="CI165" s="74"/>
      <c r="CJ165" s="74"/>
      <c r="CK165" s="74"/>
      <c r="CL165" s="74"/>
      <c r="CM165" s="74"/>
      <c r="CN165" s="75"/>
      <c r="CO165" s="10"/>
      <c r="DJ165" s="73"/>
      <c r="DK165" s="74"/>
      <c r="DL165" s="74"/>
      <c r="DM165" s="74"/>
      <c r="DN165" s="74"/>
      <c r="DO165" s="74"/>
      <c r="DP165" s="75"/>
      <c r="DQ165" s="10"/>
    </row>
    <row r="166" spans="2:140" ht="15" thickBot="1" x14ac:dyDescent="0.25">
      <c r="B166" s="10"/>
      <c r="C166" s="10"/>
      <c r="D166" s="10"/>
      <c r="E166" s="10"/>
      <c r="F166" s="10"/>
      <c r="G166" s="10"/>
      <c r="H166" s="10"/>
      <c r="I166" s="10"/>
      <c r="K166" s="10"/>
      <c r="L166" s="10"/>
      <c r="M166" s="10"/>
      <c r="N166" s="10"/>
      <c r="O166" s="10" t="s">
        <v>580</v>
      </c>
      <c r="P166" s="10"/>
      <c r="Q166" s="76" t="s">
        <v>30</v>
      </c>
      <c r="R166" s="76" t="s">
        <v>31</v>
      </c>
      <c r="S166" s="76" t="s">
        <v>32</v>
      </c>
      <c r="T166" s="76" t="s">
        <v>33</v>
      </c>
      <c r="U166" s="76" t="s">
        <v>34</v>
      </c>
      <c r="W166" s="170" t="s">
        <v>62</v>
      </c>
      <c r="X166" s="171"/>
      <c r="Y166" s="171"/>
      <c r="Z166" s="171"/>
      <c r="AA166" s="171"/>
      <c r="AB166" s="171"/>
      <c r="AD166" s="10"/>
      <c r="AE166" s="10"/>
      <c r="AF166" s="10"/>
      <c r="AG166" s="10"/>
      <c r="AH166" s="10"/>
      <c r="AI166" s="10"/>
      <c r="AJ166" s="10"/>
      <c r="AK166" s="10"/>
      <c r="AM166" s="10"/>
      <c r="AN166" s="10"/>
      <c r="AO166" s="10"/>
      <c r="AP166" s="10"/>
      <c r="AQ166" s="10" t="s">
        <v>580</v>
      </c>
      <c r="AR166" s="10"/>
      <c r="AS166" s="76" t="s">
        <v>30</v>
      </c>
      <c r="AT166" s="76" t="s">
        <v>31</v>
      </c>
      <c r="AU166" s="76" t="s">
        <v>32</v>
      </c>
      <c r="AV166" s="76" t="s">
        <v>33</v>
      </c>
      <c r="AW166" s="76" t="s">
        <v>34</v>
      </c>
      <c r="AY166" s="170" t="s">
        <v>74</v>
      </c>
      <c r="AZ166" s="171"/>
      <c r="BA166" s="171"/>
      <c r="BB166" s="171"/>
      <c r="BC166" s="171"/>
      <c r="BD166" s="171"/>
      <c r="BF166" s="10"/>
      <c r="BG166" s="10"/>
      <c r="BH166" s="10"/>
      <c r="BI166" s="10"/>
      <c r="BJ166" s="10"/>
      <c r="BK166" s="10"/>
      <c r="BL166" s="10"/>
      <c r="BM166" s="10"/>
      <c r="BO166" s="10"/>
      <c r="BP166" s="10"/>
      <c r="BQ166" s="10"/>
      <c r="BR166" s="10"/>
      <c r="BS166" s="10" t="s">
        <v>580</v>
      </c>
      <c r="BT166" s="10"/>
      <c r="BU166" s="76" t="s">
        <v>30</v>
      </c>
      <c r="BV166" s="76" t="s">
        <v>31</v>
      </c>
      <c r="BW166" s="76" t="s">
        <v>32</v>
      </c>
      <c r="BX166" s="76" t="s">
        <v>33</v>
      </c>
      <c r="BY166" s="76" t="s">
        <v>34</v>
      </c>
      <c r="CA166" s="170" t="s">
        <v>92</v>
      </c>
      <c r="CB166" s="171"/>
      <c r="CC166" s="171"/>
      <c r="CD166" s="171"/>
      <c r="CE166" s="171"/>
      <c r="CF166" s="171"/>
      <c r="CH166" s="10"/>
      <c r="CI166" s="10"/>
      <c r="CJ166" s="10"/>
      <c r="CK166" s="10"/>
      <c r="CL166" s="10"/>
      <c r="CM166" s="10"/>
      <c r="CN166" s="10"/>
      <c r="CO166" s="10"/>
      <c r="CQ166" s="10"/>
      <c r="CR166" s="10"/>
      <c r="CS166" s="10"/>
      <c r="CT166" s="10"/>
      <c r="CU166" s="10" t="s">
        <v>580</v>
      </c>
      <c r="CV166" s="10"/>
      <c r="CW166" s="76" t="s">
        <v>30</v>
      </c>
      <c r="CX166" s="76" t="s">
        <v>31</v>
      </c>
      <c r="CY166" s="76" t="s">
        <v>32</v>
      </c>
      <c r="CZ166" s="76" t="s">
        <v>33</v>
      </c>
      <c r="DA166" s="76" t="s">
        <v>34</v>
      </c>
      <c r="DC166" s="170" t="s">
        <v>107</v>
      </c>
      <c r="DD166" s="171"/>
      <c r="DE166" s="171"/>
      <c r="DF166" s="171"/>
      <c r="DG166" s="171"/>
      <c r="DH166" s="171"/>
      <c r="DJ166" s="10"/>
      <c r="DK166" s="10"/>
      <c r="DL166" s="10"/>
      <c r="DM166" s="10"/>
      <c r="DN166" s="10"/>
      <c r="DO166" s="10"/>
      <c r="DP166" s="10"/>
      <c r="DQ166" s="10"/>
      <c r="DS166" s="10"/>
      <c r="DT166" s="10"/>
      <c r="DU166" s="10"/>
      <c r="DV166" s="10"/>
      <c r="DW166" s="10" t="s">
        <v>580</v>
      </c>
      <c r="DX166" s="10"/>
      <c r="DY166" s="76" t="s">
        <v>30</v>
      </c>
      <c r="DZ166" s="76" t="s">
        <v>31</v>
      </c>
      <c r="EA166" s="76" t="s">
        <v>32</v>
      </c>
      <c r="EB166" s="76" t="s">
        <v>33</v>
      </c>
      <c r="EC166" s="76" t="s">
        <v>34</v>
      </c>
      <c r="EE166" s="170" t="s">
        <v>122</v>
      </c>
      <c r="EF166" s="171"/>
      <c r="EG166" s="171"/>
      <c r="EH166" s="171"/>
      <c r="EI166" s="171"/>
      <c r="EJ166" s="171"/>
    </row>
    <row r="167" spans="2:140" ht="15" thickBot="1" x14ac:dyDescent="0.25">
      <c r="B167" s="10"/>
      <c r="C167" s="10"/>
      <c r="D167" s="10"/>
      <c r="E167" s="10"/>
      <c r="F167" s="10"/>
      <c r="G167" s="10"/>
      <c r="H167" s="10"/>
      <c r="I167" s="10"/>
      <c r="J167" s="838" t="s">
        <v>35</v>
      </c>
      <c r="K167" s="839"/>
      <c r="L167" s="77" t="s">
        <v>36</v>
      </c>
      <c r="M167" s="78" t="s">
        <v>11</v>
      </c>
      <c r="N167" s="79" t="s">
        <v>37</v>
      </c>
      <c r="O167" s="80" t="s">
        <v>38</v>
      </c>
      <c r="P167" s="10"/>
      <c r="Q167" s="81">
        <f>K152</f>
        <v>0.31481481481481483</v>
      </c>
      <c r="R167" s="82">
        <f>K153</f>
        <v>1.8518518518518517E-2</v>
      </c>
      <c r="S167" s="82">
        <f>K154</f>
        <v>5.5555555555555552E-2</v>
      </c>
      <c r="T167" s="82">
        <f>K155</f>
        <v>0.46296296296296297</v>
      </c>
      <c r="U167" s="83">
        <f>K156</f>
        <v>0.14814814814814814</v>
      </c>
      <c r="V167" s="84">
        <f>SUM(Q167:U167)</f>
        <v>1</v>
      </c>
      <c r="W167" s="193" t="s">
        <v>37</v>
      </c>
      <c r="X167" s="173" t="s">
        <v>30</v>
      </c>
      <c r="Y167" s="174" t="s">
        <v>31</v>
      </c>
      <c r="Z167" s="174" t="s">
        <v>32</v>
      </c>
      <c r="AA167" s="174" t="s">
        <v>33</v>
      </c>
      <c r="AB167" s="175" t="s">
        <v>34</v>
      </c>
      <c r="AD167" s="10"/>
      <c r="AE167" s="10"/>
      <c r="AF167" s="10"/>
      <c r="AG167" s="10"/>
      <c r="AH167" s="10"/>
      <c r="AI167" s="10"/>
      <c r="AJ167" s="10"/>
      <c r="AK167" s="10"/>
      <c r="AL167" s="838" t="s">
        <v>35</v>
      </c>
      <c r="AM167" s="839"/>
      <c r="AN167" s="77" t="s">
        <v>36</v>
      </c>
      <c r="AO167" s="78" t="s">
        <v>11</v>
      </c>
      <c r="AP167" s="79" t="s">
        <v>37</v>
      </c>
      <c r="AQ167" s="80" t="s">
        <v>38</v>
      </c>
      <c r="AR167" s="10"/>
      <c r="AS167" s="81">
        <f>AM152</f>
        <v>0.42857142857142855</v>
      </c>
      <c r="AT167" s="82">
        <f>AM153</f>
        <v>0.10204081632653061</v>
      </c>
      <c r="AU167" s="82">
        <f>AM154</f>
        <v>0.14285714285714285</v>
      </c>
      <c r="AV167" s="82">
        <f>AM155</f>
        <v>8.1632653061224483E-2</v>
      </c>
      <c r="AW167" s="83">
        <f>AM156</f>
        <v>0.24489795918367346</v>
      </c>
      <c r="AX167" s="84">
        <f>SUM(AS167:AW167)</f>
        <v>0.99999999999999978</v>
      </c>
      <c r="AY167" s="198" t="s">
        <v>37</v>
      </c>
      <c r="AZ167" s="194" t="s">
        <v>30</v>
      </c>
      <c r="BA167" s="195" t="s">
        <v>31</v>
      </c>
      <c r="BB167" s="195" t="s">
        <v>32</v>
      </c>
      <c r="BC167" s="195" t="s">
        <v>33</v>
      </c>
      <c r="BD167" s="196" t="s">
        <v>34</v>
      </c>
      <c r="BF167" s="10"/>
      <c r="BG167" s="10"/>
      <c r="BH167" s="10"/>
      <c r="BI167" s="10"/>
      <c r="BJ167" s="10"/>
      <c r="BK167" s="10"/>
      <c r="BL167" s="10"/>
      <c r="BM167" s="10"/>
      <c r="BN167" s="838" t="s">
        <v>35</v>
      </c>
      <c r="BO167" s="839"/>
      <c r="BP167" s="77" t="s">
        <v>36</v>
      </c>
      <c r="BQ167" s="78" t="s">
        <v>11</v>
      </c>
      <c r="BR167" s="79" t="s">
        <v>37</v>
      </c>
      <c r="BS167" s="80" t="s">
        <v>38</v>
      </c>
      <c r="BT167" s="10"/>
      <c r="BU167" s="81">
        <f>BO152</f>
        <v>9.5238095238095233E-2</v>
      </c>
      <c r="BV167" s="82">
        <f>BO153</f>
        <v>0.20238095238095238</v>
      </c>
      <c r="BW167" s="82">
        <f>BO154</f>
        <v>0.22619047619047619</v>
      </c>
      <c r="BX167" s="82">
        <f>BO155</f>
        <v>0.19047619047619047</v>
      </c>
      <c r="BY167" s="83">
        <f>BO156</f>
        <v>0.2857142857142857</v>
      </c>
      <c r="BZ167" s="84">
        <f>SUM(BU167:BY167)</f>
        <v>1</v>
      </c>
      <c r="CA167" s="198" t="s">
        <v>37</v>
      </c>
      <c r="CB167" s="194" t="s">
        <v>30</v>
      </c>
      <c r="CC167" s="195" t="s">
        <v>31</v>
      </c>
      <c r="CD167" s="195" t="s">
        <v>32</v>
      </c>
      <c r="CE167" s="195" t="s">
        <v>33</v>
      </c>
      <c r="CF167" s="196" t="s">
        <v>34</v>
      </c>
      <c r="CH167" s="10"/>
      <c r="CI167" s="10"/>
      <c r="CJ167" s="10"/>
      <c r="CK167" s="10"/>
      <c r="CL167" s="10"/>
      <c r="CM167" s="10"/>
      <c r="CN167" s="10"/>
      <c r="CO167" s="10"/>
      <c r="CP167" s="838" t="s">
        <v>35</v>
      </c>
      <c r="CQ167" s="839"/>
      <c r="CR167" s="77" t="s">
        <v>36</v>
      </c>
      <c r="CS167" s="78" t="s">
        <v>11</v>
      </c>
      <c r="CT167" s="79" t="s">
        <v>37</v>
      </c>
      <c r="CU167" s="80" t="s">
        <v>38</v>
      </c>
      <c r="CV167" s="10"/>
      <c r="CW167" s="81">
        <f>CQ152</f>
        <v>3.7037037037037035E-2</v>
      </c>
      <c r="CX167" s="82">
        <f>CQ153</f>
        <v>0.20370370370370369</v>
      </c>
      <c r="CY167" s="82">
        <f>CQ154</f>
        <v>0.24074074074074073</v>
      </c>
      <c r="CZ167" s="82">
        <f>CQ155</f>
        <v>0.18518518518518517</v>
      </c>
      <c r="DA167" s="83">
        <f>CQ156</f>
        <v>0.33333333333333331</v>
      </c>
      <c r="DB167" s="84">
        <f>SUM(CW167:DA167)</f>
        <v>1</v>
      </c>
      <c r="DC167" s="198" t="s">
        <v>37</v>
      </c>
      <c r="DD167" s="194" t="s">
        <v>30</v>
      </c>
      <c r="DE167" s="195" t="s">
        <v>31</v>
      </c>
      <c r="DF167" s="195" t="s">
        <v>32</v>
      </c>
      <c r="DG167" s="195" t="s">
        <v>33</v>
      </c>
      <c r="DH167" s="196" t="s">
        <v>34</v>
      </c>
      <c r="DJ167" s="10"/>
      <c r="DK167" s="10"/>
      <c r="DL167" s="10"/>
      <c r="DM167" s="10"/>
      <c r="DN167" s="10"/>
      <c r="DO167" s="10"/>
      <c r="DP167" s="10"/>
      <c r="DQ167" s="10"/>
      <c r="DR167" s="838" t="s">
        <v>35</v>
      </c>
      <c r="DS167" s="839"/>
      <c r="DT167" s="77" t="s">
        <v>36</v>
      </c>
      <c r="DU167" s="153" t="s">
        <v>11</v>
      </c>
      <c r="DV167" s="79" t="s">
        <v>37</v>
      </c>
      <c r="DW167" s="80" t="s">
        <v>38</v>
      </c>
      <c r="DX167" s="10"/>
      <c r="DY167" s="81">
        <f>DS152</f>
        <v>2.0408163265306121E-2</v>
      </c>
      <c r="DZ167" s="82">
        <f>DS153</f>
        <v>0.20408163265306123</v>
      </c>
      <c r="EA167" s="82">
        <f>DS154</f>
        <v>0.24489795918367346</v>
      </c>
      <c r="EB167" s="82">
        <f>DS155</f>
        <v>0.18367346938775511</v>
      </c>
      <c r="EC167" s="83">
        <f>DS156</f>
        <v>0.34693877551020408</v>
      </c>
      <c r="ED167" s="84">
        <f>SUM(DY167:EC167)</f>
        <v>1</v>
      </c>
      <c r="EE167" s="198" t="s">
        <v>37</v>
      </c>
      <c r="EF167" s="194" t="s">
        <v>30</v>
      </c>
      <c r="EG167" s="195" t="s">
        <v>31</v>
      </c>
      <c r="EH167" s="195" t="s">
        <v>32</v>
      </c>
      <c r="EI167" s="195" t="s">
        <v>33</v>
      </c>
      <c r="EJ167" s="196" t="s">
        <v>34</v>
      </c>
    </row>
    <row r="168" spans="2:140" x14ac:dyDescent="0.2">
      <c r="B168" s="10"/>
      <c r="C168" s="10"/>
      <c r="D168" s="10"/>
      <c r="E168" s="86" t="s">
        <v>39</v>
      </c>
      <c r="F168" s="10"/>
      <c r="G168" s="10"/>
      <c r="H168" s="10"/>
      <c r="I168" s="10"/>
      <c r="J168" s="87" t="s">
        <v>14</v>
      </c>
      <c r="K168" s="97">
        <v>1</v>
      </c>
      <c r="L168" s="465">
        <f>L23</f>
        <v>1</v>
      </c>
      <c r="N168" s="88">
        <v>1</v>
      </c>
      <c r="O168" s="89">
        <v>7</v>
      </c>
      <c r="P168" s="90"/>
      <c r="Q168" s="91">
        <f>O168/(L168-Q167)</f>
        <v>10.216216216216218</v>
      </c>
      <c r="R168" s="92">
        <f>O168/(L168-R167)</f>
        <v>7.132075471698113</v>
      </c>
      <c r="S168" s="92">
        <f>O168/(L168-S167)</f>
        <v>7.4117647058823533</v>
      </c>
      <c r="T168" s="92">
        <f>O168/(L168-T167)</f>
        <v>13.03448275862069</v>
      </c>
      <c r="U168" s="93">
        <f>O168/(L168-U167)</f>
        <v>8.2173913043478262</v>
      </c>
      <c r="W168" s="14">
        <v>1</v>
      </c>
      <c r="X168" s="24">
        <f>(Q168/Q180*100+Q183)*$L168</f>
        <v>8.7015027322404386</v>
      </c>
      <c r="Y168" s="205">
        <f>(R168/R180*100+R183)*$L168</f>
        <v>8.6147435897435898</v>
      </c>
      <c r="Z168" s="205">
        <f t="shared" ref="Z168" si="282">(S168/S180*100+S183)*$L168</f>
        <v>8.4085497835497822</v>
      </c>
      <c r="AA168" s="205">
        <f t="shared" ref="AA168" si="283">(T168/T180*100+T183)*$L168</f>
        <v>8.5029342723004682</v>
      </c>
      <c r="AB168" s="382">
        <f t="shared" ref="AB168" si="284">(U168/U180*100+U183)*$L168</f>
        <v>8.5202380952380956</v>
      </c>
      <c r="AD168" s="10"/>
      <c r="AE168" s="10"/>
      <c r="AF168" s="10"/>
      <c r="AG168" s="86" t="s">
        <v>39</v>
      </c>
      <c r="AH168" s="10"/>
      <c r="AI168" s="10"/>
      <c r="AJ168" s="10"/>
      <c r="AK168" s="10"/>
      <c r="AL168" s="87" t="s">
        <v>14</v>
      </c>
      <c r="AM168" s="97">
        <v>5</v>
      </c>
      <c r="AN168" s="465">
        <f>AN23</f>
        <v>1</v>
      </c>
      <c r="AP168" s="88">
        <v>1</v>
      </c>
      <c r="AQ168" s="89">
        <v>7</v>
      </c>
      <c r="AR168" s="90"/>
      <c r="AS168" s="91">
        <f>AQ168/(AN168-AS167)</f>
        <v>12.25</v>
      </c>
      <c r="AT168" s="92">
        <f>AQ168/(AN168-AT167)</f>
        <v>7.7954545454545459</v>
      </c>
      <c r="AU168" s="92">
        <f>AQ168/(AN168-AU167)</f>
        <v>8.1666666666666661</v>
      </c>
      <c r="AV168" s="92">
        <f>AQ168/(AN168-AV167)</f>
        <v>7.6222222222222218</v>
      </c>
      <c r="AW168" s="93">
        <f>AQ168/(AN168-AW167)</f>
        <v>9.2702702702702702</v>
      </c>
      <c r="AY168" s="199">
        <v>1</v>
      </c>
      <c r="AZ168" s="24">
        <f>(AS168/AS180*100+AS183)*AN168</f>
        <v>11.499458874458874</v>
      </c>
      <c r="BA168" s="205">
        <f>(AT168/AT180*100+AT183)*AN168</f>
        <v>13.077380952380953</v>
      </c>
      <c r="BB168" s="205">
        <f>(AU168/AU180*100+AU183)*AN168</f>
        <v>12.056372549019608</v>
      </c>
      <c r="BC168" s="205">
        <f>(AV168/AV180*100+AV183)*AN168</f>
        <v>12.51747311827957</v>
      </c>
      <c r="BD168" s="382">
        <f>(AW168/AW180*100+AW183)*AN168</f>
        <v>12.603142076502731</v>
      </c>
      <c r="BF168" s="10"/>
      <c r="BG168" s="10"/>
      <c r="BH168" s="10"/>
      <c r="BI168" s="86" t="s">
        <v>39</v>
      </c>
      <c r="BJ168" s="10"/>
      <c r="BK168" s="10"/>
      <c r="BL168" s="10"/>
      <c r="BM168" s="10"/>
      <c r="BN168" s="87" t="s">
        <v>14</v>
      </c>
      <c r="BO168" s="97">
        <v>17</v>
      </c>
      <c r="BP168" s="465">
        <f>BP23</f>
        <v>1</v>
      </c>
      <c r="BR168" s="88">
        <v>1</v>
      </c>
      <c r="BS168" s="89">
        <v>7</v>
      </c>
      <c r="BT168" s="90"/>
      <c r="BU168" s="91">
        <f>BS168/(BP168-BU167)</f>
        <v>7.7368421052631575</v>
      </c>
      <c r="BV168" s="92">
        <f>BS168/(BP168-BV167)</f>
        <v>8.7761194029850742</v>
      </c>
      <c r="BW168" s="92">
        <f>BS168/(BP168-BW167)</f>
        <v>9.046153846153846</v>
      </c>
      <c r="BX168" s="92">
        <f>BS168/(BP168-BX167)</f>
        <v>8.6470588235294112</v>
      </c>
      <c r="BY168" s="93">
        <f>BS168/(BP168-BY167)</f>
        <v>9.7999999999999989</v>
      </c>
      <c r="CA168" s="207">
        <v>1</v>
      </c>
      <c r="CB168" s="24">
        <f>(BU168/BU180*100+BU183)*BP168</f>
        <v>9.9316666666666684</v>
      </c>
      <c r="CC168" s="205">
        <f>(BV168/BV180*100+BV183)*BP168</f>
        <v>9.7361111111111107</v>
      </c>
      <c r="CD168" s="205">
        <f>(BW168/BW180*100+BW183)*BP168</f>
        <v>10.51117886178862</v>
      </c>
      <c r="CE168" s="205">
        <f>(BX168/BX180*100+BX183)*BP168</f>
        <v>9.4916666666666671</v>
      </c>
      <c r="CF168" s="382">
        <f>(BY168/BY180*100+BY183)*BP168</f>
        <v>9.5289548022598858</v>
      </c>
      <c r="CH168" s="10"/>
      <c r="CI168" s="10"/>
      <c r="CJ168" s="10"/>
      <c r="CK168" s="86" t="s">
        <v>39</v>
      </c>
      <c r="CL168" s="10"/>
      <c r="CM168" s="10"/>
      <c r="CN168" s="10"/>
      <c r="CO168" s="10"/>
      <c r="CP168" s="87" t="s">
        <v>14</v>
      </c>
      <c r="CQ168" s="97">
        <v>11</v>
      </c>
      <c r="CR168" s="465">
        <f>CR23</f>
        <v>1</v>
      </c>
      <c r="CT168" s="88">
        <v>1</v>
      </c>
      <c r="CU168" s="89">
        <v>7</v>
      </c>
      <c r="CV168" s="90"/>
      <c r="CW168" s="91">
        <f>CU168/(CR168-CW167)</f>
        <v>7.2692307692307692</v>
      </c>
      <c r="CX168" s="92">
        <f>CU168/(CR168-CX167)</f>
        <v>8.7906976744186043</v>
      </c>
      <c r="CY168" s="92">
        <f>CU168/(CR168-CY167)</f>
        <v>9.2195121951219505</v>
      </c>
      <c r="CZ168" s="92">
        <f>CU168/(CR168-CZ167)</f>
        <v>8.5909090909090899</v>
      </c>
      <c r="DA168" s="93">
        <f>CU168/(CR168-DA167)</f>
        <v>10.499999999999998</v>
      </c>
      <c r="DC168" s="207">
        <v>1</v>
      </c>
      <c r="DD168" s="24">
        <f>(CW168/CW180*100+CW183)*CR168</f>
        <v>16.860294117647062</v>
      </c>
      <c r="DE168" s="205">
        <f>(CX168/CX180*100+CX183)*CR168</f>
        <v>16.164393939393939</v>
      </c>
      <c r="DF168" s="205">
        <f>(CY168/CY180*100+CY183)*CR168</f>
        <v>18.910714285714285</v>
      </c>
      <c r="DG168" s="205">
        <f>(CZ168/CZ180*100+CZ183)*CR168</f>
        <v>20.847222222222221</v>
      </c>
      <c r="DH168" s="382">
        <f>(DA168/DA180*100+DA183)*CR168</f>
        <v>15.425000000000001</v>
      </c>
      <c r="DJ168" s="10"/>
      <c r="DK168" s="10"/>
      <c r="DL168" s="10"/>
      <c r="DM168" s="86" t="s">
        <v>39</v>
      </c>
      <c r="DN168" s="10"/>
      <c r="DO168" s="10"/>
      <c r="DP168" s="10"/>
      <c r="DQ168" s="10"/>
      <c r="DR168" s="87" t="s">
        <v>14</v>
      </c>
      <c r="DS168" s="97">
        <v>10</v>
      </c>
      <c r="DT168" s="465">
        <f>DT23</f>
        <v>1</v>
      </c>
      <c r="DV168" s="88">
        <v>1</v>
      </c>
      <c r="DW168" s="89">
        <v>7</v>
      </c>
      <c r="DX168" s="90"/>
      <c r="DY168" s="91">
        <f>DW168/(DT168-DY167)</f>
        <v>7.1458333333333339</v>
      </c>
      <c r="DZ168" s="92">
        <f>DW168/(DT168-DZ167)</f>
        <v>8.7948717948717956</v>
      </c>
      <c r="EA168" s="92">
        <f>DW168/(DT168-EA167)</f>
        <v>9.2702702702702702</v>
      </c>
      <c r="EB168" s="92">
        <f>DW168/(DT168-EB167)</f>
        <v>8.5749999999999993</v>
      </c>
      <c r="EC168" s="93">
        <f>DW168/(DT168-EC167)</f>
        <v>10.718749999999998</v>
      </c>
      <c r="EE168" s="207">
        <v>1</v>
      </c>
      <c r="EF168" s="24">
        <f>(DY168/DY180*100+DY183)*DT168</f>
        <v>12.916666666666668</v>
      </c>
      <c r="EG168" s="205">
        <f>(DZ168/DZ180*100+DZ183)*DT168</f>
        <v>12.620614035087719</v>
      </c>
      <c r="EH168" s="205">
        <f>(EA168/EA180*100+EA183)*DT168</f>
        <v>13.720238095238095</v>
      </c>
      <c r="EI168" s="205">
        <f>(EB168/EB180*100+EB183)*DT168</f>
        <v>14.396929824561402</v>
      </c>
      <c r="EJ168" s="382">
        <f>(EC168/EC180*100+EC183)*DT168</f>
        <v>14.523809523809526</v>
      </c>
    </row>
    <row r="169" spans="2:140" x14ac:dyDescent="0.2">
      <c r="B169" s="10"/>
      <c r="C169" s="10"/>
      <c r="D169" s="10"/>
      <c r="E169" s="86" t="s">
        <v>39</v>
      </c>
      <c r="F169" s="10"/>
      <c r="G169" s="10"/>
      <c r="H169" s="10"/>
      <c r="I169" s="10"/>
      <c r="J169" s="96" t="s">
        <v>20</v>
      </c>
      <c r="K169" s="39">
        <v>2</v>
      </c>
      <c r="L169" s="465">
        <f>L168</f>
        <v>1</v>
      </c>
      <c r="N169" s="88">
        <v>2</v>
      </c>
      <c r="O169" s="95">
        <v>8</v>
      </c>
      <c r="P169" s="90"/>
      <c r="Q169" s="99">
        <f>O169/(L169-Q167)</f>
        <v>11.675675675675677</v>
      </c>
      <c r="R169" s="100">
        <f>O169/(L169-R167)</f>
        <v>8.1509433962264151</v>
      </c>
      <c r="S169" s="100">
        <f>O169/(L169-S167)</f>
        <v>8.4705882352941178</v>
      </c>
      <c r="T169" s="100">
        <f>O169/(L169-T167)</f>
        <v>14.896551724137932</v>
      </c>
      <c r="U169" s="100">
        <f>O169/(L169-U167)</f>
        <v>9.391304347826086</v>
      </c>
      <c r="W169" s="14">
        <v>2</v>
      </c>
      <c r="X169" s="32">
        <f>(Q169/Q180*100+Q184)*$L169</f>
        <v>13.972677595628415</v>
      </c>
      <c r="Y169" s="202">
        <f>(R169/R180*100+R184)*$L169</f>
        <v>13.625641025641023</v>
      </c>
      <c r="Z169" s="202">
        <f t="shared" ref="Z169" si="285">(S169/S180*100+S184)*$L169</f>
        <v>12.8008658008658</v>
      </c>
      <c r="AA169" s="202">
        <f t="shared" ref="AA169" si="286">(T169/T180*100+T184)*$L169</f>
        <v>13.178403755868544</v>
      </c>
      <c r="AB169" s="383">
        <f t="shared" ref="AB169" si="287">(U169/U180*100+U184)*$L169</f>
        <v>13.247619047619047</v>
      </c>
      <c r="AD169" s="10"/>
      <c r="AE169" s="10"/>
      <c r="AF169" s="10"/>
      <c r="AG169" s="86" t="s">
        <v>39</v>
      </c>
      <c r="AH169" s="10"/>
      <c r="AI169" s="10"/>
      <c r="AJ169" s="10"/>
      <c r="AK169" s="10"/>
      <c r="AL169" s="96" t="s">
        <v>20</v>
      </c>
      <c r="AM169" s="39">
        <v>6</v>
      </c>
      <c r="AN169" s="465">
        <f>AN168</f>
        <v>1</v>
      </c>
      <c r="AP169" s="88">
        <v>2</v>
      </c>
      <c r="AQ169" s="95">
        <v>8</v>
      </c>
      <c r="AR169" s="90"/>
      <c r="AS169" s="99">
        <f>AQ169/(AN169-AS167)</f>
        <v>14</v>
      </c>
      <c r="AT169" s="100">
        <f>AQ169/(AN169-AT167)</f>
        <v>8.9090909090909083</v>
      </c>
      <c r="AU169" s="100">
        <f>AQ169/(AN169-AU167)</f>
        <v>9.3333333333333321</v>
      </c>
      <c r="AV169" s="100">
        <f>AQ169/(AN169-AV167)</f>
        <v>8.7111111111111104</v>
      </c>
      <c r="AW169" s="100">
        <f>AQ169/(AN169-AW167)</f>
        <v>10.594594594594595</v>
      </c>
      <c r="AY169" s="200">
        <v>2</v>
      </c>
      <c r="AZ169" s="32">
        <f>(AS169/AS180*100+AS184)*AN169</f>
        <v>10.437229437229437</v>
      </c>
      <c r="BA169" s="202">
        <f>(AT169/AT180*100+AT184)*AN169</f>
        <v>11.226190476190474</v>
      </c>
      <c r="BB169" s="202">
        <f>(AU169/AU180*100+AU184)*AN169</f>
        <v>10.715686274509803</v>
      </c>
      <c r="BC169" s="202">
        <f>(AV169/AV180*100+AV184)*AN169</f>
        <v>10.946236559139786</v>
      </c>
      <c r="BD169" s="383">
        <f>(AW169/AW180*100+AW184)*AN169</f>
        <v>10.989071038251364</v>
      </c>
      <c r="BF169" s="10"/>
      <c r="BG169" s="10"/>
      <c r="BH169" s="10"/>
      <c r="BI169" s="86" t="s">
        <v>39</v>
      </c>
      <c r="BJ169" s="10"/>
      <c r="BK169" s="10"/>
      <c r="BL169" s="10"/>
      <c r="BM169" s="10"/>
      <c r="BN169" s="96" t="s">
        <v>20</v>
      </c>
      <c r="BO169" s="39">
        <v>18</v>
      </c>
      <c r="BP169" s="465">
        <f>BP168</f>
        <v>1</v>
      </c>
      <c r="BR169" s="88">
        <v>2</v>
      </c>
      <c r="BS169" s="95">
        <v>8</v>
      </c>
      <c r="BT169" s="90"/>
      <c r="BU169" s="99">
        <f>BS169/(BP169-BU167)</f>
        <v>8.8421052631578938</v>
      </c>
      <c r="BV169" s="100">
        <f>BS169/(BP169-BV167)</f>
        <v>10.029850746268655</v>
      </c>
      <c r="BW169" s="100">
        <f>BS169/(BP169-BW167)</f>
        <v>10.338461538461537</v>
      </c>
      <c r="BX169" s="100">
        <f>BS169/(BP169-BX167)</f>
        <v>9.882352941176471</v>
      </c>
      <c r="BY169" s="100">
        <f>BS169/(BP169-BY167)</f>
        <v>11.2</v>
      </c>
      <c r="CA169" s="208">
        <v>2</v>
      </c>
      <c r="CB169" s="32">
        <f>(BU169/BU180*100+BU184)*BP169</f>
        <v>18.893333333333334</v>
      </c>
      <c r="CC169" s="202">
        <f>(BV169/BV180*100+BV184)*BP169</f>
        <v>18.111111111111111</v>
      </c>
      <c r="CD169" s="202">
        <f>(BW169/BW180*100+BW184)*BP169</f>
        <v>21.211382113821138</v>
      </c>
      <c r="CE169" s="202">
        <f>(BX169/BX180*100+BX184)*BP169</f>
        <v>17.133333333333333</v>
      </c>
      <c r="CF169" s="383">
        <f>(BY169/BY180*100+BY184)*BP169</f>
        <v>17.282485875706215</v>
      </c>
      <c r="CH169" s="10"/>
      <c r="CI169" s="10"/>
      <c r="CJ169" s="10"/>
      <c r="CK169" s="86" t="s">
        <v>39</v>
      </c>
      <c r="CL169" s="10"/>
      <c r="CM169" s="10"/>
      <c r="CN169" s="10"/>
      <c r="CO169" s="10"/>
      <c r="CP169" s="96" t="s">
        <v>20</v>
      </c>
      <c r="CQ169" s="39">
        <v>12</v>
      </c>
      <c r="CR169" s="465">
        <f>CR168</f>
        <v>1</v>
      </c>
      <c r="CT169" s="88">
        <v>2</v>
      </c>
      <c r="CU169" s="95">
        <v>8</v>
      </c>
      <c r="CV169" s="90"/>
      <c r="CW169" s="99">
        <f>CU169/(CR169-CW167)</f>
        <v>8.3076923076923066</v>
      </c>
      <c r="CX169" s="100">
        <f>CU169/(CR169-CX167)</f>
        <v>10.046511627906977</v>
      </c>
      <c r="CY169" s="100">
        <f>CU169/(CR169-CY167)</f>
        <v>10.536585365853657</v>
      </c>
      <c r="CZ169" s="100">
        <f>CU169/(CR169-CZ167)</f>
        <v>9.8181818181818166</v>
      </c>
      <c r="DA169" s="100">
        <f>CU169/(CR169-DA167)</f>
        <v>11.999999999999998</v>
      </c>
      <c r="DC169" s="208">
        <v>2</v>
      </c>
      <c r="DD169" s="32">
        <f>(CW169/CW180*100+CW184)*CR169</f>
        <v>14.313725490196079</v>
      </c>
      <c r="DE169" s="202">
        <f>(CX169/CX180*100+CX184)*CR169</f>
        <v>13.878787878787879</v>
      </c>
      <c r="DF169" s="202">
        <f>(CY169/CY180*100+CY184)*CR169</f>
        <v>15.595238095238095</v>
      </c>
      <c r="DG169" s="202">
        <f>(CZ169/CZ180*100+CZ184)*CR169</f>
        <v>16.805555555555557</v>
      </c>
      <c r="DH169" s="383">
        <f>(DA169/DA180*100+DA184)*CR169</f>
        <v>13.416666666666668</v>
      </c>
      <c r="DJ169" s="10"/>
      <c r="DK169" s="10"/>
      <c r="DL169" s="10"/>
      <c r="DM169" s="86" t="s">
        <v>39</v>
      </c>
      <c r="DN169" s="10"/>
      <c r="DO169" s="10"/>
      <c r="DP169" s="10"/>
      <c r="DQ169" s="10"/>
      <c r="DR169" s="96" t="s">
        <v>20</v>
      </c>
      <c r="DS169" s="97">
        <v>11</v>
      </c>
      <c r="DT169" s="465">
        <f>DT168</f>
        <v>1</v>
      </c>
      <c r="DV169" s="88">
        <v>2</v>
      </c>
      <c r="DW169" s="95">
        <v>8</v>
      </c>
      <c r="DX169" s="90"/>
      <c r="DY169" s="99">
        <f>DW169/(DT169-DY167)</f>
        <v>8.1666666666666661</v>
      </c>
      <c r="DZ169" s="100">
        <f>DW169/(DT169-DZ167)</f>
        <v>10.051282051282051</v>
      </c>
      <c r="EA169" s="100">
        <f>DW169/(DT169-EA167)</f>
        <v>10.594594594594595</v>
      </c>
      <c r="EB169" s="100">
        <f>DW169/(DT169-EB167)</f>
        <v>9.7999999999999989</v>
      </c>
      <c r="EC169" s="100">
        <f>DW169/(DT169-EC167)</f>
        <v>12.249999999999998</v>
      </c>
      <c r="EE169" s="208">
        <v>2</v>
      </c>
      <c r="EF169" s="32">
        <f>(DY169/DY180*100+DY184)*DT169</f>
        <v>16.208333333333332</v>
      </c>
      <c r="EG169" s="202">
        <f>(DZ169/DZ180*100+DZ184)*DT169</f>
        <v>15.793859649122806</v>
      </c>
      <c r="EH169" s="202">
        <f>(EA169/EA180*100+EA184)*DT169</f>
        <v>17.333333333333332</v>
      </c>
      <c r="EI169" s="202">
        <f>(EB169/EB180*100+EB184)*DT169</f>
        <v>18.280701754385966</v>
      </c>
      <c r="EJ169" s="383">
        <f>(EC169/EC180*100+EC184)*DT169</f>
        <v>18.458333333333336</v>
      </c>
    </row>
    <row r="170" spans="2:140" x14ac:dyDescent="0.2">
      <c r="B170" s="10"/>
      <c r="C170" s="102"/>
      <c r="D170" s="10"/>
      <c r="E170" s="86" t="s">
        <v>39</v>
      </c>
      <c r="F170" s="10"/>
      <c r="G170" s="10"/>
      <c r="H170" s="10"/>
      <c r="I170" s="10"/>
      <c r="J170" s="96" t="s">
        <v>8</v>
      </c>
      <c r="K170" s="97">
        <v>3</v>
      </c>
      <c r="L170" s="465">
        <f t="shared" ref="L170:L179" si="288">L169</f>
        <v>1</v>
      </c>
      <c r="N170" s="88">
        <v>3</v>
      </c>
      <c r="O170" s="95">
        <v>9</v>
      </c>
      <c r="P170" s="90"/>
      <c r="Q170" s="99">
        <f>O170/(L170-Q167)</f>
        <v>13.135135135135137</v>
      </c>
      <c r="R170" s="100">
        <f>O170/(L170-R167)</f>
        <v>9.1698113207547163</v>
      </c>
      <c r="S170" s="100">
        <f>O170/(L170-S167)</f>
        <v>9.5294117647058822</v>
      </c>
      <c r="T170" s="100">
        <f>O170/(L170-T167)</f>
        <v>16.758620689655174</v>
      </c>
      <c r="U170" s="100">
        <f>O170/(L170-U167)</f>
        <v>10.565217391304348</v>
      </c>
      <c r="W170" s="14">
        <v>3</v>
      </c>
      <c r="X170" s="32">
        <f>(Q170/Q180*100+Q185)*$L170</f>
        <v>12.194672131147541</v>
      </c>
      <c r="Y170" s="202">
        <f>(R170/R180*100+R185)*$L170</f>
        <v>12.021153846153844</v>
      </c>
      <c r="Z170" s="202">
        <f t="shared" ref="Z170" si="289">(S170/S180*100+S185)*$L170</f>
        <v>11.608766233766232</v>
      </c>
      <c r="AA170" s="202">
        <f t="shared" ref="AA170" si="290">(T170/T180*100+T185)*$L170</f>
        <v>11.797535211267606</v>
      </c>
      <c r="AB170" s="383">
        <f t="shared" ref="AB170" si="291">(U170/U180*100+U185)*$L170</f>
        <v>11.832142857142857</v>
      </c>
      <c r="AD170" s="10"/>
      <c r="AE170" s="102"/>
      <c r="AF170" s="10"/>
      <c r="AG170" s="86" t="s">
        <v>39</v>
      </c>
      <c r="AH170" s="10"/>
      <c r="AI170" s="10"/>
      <c r="AJ170" s="10"/>
      <c r="AK170" s="10"/>
      <c r="AL170" s="96" t="s">
        <v>8</v>
      </c>
      <c r="AM170" s="97">
        <v>7</v>
      </c>
      <c r="AN170" s="465">
        <f t="shared" ref="AN170:AN179" si="292">AN169</f>
        <v>1</v>
      </c>
      <c r="AP170" s="88">
        <v>3</v>
      </c>
      <c r="AQ170" s="95">
        <v>9</v>
      </c>
      <c r="AR170" s="90"/>
      <c r="AS170" s="99">
        <f>AQ170/(AN170-AS167)</f>
        <v>15.75</v>
      </c>
      <c r="AT170" s="100">
        <f>AQ170/(AN170-AT167)</f>
        <v>10.022727272727273</v>
      </c>
      <c r="AU170" s="100">
        <f>AQ170/(AN170-AU167)</f>
        <v>10.5</v>
      </c>
      <c r="AV170" s="100">
        <f>AQ170/(AN170-AV167)</f>
        <v>9.7999999999999989</v>
      </c>
      <c r="AW170" s="100">
        <f>AQ170/(AN170-AW167)</f>
        <v>11.918918918918919</v>
      </c>
      <c r="AY170" s="200">
        <v>3</v>
      </c>
      <c r="AZ170" s="32">
        <f>(AS170/AS180*100+AS185)*AN170</f>
        <v>17.790584415584416</v>
      </c>
      <c r="BA170" s="202">
        <f>(AT170/AT180*100+AT185)*AN170</f>
        <v>20.946428571428573</v>
      </c>
      <c r="BB170" s="202">
        <f>(AU170/AU180*100+AU185)*AN170</f>
        <v>18.904411764705884</v>
      </c>
      <c r="BC170" s="202">
        <f>(AV170/AV180*100+AV185)*AN170</f>
        <v>19.826612903225808</v>
      </c>
      <c r="BD170" s="383">
        <f>(AW170/AW180*100+AW185)*AN170</f>
        <v>19.997950819672131</v>
      </c>
      <c r="BF170" s="10"/>
      <c r="BG170" s="102"/>
      <c r="BH170" s="10"/>
      <c r="BI170" s="86" t="s">
        <v>39</v>
      </c>
      <c r="BJ170" s="10"/>
      <c r="BK170" s="10"/>
      <c r="BL170" s="10"/>
      <c r="BM170" s="10"/>
      <c r="BN170" s="96" t="s">
        <v>8</v>
      </c>
      <c r="BO170" s="97">
        <v>19</v>
      </c>
      <c r="BP170" s="465">
        <f t="shared" ref="BP170:BP179" si="293">BP169</f>
        <v>1</v>
      </c>
      <c r="BR170" s="88">
        <v>3</v>
      </c>
      <c r="BS170" s="95">
        <v>9</v>
      </c>
      <c r="BT170" s="90"/>
      <c r="BU170" s="99">
        <f>BS170/(BP170-BU167)</f>
        <v>9.9473684210526319</v>
      </c>
      <c r="BV170" s="100">
        <f>BS170/(BP170-BV167)</f>
        <v>11.283582089552239</v>
      </c>
      <c r="BW170" s="100">
        <f>BS170/(BP170-BW167)</f>
        <v>11.63076923076923</v>
      </c>
      <c r="BX170" s="100">
        <f>BS170/(BP170-BX167)</f>
        <v>11.117647058823529</v>
      </c>
      <c r="BY170" s="100">
        <f>BS170/(BP170-BY167)</f>
        <v>12.6</v>
      </c>
      <c r="CA170" s="208">
        <v>3</v>
      </c>
      <c r="CB170" s="32">
        <f>(BU170/BU180*100+BU185)*BP170</f>
        <v>15.975000000000003</v>
      </c>
      <c r="CC170" s="202">
        <f>(BV170/BV180*100+BV185)*BP170</f>
        <v>15.486111111111111</v>
      </c>
      <c r="CD170" s="202">
        <f>(BW170/BW180*100+BW185)*BP170</f>
        <v>17.42378048780488</v>
      </c>
      <c r="CE170" s="202">
        <f>(BX170/BX180*100+BX185)*BP170</f>
        <v>14.875</v>
      </c>
      <c r="CF170" s="383">
        <f>(BY170/BY180*100+BY185)*BP170</f>
        <v>14.968220338983052</v>
      </c>
      <c r="CH170" s="10"/>
      <c r="CI170" s="102"/>
      <c r="CJ170" s="10"/>
      <c r="CK170" s="86" t="s">
        <v>39</v>
      </c>
      <c r="CL170" s="10"/>
      <c r="CM170" s="10"/>
      <c r="CN170" s="10"/>
      <c r="CO170" s="10"/>
      <c r="CP170" s="96" t="s">
        <v>8</v>
      </c>
      <c r="CQ170" s="97">
        <v>13</v>
      </c>
      <c r="CR170" s="465">
        <f t="shared" ref="CR170:CR179" si="294">CR169</f>
        <v>1</v>
      </c>
      <c r="CT170" s="88">
        <v>3</v>
      </c>
      <c r="CU170" s="95">
        <v>9</v>
      </c>
      <c r="CV170" s="90"/>
      <c r="CW170" s="99">
        <f>CU170/(CR170-CW167)</f>
        <v>9.3461538461538449</v>
      </c>
      <c r="CX170" s="100">
        <f>CU170/(CR170-CX167)</f>
        <v>11.302325581395349</v>
      </c>
      <c r="CY170" s="100">
        <f>CU170/(CR170-CY167)</f>
        <v>11.853658536585366</v>
      </c>
      <c r="CZ170" s="100">
        <f>CU170/(CR170-CZ167)</f>
        <v>11.045454545454545</v>
      </c>
      <c r="DA170" s="100">
        <f>CU170/(CR170-DA167)</f>
        <v>13.499999999999998</v>
      </c>
      <c r="DC170" s="208">
        <v>3</v>
      </c>
      <c r="DD170" s="32">
        <f>(CW170/CW180*100+CW185)*CR170</f>
        <v>17.747549019607845</v>
      </c>
      <c r="DE170" s="202">
        <f>(CX170/CX180*100+CX185)*CR170</f>
        <v>17.138636363636362</v>
      </c>
      <c r="DF170" s="202">
        <f>(CY170/CY180*100+CY185)*CR170</f>
        <v>19.541666666666664</v>
      </c>
      <c r="DG170" s="202">
        <f>(CZ170/CZ180*100+CZ185)*CR170</f>
        <v>21.236111111111111</v>
      </c>
      <c r="DH170" s="383">
        <f>(DA170/DA180*100+DA185)*CR170</f>
        <v>16.491666666666667</v>
      </c>
      <c r="DJ170" s="10"/>
      <c r="DK170" s="102"/>
      <c r="DL170" s="10"/>
      <c r="DM170" s="86" t="s">
        <v>39</v>
      </c>
      <c r="DN170" s="10"/>
      <c r="DO170" s="10"/>
      <c r="DP170" s="10"/>
      <c r="DQ170" s="10"/>
      <c r="DR170" s="96" t="s">
        <v>8</v>
      </c>
      <c r="DS170" s="39">
        <v>12</v>
      </c>
      <c r="DT170" s="465">
        <f t="shared" ref="DT170:DT179" si="295">DT169</f>
        <v>1</v>
      </c>
      <c r="DV170" s="88">
        <v>3</v>
      </c>
      <c r="DW170" s="95">
        <v>9</v>
      </c>
      <c r="DX170" s="90"/>
      <c r="DY170" s="99">
        <f>DW170/(DT170-DY167)</f>
        <v>9.1875</v>
      </c>
      <c r="DZ170" s="100">
        <f>DW170/(DT170-DZ167)</f>
        <v>11.307692307692308</v>
      </c>
      <c r="EA170" s="100">
        <f>DW170/(DT170-EA167)</f>
        <v>11.918918918918919</v>
      </c>
      <c r="EB170" s="100">
        <f>DW170/(DT170-EB167)</f>
        <v>11.025</v>
      </c>
      <c r="EC170" s="100">
        <f>DW170/(DT170-EC167)</f>
        <v>13.781249999999998</v>
      </c>
      <c r="EE170" s="208">
        <v>3</v>
      </c>
      <c r="EF170" s="32">
        <f>(DY170/DY180*100+DY185)*DT170</f>
        <v>10.5</v>
      </c>
      <c r="EG170" s="202">
        <f>(DZ170/DZ180*100+DZ185)*DT170</f>
        <v>10.440789473684212</v>
      </c>
      <c r="EH170" s="202">
        <f>(EA170/EA180*100+EA185)*DT170</f>
        <v>10.660714285714285</v>
      </c>
      <c r="EI170" s="202">
        <f>(EB170/EB180*100+EB185)*DT170</f>
        <v>10.796052631578947</v>
      </c>
      <c r="EJ170" s="383">
        <f>(EC170/EC180*100+EC185)*DT170</f>
        <v>10.821428571428571</v>
      </c>
    </row>
    <row r="171" spans="2:140" x14ac:dyDescent="0.2">
      <c r="B171" s="10"/>
      <c r="C171" s="102"/>
      <c r="D171" s="10"/>
      <c r="E171" s="86" t="s">
        <v>39</v>
      </c>
      <c r="F171" s="10"/>
      <c r="G171" s="10"/>
      <c r="H171" s="10"/>
      <c r="I171" s="10"/>
      <c r="J171" s="96" t="s">
        <v>16</v>
      </c>
      <c r="K171" s="39">
        <v>4</v>
      </c>
      <c r="L171" s="465">
        <f t="shared" si="288"/>
        <v>1</v>
      </c>
      <c r="N171" s="88">
        <v>4</v>
      </c>
      <c r="O171" s="95">
        <v>9</v>
      </c>
      <c r="P171" s="90"/>
      <c r="Q171" s="99">
        <f>O171/(L171-Q167)</f>
        <v>13.135135135135137</v>
      </c>
      <c r="R171" s="100">
        <f>O171/(L171-R167)</f>
        <v>9.1698113207547163</v>
      </c>
      <c r="S171" s="100">
        <f>O171/(L171-S167)</f>
        <v>9.5294117647058822</v>
      </c>
      <c r="T171" s="104">
        <f>O171/(L171-T167)</f>
        <v>16.758620689655174</v>
      </c>
      <c r="U171" s="100">
        <f>O171/(L171-U167)</f>
        <v>10.565217391304348</v>
      </c>
      <c r="W171" s="14">
        <v>4</v>
      </c>
      <c r="X171" s="32">
        <f>(Q171/Q180*100+Q186)*$L171</f>
        <v>20.653688524590166</v>
      </c>
      <c r="Y171" s="202">
        <f>(R171/R180*100+R186)*$L171</f>
        <v>19.959615384615383</v>
      </c>
      <c r="Z171" s="202">
        <f t="shared" ref="Z171" si="296">(S171/S180*100+S186)*$L171</f>
        <v>18.310064935064933</v>
      </c>
      <c r="AA171" s="202">
        <f t="shared" ref="AA171" si="297">(T171/T180*100+T186)*$L171</f>
        <v>19.065140845070424</v>
      </c>
      <c r="AB171" s="383">
        <f t="shared" ref="AB171" si="298">(U171/U180*100+U186)*$L171</f>
        <v>19.203571428571429</v>
      </c>
      <c r="AD171" s="10"/>
      <c r="AE171" s="102"/>
      <c r="AF171" s="10"/>
      <c r="AG171" s="86" t="s">
        <v>39</v>
      </c>
      <c r="AH171" s="10"/>
      <c r="AI171" s="10"/>
      <c r="AJ171" s="10"/>
      <c r="AK171" s="10"/>
      <c r="AL171" s="96" t="s">
        <v>16</v>
      </c>
      <c r="AM171" s="39">
        <v>8</v>
      </c>
      <c r="AN171" s="465">
        <f t="shared" si="292"/>
        <v>1</v>
      </c>
      <c r="AP171" s="88">
        <v>4</v>
      </c>
      <c r="AQ171" s="95">
        <v>9</v>
      </c>
      <c r="AR171" s="90"/>
      <c r="AS171" s="99">
        <f>AQ171/(AN171-AS167)</f>
        <v>15.75</v>
      </c>
      <c r="AT171" s="100">
        <f>AQ171/(AN171-AT167)</f>
        <v>10.022727272727273</v>
      </c>
      <c r="AU171" s="100">
        <f>AQ171/(AN171-AU167)</f>
        <v>10.5</v>
      </c>
      <c r="AV171" s="104">
        <f>AQ171/(AN171-AV167)</f>
        <v>9.7999999999999989</v>
      </c>
      <c r="AW171" s="100">
        <f>AQ171/(AN171-AW167)</f>
        <v>11.918918918918919</v>
      </c>
      <c r="AY171" s="200">
        <v>4</v>
      </c>
      <c r="AZ171" s="32">
        <f>(AS171/AS180*100+AS186)*AN171</f>
        <v>14.634740259740258</v>
      </c>
      <c r="BA171" s="202">
        <f>(AT171/AT180*100+AT186)*AN171</f>
        <v>16.607142857142858</v>
      </c>
      <c r="BB171" s="202">
        <f>(AU171/AU180*100+AU186)*AN171</f>
        <v>15.330882352941178</v>
      </c>
      <c r="BC171" s="202">
        <f>(AV171/AV180*100+AV186)*AN171</f>
        <v>15.907258064516128</v>
      </c>
      <c r="BD171" s="383">
        <f>(AW171/AW180*100+AW186)*AN171</f>
        <v>16.014344262295083</v>
      </c>
      <c r="BF171" s="10"/>
      <c r="BG171" s="102"/>
      <c r="BH171" s="10"/>
      <c r="BI171" s="86" t="s">
        <v>39</v>
      </c>
      <c r="BJ171" s="10"/>
      <c r="BK171" s="10"/>
      <c r="BL171" s="10"/>
      <c r="BM171" s="10"/>
      <c r="BN171" s="96" t="s">
        <v>16</v>
      </c>
      <c r="BO171" s="39">
        <v>20</v>
      </c>
      <c r="BP171" s="465">
        <f t="shared" si="293"/>
        <v>1</v>
      </c>
      <c r="BR171" s="88">
        <v>4</v>
      </c>
      <c r="BS171" s="95">
        <v>9</v>
      </c>
      <c r="BT171" s="90"/>
      <c r="BU171" s="99">
        <f>BS171/(BP171-BU167)</f>
        <v>9.9473684210526319</v>
      </c>
      <c r="BV171" s="100">
        <f>BS171/(BP171-BV167)</f>
        <v>11.283582089552239</v>
      </c>
      <c r="BW171" s="100">
        <f>BS171/(BP171-BW167)</f>
        <v>11.63076923076923</v>
      </c>
      <c r="BX171" s="104">
        <f>BS171/(BP171-BX167)</f>
        <v>11.117647058823529</v>
      </c>
      <c r="BY171" s="100">
        <f>BS171/(BP171-BY167)</f>
        <v>12.6</v>
      </c>
      <c r="CA171" s="208">
        <v>4</v>
      </c>
      <c r="CB171" s="32">
        <f>(BU171/BU180*100+BU186)*BP171</f>
        <v>18.615000000000002</v>
      </c>
      <c r="CC171" s="202">
        <f>(BV171/BV180*100+BV186)*BP171</f>
        <v>17.930555555555557</v>
      </c>
      <c r="CD171" s="202">
        <f>(BW171/BW180*100+BW186)*BP171</f>
        <v>20.64329268292683</v>
      </c>
      <c r="CE171" s="202">
        <f>(BX171/BX180*100+BX186)*BP171</f>
        <v>17.074999999999999</v>
      </c>
      <c r="CF171" s="383">
        <f>(BY171/BY180*100+BY186)*BP171</f>
        <v>17.20550847457627</v>
      </c>
      <c r="CH171" s="10"/>
      <c r="CI171" s="102"/>
      <c r="CJ171" s="10"/>
      <c r="CK171" s="86" t="s">
        <v>39</v>
      </c>
      <c r="CL171" s="10"/>
      <c r="CM171" s="10"/>
      <c r="CN171" s="10"/>
      <c r="CO171" s="10"/>
      <c r="CP171" s="96" t="s">
        <v>16</v>
      </c>
      <c r="CQ171" s="39">
        <v>14</v>
      </c>
      <c r="CR171" s="465">
        <f t="shared" si="294"/>
        <v>1</v>
      </c>
      <c r="CT171" s="88">
        <v>4</v>
      </c>
      <c r="CU171" s="95">
        <v>9</v>
      </c>
      <c r="CV171" s="90"/>
      <c r="CW171" s="99">
        <f>CU171/(CR171-CW167)</f>
        <v>9.3461538461538449</v>
      </c>
      <c r="CX171" s="100">
        <f>CU171/(CR171-CX167)</f>
        <v>11.302325581395349</v>
      </c>
      <c r="CY171" s="100">
        <f>CU171/(CR171-CY167)</f>
        <v>11.853658536585366</v>
      </c>
      <c r="CZ171" s="104">
        <f>CU171/(CR171-CZ167)</f>
        <v>11.045454545454545</v>
      </c>
      <c r="DA171" s="100">
        <f>CU171/(CR171-DA167)</f>
        <v>13.499999999999998</v>
      </c>
      <c r="DC171" s="208">
        <v>4</v>
      </c>
      <c r="DD171" s="32">
        <f>(CW171/CW180*100+CW186)*CR171</f>
        <v>10.57107843137255</v>
      </c>
      <c r="DE171" s="202">
        <f>(CX171/CX180*100+CX186)*CR171</f>
        <v>10.484090909090908</v>
      </c>
      <c r="DF171" s="202">
        <f>(CY171/CY180*100+CY186)*CR171</f>
        <v>10.827380952380953</v>
      </c>
      <c r="DG171" s="202">
        <f>(CZ171/CZ180*100+CZ186)*CR171</f>
        <v>11.069444444444445</v>
      </c>
      <c r="DH171" s="383">
        <f>(DA171/DA180*100+DA186)*CR171</f>
        <v>10.391666666666666</v>
      </c>
      <c r="DJ171" s="10"/>
      <c r="DK171" s="102"/>
      <c r="DL171" s="10"/>
      <c r="DM171" s="86" t="s">
        <v>39</v>
      </c>
      <c r="DN171" s="10"/>
      <c r="DO171" s="10"/>
      <c r="DP171" s="10"/>
      <c r="DQ171" s="10"/>
      <c r="DR171" s="96" t="s">
        <v>16</v>
      </c>
      <c r="DS171" s="97">
        <v>13</v>
      </c>
      <c r="DT171" s="465">
        <f t="shared" si="295"/>
        <v>1</v>
      </c>
      <c r="DV171" s="88">
        <v>4</v>
      </c>
      <c r="DW171" s="95">
        <v>9</v>
      </c>
      <c r="DX171" s="90"/>
      <c r="DY171" s="99">
        <f>DW171/(DT171-DY167)</f>
        <v>9.1875</v>
      </c>
      <c r="DZ171" s="100">
        <f>DW171/(DT171-DZ167)</f>
        <v>11.307692307692308</v>
      </c>
      <c r="EA171" s="100">
        <f>DW171/(DT171-EA167)</f>
        <v>11.918918918918919</v>
      </c>
      <c r="EB171" s="104">
        <f>DW171/(DT171-EB167)</f>
        <v>11.025</v>
      </c>
      <c r="EC171" s="100">
        <f>DW171/(DT171-EC167)</f>
        <v>13.781249999999998</v>
      </c>
      <c r="EE171" s="208">
        <v>4</v>
      </c>
      <c r="EF171" s="32">
        <f>(DY171/DY180*100+DY186)*DT171</f>
        <v>13.875</v>
      </c>
      <c r="EG171" s="202">
        <f>(DZ171/DZ180*100+DZ186)*DT171</f>
        <v>13.638157894736844</v>
      </c>
      <c r="EH171" s="202">
        <f>(EA171/EA180*100+EA186)*DT171</f>
        <v>14.517857142857142</v>
      </c>
      <c r="EI171" s="202">
        <f>(EB171/EB180*100+EB186)*DT171</f>
        <v>15.059210526315789</v>
      </c>
      <c r="EJ171" s="383">
        <f>(EC171/EC180*100+EC186)*DT171</f>
        <v>15.160714285714286</v>
      </c>
    </row>
    <row r="172" spans="2:140" x14ac:dyDescent="0.2">
      <c r="B172" s="10"/>
      <c r="C172" s="102"/>
      <c r="D172" s="10"/>
      <c r="E172" s="86" t="s">
        <v>39</v>
      </c>
      <c r="F172" s="10"/>
      <c r="G172" s="10"/>
      <c r="H172" s="10"/>
      <c r="I172" s="10"/>
      <c r="J172" s="96" t="s">
        <v>3</v>
      </c>
      <c r="K172" s="97">
        <v>5</v>
      </c>
      <c r="L172" s="465">
        <f t="shared" si="288"/>
        <v>1</v>
      </c>
      <c r="N172" s="88">
        <v>5</v>
      </c>
      <c r="O172" s="95">
        <v>8</v>
      </c>
      <c r="P172" s="90"/>
      <c r="Q172" s="99">
        <f>O172/(L172-Q167)</f>
        <v>11.675675675675677</v>
      </c>
      <c r="R172" s="100">
        <f>O172/(L172-R167)</f>
        <v>8.1509433962264151</v>
      </c>
      <c r="S172" s="100">
        <f>O172/(L172-S167)</f>
        <v>8.4705882352941178</v>
      </c>
      <c r="T172" s="100">
        <f>O172/(L172-T167)</f>
        <v>14.896551724137932</v>
      </c>
      <c r="U172" s="100">
        <f>O172/(L172-U167)</f>
        <v>9.391304347826086</v>
      </c>
      <c r="W172" s="14">
        <v>5</v>
      </c>
      <c r="X172" s="32">
        <f>(Q172/Q180*100+Q187)*$L172</f>
        <v>15.382513661202186</v>
      </c>
      <c r="Y172" s="202">
        <f>(R172/R180*100+R187)*$L172</f>
        <v>14.948717948717947</v>
      </c>
      <c r="Z172" s="202">
        <f t="shared" ref="Z172" si="299">(S172/S180*100+S187)*$L172</f>
        <v>13.917748917748916</v>
      </c>
      <c r="AA172" s="202">
        <f t="shared" ref="AA172" si="300">(T172/T180*100+T187)*$L172</f>
        <v>14.389671361502346</v>
      </c>
      <c r="AB172" s="383">
        <f t="shared" ref="AB172" si="301">(U172/U180*100+U187)*$L172</f>
        <v>14.476190476190474</v>
      </c>
      <c r="AD172" s="10"/>
      <c r="AE172" s="102"/>
      <c r="AF172" s="10"/>
      <c r="AG172" s="86" t="s">
        <v>39</v>
      </c>
      <c r="AH172" s="10"/>
      <c r="AI172" s="10"/>
      <c r="AJ172" s="10"/>
      <c r="AK172" s="10"/>
      <c r="AL172" s="96" t="s">
        <v>3</v>
      </c>
      <c r="AM172" s="97">
        <v>9</v>
      </c>
      <c r="AN172" s="465">
        <f t="shared" si="292"/>
        <v>1</v>
      </c>
      <c r="AP172" s="88">
        <v>5</v>
      </c>
      <c r="AQ172" s="95">
        <v>8</v>
      </c>
      <c r="AR172" s="90"/>
      <c r="AS172" s="99">
        <f>AQ172/(AN172-AS167)</f>
        <v>14</v>
      </c>
      <c r="AT172" s="100">
        <f>AQ172/(AN172-AT167)</f>
        <v>8.9090909090909083</v>
      </c>
      <c r="AU172" s="100">
        <f>AQ172/(AN172-AU167)</f>
        <v>9.3333333333333321</v>
      </c>
      <c r="AV172" s="100">
        <f>AQ172/(AN172-AV167)</f>
        <v>8.7111111111111104</v>
      </c>
      <c r="AW172" s="100">
        <f>AQ172/(AN172-AW167)</f>
        <v>10.594594594594595</v>
      </c>
      <c r="AY172" s="200">
        <v>5</v>
      </c>
      <c r="AZ172" s="32">
        <f>(AS172/AS180*100+AS187)*AN172</f>
        <v>15.696969696969695</v>
      </c>
      <c r="BA172" s="202">
        <f>(AT172/AT180*100+AT187)*AN172</f>
        <v>18.458333333333332</v>
      </c>
      <c r="BB172" s="202">
        <f>(AU172/AU180*100+AU187)*AN172</f>
        <v>16.671568627450981</v>
      </c>
      <c r="BC172" s="202">
        <f>(AV172/AV180*100+AV187)*AN172</f>
        <v>17.478494623655912</v>
      </c>
      <c r="BD172" s="383">
        <f>(AW172/AW180*100+AW187)*AN172</f>
        <v>17.628415300546447</v>
      </c>
      <c r="BF172" s="10"/>
      <c r="BG172" s="102"/>
      <c r="BH172" s="10"/>
      <c r="BI172" s="86" t="s">
        <v>39</v>
      </c>
      <c r="BJ172" s="10"/>
      <c r="BK172" s="10"/>
      <c r="BL172" s="10"/>
      <c r="BM172" s="10"/>
      <c r="BN172" s="96" t="s">
        <v>3</v>
      </c>
      <c r="BO172" s="97">
        <v>21</v>
      </c>
      <c r="BP172" s="465">
        <f t="shared" si="293"/>
        <v>1</v>
      </c>
      <c r="BR172" s="88">
        <v>5</v>
      </c>
      <c r="BS172" s="95">
        <v>8</v>
      </c>
      <c r="BT172" s="90"/>
      <c r="BU172" s="99">
        <f>BS172/(BP172-BU167)</f>
        <v>8.8421052631578938</v>
      </c>
      <c r="BV172" s="100">
        <f>BS172/(BP172-BV167)</f>
        <v>10.029850746268655</v>
      </c>
      <c r="BW172" s="100">
        <f>BS172/(BP172-BW167)</f>
        <v>10.338461538461537</v>
      </c>
      <c r="BX172" s="100">
        <f>BS172/(BP172-BX167)</f>
        <v>9.882352941176471</v>
      </c>
      <c r="BY172" s="100">
        <f>BS172/(BP172-BY167)</f>
        <v>11.2</v>
      </c>
      <c r="CA172" s="208">
        <v>5</v>
      </c>
      <c r="CB172" s="32">
        <f>(BU172/BU180*100+BU187)*BP172</f>
        <v>9.6533333333333342</v>
      </c>
      <c r="CC172" s="202">
        <f>(BV172/BV180*100+BV187)*BP172</f>
        <v>9.5555555555555536</v>
      </c>
      <c r="CD172" s="202">
        <f>(BW172/BW180*100+BW187)*BP172</f>
        <v>9.9430894308943092</v>
      </c>
      <c r="CE172" s="202">
        <f>(BX172/BX180*100+BX187)*BP172</f>
        <v>9.4333333333333336</v>
      </c>
      <c r="CF172" s="383">
        <f>(BY172/BY180*100+BY187)*BP172</f>
        <v>9.4519774011299429</v>
      </c>
      <c r="CH172" s="10"/>
      <c r="CI172" s="102"/>
      <c r="CJ172" s="10"/>
      <c r="CK172" s="86" t="s">
        <v>39</v>
      </c>
      <c r="CL172" s="10"/>
      <c r="CM172" s="10"/>
      <c r="CN172" s="10"/>
      <c r="CO172" s="10"/>
      <c r="CP172" s="96" t="s">
        <v>3</v>
      </c>
      <c r="CQ172" s="97">
        <v>15</v>
      </c>
      <c r="CR172" s="465">
        <f t="shared" si="294"/>
        <v>1</v>
      </c>
      <c r="CT172" s="88">
        <v>5</v>
      </c>
      <c r="CU172" s="95">
        <v>8</v>
      </c>
      <c r="CV172" s="90"/>
      <c r="CW172" s="99">
        <f>CU172/(CR172-CW167)</f>
        <v>8.3076923076923066</v>
      </c>
      <c r="CX172" s="100">
        <f>CU172/(CR172-CX167)</f>
        <v>10.046511627906977</v>
      </c>
      <c r="CY172" s="100">
        <f>CU172/(CR172-CY167)</f>
        <v>10.536585365853657</v>
      </c>
      <c r="CZ172" s="100">
        <f>CU172/(CR172-CZ167)</f>
        <v>9.8181818181818166</v>
      </c>
      <c r="DA172" s="100">
        <f>CU172/(CR172-DA167)</f>
        <v>11.999999999999998</v>
      </c>
      <c r="DC172" s="208">
        <v>5</v>
      </c>
      <c r="DD172" s="32">
        <f>(CW172/CW180*100+CW187)*CR172</f>
        <v>13.117647058823529</v>
      </c>
      <c r="DE172" s="202">
        <f>(CX172/CX180*100+CX187)*CR172</f>
        <v>12.76969696969697</v>
      </c>
      <c r="DF172" s="202">
        <f>(CY172/CY180*100+CY187)*CR172</f>
        <v>14.142857142857142</v>
      </c>
      <c r="DG172" s="202">
        <f>(CZ172/CZ180*100+CZ187)*CR172</f>
        <v>15.111111111111111</v>
      </c>
      <c r="DH172" s="383">
        <f>(DA172/DA180*100+DA187)*CR172</f>
        <v>12.4</v>
      </c>
      <c r="DJ172" s="10"/>
      <c r="DK172" s="102"/>
      <c r="DL172" s="10"/>
      <c r="DM172" s="86" t="s">
        <v>39</v>
      </c>
      <c r="DN172" s="10"/>
      <c r="DO172" s="10"/>
      <c r="DP172" s="10"/>
      <c r="DQ172" s="10"/>
      <c r="DR172" s="96" t="s">
        <v>3</v>
      </c>
      <c r="DS172" s="39">
        <v>14</v>
      </c>
      <c r="DT172" s="465">
        <f t="shared" si="295"/>
        <v>1</v>
      </c>
      <c r="DV172" s="88">
        <v>5</v>
      </c>
      <c r="DW172" s="95">
        <v>8</v>
      </c>
      <c r="DX172" s="90"/>
      <c r="DY172" s="99">
        <f>DW172/(DT172-DY167)</f>
        <v>8.1666666666666661</v>
      </c>
      <c r="DZ172" s="100">
        <f>DW172/(DT172-DZ167)</f>
        <v>10.051282051282051</v>
      </c>
      <c r="EA172" s="100">
        <f>DW172/(DT172-EA167)</f>
        <v>10.594594594594595</v>
      </c>
      <c r="EB172" s="100">
        <f>DW172/(DT172-EB167)</f>
        <v>9.7999999999999989</v>
      </c>
      <c r="EC172" s="100">
        <f>DW172/(DT172-EC167)</f>
        <v>12.249999999999998</v>
      </c>
      <c r="EE172" s="208">
        <v>5</v>
      </c>
      <c r="EF172" s="32">
        <f>(DY172/DY180*100+DY187)*DT172</f>
        <v>10.583333333333332</v>
      </c>
      <c r="EG172" s="202">
        <f>(DZ172/DZ180*100+DZ187)*DT172</f>
        <v>10.464912280701753</v>
      </c>
      <c r="EH172" s="202">
        <f>(EA172/EA180*100+EA187)*DT172</f>
        <v>10.904761904761903</v>
      </c>
      <c r="EI172" s="202">
        <f>(EB172/EB180*100+EB187)*DT172</f>
        <v>11.175438596491226</v>
      </c>
      <c r="EJ172" s="383">
        <f>(EC172/EC180*100+EC187)*DT172</f>
        <v>11.226190476190478</v>
      </c>
    </row>
    <row r="173" spans="2:140" x14ac:dyDescent="0.2">
      <c r="B173" s="10"/>
      <c r="C173" s="102"/>
      <c r="D173" s="10"/>
      <c r="E173" s="86" t="s">
        <v>39</v>
      </c>
      <c r="F173" s="10"/>
      <c r="G173" s="10"/>
      <c r="H173" s="10"/>
      <c r="I173" s="10"/>
      <c r="J173" s="96" t="s">
        <v>6</v>
      </c>
      <c r="K173" s="39">
        <v>6</v>
      </c>
      <c r="L173" s="465">
        <f t="shared" si="288"/>
        <v>1</v>
      </c>
      <c r="N173" s="88">
        <v>6</v>
      </c>
      <c r="O173" s="95">
        <v>7</v>
      </c>
      <c r="P173" s="90"/>
      <c r="Q173" s="99">
        <f>O173/(L173-Q167)</f>
        <v>10.216216216216218</v>
      </c>
      <c r="R173" s="100">
        <f>O173/(L173-R167)</f>
        <v>7.132075471698113</v>
      </c>
      <c r="S173" s="100">
        <f>O173/(L173-S167)</f>
        <v>7.4117647058823533</v>
      </c>
      <c r="T173" s="100">
        <f>O173/(L173-T167)</f>
        <v>13.03448275862069</v>
      </c>
      <c r="U173" s="100">
        <f>O173/(L173-U167)</f>
        <v>8.2173913043478262</v>
      </c>
      <c r="W173" s="14">
        <v>6</v>
      </c>
      <c r="X173" s="32">
        <f>(Q173/Q180*100+Q188)*$L173</f>
        <v>17.160519125683063</v>
      </c>
      <c r="Y173" s="202">
        <f>(R173/R180*100+R188)*$L173</f>
        <v>16.553205128205128</v>
      </c>
      <c r="Z173" s="202">
        <f t="shared" ref="Z173" si="302">(S173/S180*100+S188)*$L173</f>
        <v>15.109848484848484</v>
      </c>
      <c r="AA173" s="202">
        <f t="shared" ref="AA173" si="303">(T173/T180*100+T188)*$L173</f>
        <v>15.770539906103286</v>
      </c>
      <c r="AB173" s="383">
        <f t="shared" ref="AB173" si="304">(U173/U180*100+U188)*$L173</f>
        <v>15.891666666666666</v>
      </c>
      <c r="AD173" s="10"/>
      <c r="AE173" s="102"/>
      <c r="AF173" s="10"/>
      <c r="AG173" s="86" t="s">
        <v>39</v>
      </c>
      <c r="AH173" s="10"/>
      <c r="AI173" s="10"/>
      <c r="AJ173" s="10"/>
      <c r="AK173" s="10"/>
      <c r="AL173" s="96" t="s">
        <v>6</v>
      </c>
      <c r="AM173" s="39">
        <v>10</v>
      </c>
      <c r="AN173" s="465">
        <f t="shared" si="292"/>
        <v>1</v>
      </c>
      <c r="AP173" s="88">
        <v>6</v>
      </c>
      <c r="AQ173" s="95">
        <v>7</v>
      </c>
      <c r="AR173" s="90"/>
      <c r="AS173" s="99">
        <f>AQ173/(AN173-AS167)</f>
        <v>12.25</v>
      </c>
      <c r="AT173" s="100">
        <f>AQ173/(AN173-AT167)</f>
        <v>7.7954545454545459</v>
      </c>
      <c r="AU173" s="100">
        <f>AQ173/(AN173-AU167)</f>
        <v>8.1666666666666661</v>
      </c>
      <c r="AV173" s="100">
        <f>AQ173/(AN173-AV167)</f>
        <v>7.6222222222222218</v>
      </c>
      <c r="AW173" s="100">
        <f>AQ173/(AN173-AW167)</f>
        <v>9.2702702702702702</v>
      </c>
      <c r="AY173" s="200">
        <v>6</v>
      </c>
      <c r="AZ173" s="32">
        <f>(AS173/AS180*100+AS188)*AN173</f>
        <v>8.3436147186147185</v>
      </c>
      <c r="BA173" s="202">
        <f>(AT173/AT180*100+AT188)*AN173</f>
        <v>8.7380952380952372</v>
      </c>
      <c r="BB173" s="202">
        <f>(AU173/AU180*100+AU188)*AN173</f>
        <v>8.4828431372549016</v>
      </c>
      <c r="BC173" s="202">
        <f>(AV173/AV180*100+AV188)*AN173</f>
        <v>8.5981182795698921</v>
      </c>
      <c r="BD173" s="383">
        <f>(AW173/AW180*100+AW188)*AN173</f>
        <v>8.6195355191256819</v>
      </c>
      <c r="BF173" s="10"/>
      <c r="BG173" s="102"/>
      <c r="BH173" s="10"/>
      <c r="BI173" s="86" t="s">
        <v>39</v>
      </c>
      <c r="BJ173" s="10"/>
      <c r="BK173" s="10"/>
      <c r="BL173" s="10"/>
      <c r="BM173" s="10"/>
      <c r="BN173" s="96" t="s">
        <v>6</v>
      </c>
      <c r="BO173" s="39">
        <v>22</v>
      </c>
      <c r="BP173" s="465">
        <f t="shared" si="293"/>
        <v>1</v>
      </c>
      <c r="BR173" s="88">
        <v>6</v>
      </c>
      <c r="BS173" s="95">
        <v>7</v>
      </c>
      <c r="BT173" s="90"/>
      <c r="BU173" s="99">
        <f>BS173/(BP173-BU167)</f>
        <v>7.7368421052631575</v>
      </c>
      <c r="BV173" s="100">
        <f>BS173/(BP173-BV167)</f>
        <v>8.7761194029850742</v>
      </c>
      <c r="BW173" s="100">
        <f>BS173/(BP173-BW167)</f>
        <v>9.046153846153846</v>
      </c>
      <c r="BX173" s="100">
        <f>BS173/(BP173-BX167)</f>
        <v>8.6470588235294112</v>
      </c>
      <c r="BY173" s="100">
        <f>BS173/(BP173-BY167)</f>
        <v>9.7999999999999989</v>
      </c>
      <c r="CA173" s="208">
        <v>6</v>
      </c>
      <c r="CB173" s="32">
        <f>(BU173/BU180*100+BU188)*BP173</f>
        <v>12.571666666666669</v>
      </c>
      <c r="CC173" s="202">
        <f>(BV173/BV180*100+BV188)*BP173</f>
        <v>12.180555555555557</v>
      </c>
      <c r="CD173" s="202">
        <f>(BW173/BW180*100+BW188)*BP173</f>
        <v>13.730691056910572</v>
      </c>
      <c r="CE173" s="202">
        <f>(BX173/BX180*100+BX188)*BP173</f>
        <v>11.691666666666666</v>
      </c>
      <c r="CF173" s="383">
        <f>(BY173/BY180*100+BY188)*BP173</f>
        <v>11.766242937853107</v>
      </c>
      <c r="CH173" s="10"/>
      <c r="CI173" s="102"/>
      <c r="CJ173" s="10"/>
      <c r="CK173" s="86" t="s">
        <v>39</v>
      </c>
      <c r="CL173" s="10"/>
      <c r="CM173" s="10"/>
      <c r="CN173" s="10"/>
      <c r="CO173" s="10"/>
      <c r="CP173" s="96" t="s">
        <v>6</v>
      </c>
      <c r="CQ173" s="39">
        <v>16</v>
      </c>
      <c r="CR173" s="465">
        <f t="shared" si="294"/>
        <v>1</v>
      </c>
      <c r="CT173" s="88">
        <v>6</v>
      </c>
      <c r="CU173" s="95">
        <v>7</v>
      </c>
      <c r="CV173" s="90"/>
      <c r="CW173" s="99">
        <f>CU173/(CR173-CW167)</f>
        <v>7.2692307692307692</v>
      </c>
      <c r="CX173" s="100">
        <f>CU173/(CR173-CX167)</f>
        <v>8.7906976744186043</v>
      </c>
      <c r="CY173" s="100">
        <f>CU173/(CR173-CY167)</f>
        <v>9.2195121951219505</v>
      </c>
      <c r="CZ173" s="100">
        <f>CU173/(CR173-CZ167)</f>
        <v>8.5909090909090899</v>
      </c>
      <c r="DA173" s="100">
        <f>CU173/(CR173-DA167)</f>
        <v>10.499999999999998</v>
      </c>
      <c r="DC173" s="208">
        <v>6</v>
      </c>
      <c r="DD173" s="32">
        <f>(CW173/CW180*100+CW188)*CR173</f>
        <v>9.6838235294117663</v>
      </c>
      <c r="DE173" s="202">
        <f>(CX173/CX180*100+CX188)*CR173</f>
        <v>9.5098484848484848</v>
      </c>
      <c r="DF173" s="202">
        <f>(CY173/CY180*100+CY188)*CR173</f>
        <v>10.196428571428571</v>
      </c>
      <c r="DG173" s="202">
        <f>(CZ173/CZ180*100+CZ188)*CR173</f>
        <v>10.680555555555555</v>
      </c>
      <c r="DH173" s="383">
        <f>(DA173/DA180*100+DA188)*CR173</f>
        <v>9.3249999999999993</v>
      </c>
      <c r="DJ173" s="10"/>
      <c r="DK173" s="102"/>
      <c r="DL173" s="10"/>
      <c r="DM173" s="86" t="s">
        <v>39</v>
      </c>
      <c r="DN173" s="10"/>
      <c r="DO173" s="10"/>
      <c r="DP173" s="10"/>
      <c r="DQ173" s="10"/>
      <c r="DR173" s="96" t="s">
        <v>6</v>
      </c>
      <c r="DS173" s="97">
        <v>15</v>
      </c>
      <c r="DT173" s="465">
        <f t="shared" si="295"/>
        <v>1</v>
      </c>
      <c r="DV173" s="88">
        <v>6</v>
      </c>
      <c r="DW173" s="95">
        <v>7</v>
      </c>
      <c r="DX173" s="90"/>
      <c r="DY173" s="99">
        <f>DW173/(DT173-DY167)</f>
        <v>7.1458333333333339</v>
      </c>
      <c r="DZ173" s="100">
        <f>DW173/(DT173-DZ167)</f>
        <v>8.7948717948717956</v>
      </c>
      <c r="EA173" s="100">
        <f>DW173/(DT173-EA167)</f>
        <v>9.2702702702702702</v>
      </c>
      <c r="EB173" s="100">
        <f>DW173/(DT173-EB167)</f>
        <v>8.5749999999999993</v>
      </c>
      <c r="EC173" s="100">
        <f>DW173/(DT173-EC167)</f>
        <v>10.718749999999998</v>
      </c>
      <c r="EE173" s="208">
        <v>6</v>
      </c>
      <c r="EF173" s="32">
        <f>(DY173/DY180*100+DY188)*DT173</f>
        <v>16.291666666666668</v>
      </c>
      <c r="EG173" s="202">
        <f>(DZ173/DZ180*100+DZ188)*DT173</f>
        <v>15.817982456140353</v>
      </c>
      <c r="EH173" s="202">
        <f>(EA173/EA180*100+EA188)*DT173</f>
        <v>17.577380952380949</v>
      </c>
      <c r="EI173" s="202">
        <f>(EB173/EB180*100+EB188)*DT173</f>
        <v>18.660087719298247</v>
      </c>
      <c r="EJ173" s="383">
        <f>(EC173/EC180*100+EC188)*DT173</f>
        <v>18.863095238095241</v>
      </c>
    </row>
    <row r="174" spans="2:140" x14ac:dyDescent="0.2">
      <c r="B174" s="10"/>
      <c r="C174" s="102"/>
      <c r="D174" s="10"/>
      <c r="E174" s="86" t="s">
        <v>39</v>
      </c>
      <c r="F174" s="10"/>
      <c r="G174" s="10"/>
      <c r="H174" s="10"/>
      <c r="I174" s="10"/>
      <c r="J174" s="96" t="s">
        <v>17</v>
      </c>
      <c r="K174" s="97">
        <v>7</v>
      </c>
      <c r="L174" s="465">
        <f t="shared" si="288"/>
        <v>1</v>
      </c>
      <c r="N174" s="88">
        <v>7</v>
      </c>
      <c r="O174" s="95">
        <v>7</v>
      </c>
      <c r="P174" s="90"/>
      <c r="Q174" s="99">
        <f>O174/(L174-Q167)</f>
        <v>10.216216216216218</v>
      </c>
      <c r="R174" s="100">
        <f>O174/(L174-R167)</f>
        <v>7.132075471698113</v>
      </c>
      <c r="S174" s="100">
        <f>O174/(L174-S167)</f>
        <v>7.4117647058823533</v>
      </c>
      <c r="T174" s="100">
        <f>O174/(L174-T167)</f>
        <v>13.03448275862069</v>
      </c>
      <c r="U174" s="100">
        <f>O174/(L174-U167)</f>
        <v>8.2173913043478262</v>
      </c>
      <c r="W174" s="14">
        <v>7</v>
      </c>
      <c r="X174" s="32">
        <f>(Q174/Q180*100+Q189)*$L174</f>
        <v>8.7015027322404386</v>
      </c>
      <c r="Y174" s="202">
        <f>(R174/R180*100+R189)*$L174</f>
        <v>8.6147435897435898</v>
      </c>
      <c r="Z174" s="202">
        <f t="shared" ref="Z174" si="305">(S174/S180*100+S189)*$L174</f>
        <v>8.4085497835497822</v>
      </c>
      <c r="AA174" s="202">
        <f t="shared" ref="AA174" si="306">(T174/T180*100+T189)*$L174</f>
        <v>8.5029342723004682</v>
      </c>
      <c r="AB174" s="383">
        <f t="shared" ref="AB174" si="307">(U174/U180*100+U189)*$L174</f>
        <v>8.5202380952380956</v>
      </c>
      <c r="AD174" s="10"/>
      <c r="AE174" s="102"/>
      <c r="AF174" s="10"/>
      <c r="AG174" s="86" t="s">
        <v>39</v>
      </c>
      <c r="AH174" s="10"/>
      <c r="AI174" s="10"/>
      <c r="AJ174" s="10"/>
      <c r="AK174" s="10"/>
      <c r="AL174" s="96" t="s">
        <v>17</v>
      </c>
      <c r="AM174" s="97">
        <v>11</v>
      </c>
      <c r="AN174" s="465">
        <f t="shared" si="292"/>
        <v>1</v>
      </c>
      <c r="AP174" s="88">
        <v>7</v>
      </c>
      <c r="AQ174" s="95">
        <v>7</v>
      </c>
      <c r="AR174" s="90"/>
      <c r="AS174" s="99">
        <f>AQ174/(AN174-AS167)</f>
        <v>12.25</v>
      </c>
      <c r="AT174" s="100">
        <f>AQ174/(AN174-AT167)</f>
        <v>7.7954545454545459</v>
      </c>
      <c r="AU174" s="100">
        <f>AQ174/(AN174-AU167)</f>
        <v>8.1666666666666661</v>
      </c>
      <c r="AV174" s="100">
        <f>AQ174/(AN174-AV167)</f>
        <v>7.6222222222222218</v>
      </c>
      <c r="AW174" s="100">
        <f>AQ174/(AN174-AW167)</f>
        <v>9.2702702702702702</v>
      </c>
      <c r="AY174" s="200">
        <v>7</v>
      </c>
      <c r="AZ174" s="32">
        <f>(AS174/AS180*100+AS189)*AN174</f>
        <v>11.499458874458874</v>
      </c>
      <c r="BA174" s="202">
        <f>(AT174/AT180*100+AT189)*AN174</f>
        <v>13.077380952380953</v>
      </c>
      <c r="BB174" s="202">
        <f>(AU174/AU180*100+AU189)*AN174</f>
        <v>12.056372549019608</v>
      </c>
      <c r="BC174" s="202">
        <f>(AV174/AV180*100+AV189)*AN174</f>
        <v>12.51747311827957</v>
      </c>
      <c r="BD174" s="383">
        <f>(AW174/AW180*100+AW189)*AN174</f>
        <v>12.603142076502731</v>
      </c>
      <c r="BF174" s="10"/>
      <c r="BG174" s="102"/>
      <c r="BH174" s="10"/>
      <c r="BI174" s="86" t="s">
        <v>39</v>
      </c>
      <c r="BJ174" s="10"/>
      <c r="BK174" s="10"/>
      <c r="BL174" s="10"/>
      <c r="BM174" s="10"/>
      <c r="BN174" s="96" t="s">
        <v>17</v>
      </c>
      <c r="BO174" s="97">
        <v>23</v>
      </c>
      <c r="BP174" s="465">
        <f t="shared" si="293"/>
        <v>1</v>
      </c>
      <c r="BR174" s="88">
        <v>7</v>
      </c>
      <c r="BS174" s="95">
        <v>7</v>
      </c>
      <c r="BT174" s="90"/>
      <c r="BU174" s="99">
        <f>BS174/(BP174-BU167)</f>
        <v>7.7368421052631575</v>
      </c>
      <c r="BV174" s="100">
        <f>BS174/(BP174-BV167)</f>
        <v>8.7761194029850742</v>
      </c>
      <c r="BW174" s="100">
        <f>BS174/(BP174-BW167)</f>
        <v>9.046153846153846</v>
      </c>
      <c r="BX174" s="100">
        <f>BS174/(BP174-BX167)</f>
        <v>8.6470588235294112</v>
      </c>
      <c r="BY174" s="100">
        <f>BS174/(BP174-BY167)</f>
        <v>9.7999999999999989</v>
      </c>
      <c r="CA174" s="208">
        <v>7</v>
      </c>
      <c r="CB174" s="32">
        <f>(BU174/BU180*100+BU189)*BP174</f>
        <v>9.9316666666666684</v>
      </c>
      <c r="CC174" s="202">
        <f>(BV174/BV180*100+BV189)*BP174</f>
        <v>9.7361111111111107</v>
      </c>
      <c r="CD174" s="202">
        <f>(BW174/BW180*100+BW189)*BP174</f>
        <v>10.51117886178862</v>
      </c>
      <c r="CE174" s="202">
        <f>(BX174/BX180*100+BX189)*BP174</f>
        <v>9.4916666666666671</v>
      </c>
      <c r="CF174" s="383">
        <f>(BY174/BY180*100+BY189)*BP174</f>
        <v>9.5289548022598858</v>
      </c>
      <c r="CH174" s="10"/>
      <c r="CI174" s="102"/>
      <c r="CJ174" s="10"/>
      <c r="CK174" s="86" t="s">
        <v>39</v>
      </c>
      <c r="CL174" s="10"/>
      <c r="CM174" s="10"/>
      <c r="CN174" s="10"/>
      <c r="CO174" s="10"/>
      <c r="CP174" s="96" t="s">
        <v>17</v>
      </c>
      <c r="CQ174" s="97">
        <v>17</v>
      </c>
      <c r="CR174" s="465">
        <f t="shared" si="294"/>
        <v>1</v>
      </c>
      <c r="CT174" s="88">
        <v>7</v>
      </c>
      <c r="CU174" s="95">
        <v>7</v>
      </c>
      <c r="CV174" s="90"/>
      <c r="CW174" s="99">
        <f>CU174/(CR174-CW167)</f>
        <v>7.2692307692307692</v>
      </c>
      <c r="CX174" s="100">
        <f>CU174/(CR174-CX167)</f>
        <v>8.7906976744186043</v>
      </c>
      <c r="CY174" s="100">
        <f>CU174/(CR174-CY167)</f>
        <v>9.2195121951219505</v>
      </c>
      <c r="CZ174" s="100">
        <f>CU174/(CR174-CZ167)</f>
        <v>8.5909090909090899</v>
      </c>
      <c r="DA174" s="100">
        <f>CU174/(CR174-DA167)</f>
        <v>10.499999999999998</v>
      </c>
      <c r="DC174" s="208">
        <v>7</v>
      </c>
      <c r="DD174" s="32">
        <f>(CW174/CW180*100+CW189)*CR174</f>
        <v>16.860294117647062</v>
      </c>
      <c r="DE174" s="202">
        <f>(CX174/CX180*100+CX189)*CR174</f>
        <v>16.164393939393939</v>
      </c>
      <c r="DF174" s="202">
        <f>(CY174/CY180*100+CY189)*CR174</f>
        <v>18.910714285714285</v>
      </c>
      <c r="DG174" s="202">
        <f>(CZ174/CZ180*100+CZ189)*CR174</f>
        <v>20.847222222222221</v>
      </c>
      <c r="DH174" s="383">
        <f>(DA174/DA180*100+DA189)*CR174</f>
        <v>15.425000000000001</v>
      </c>
      <c r="DJ174" s="10"/>
      <c r="DK174" s="102"/>
      <c r="DL174" s="10"/>
      <c r="DM174" s="86" t="s">
        <v>39</v>
      </c>
      <c r="DN174" s="10"/>
      <c r="DO174" s="10"/>
      <c r="DP174" s="10"/>
      <c r="DQ174" s="10"/>
      <c r="DR174" s="96" t="s">
        <v>17</v>
      </c>
      <c r="DS174" s="39">
        <v>16</v>
      </c>
      <c r="DT174" s="465">
        <f t="shared" si="295"/>
        <v>1</v>
      </c>
      <c r="DV174" s="88">
        <v>7</v>
      </c>
      <c r="DW174" s="95">
        <v>7</v>
      </c>
      <c r="DX174" s="90"/>
      <c r="DY174" s="99">
        <f>DW174/(DT174-DY167)</f>
        <v>7.1458333333333339</v>
      </c>
      <c r="DZ174" s="100">
        <f>DW174/(DT174-DZ167)</f>
        <v>8.7948717948717956</v>
      </c>
      <c r="EA174" s="100">
        <f>DW174/(DT174-EA167)</f>
        <v>9.2702702702702702</v>
      </c>
      <c r="EB174" s="100">
        <f>DW174/(DT174-EB167)</f>
        <v>8.5749999999999993</v>
      </c>
      <c r="EC174" s="100">
        <f>DW174/(DT174-EC167)</f>
        <v>10.718749999999998</v>
      </c>
      <c r="EE174" s="208">
        <v>7</v>
      </c>
      <c r="EF174" s="32">
        <f>(DY174/DY180*100+DY189)*DT174</f>
        <v>12.916666666666668</v>
      </c>
      <c r="EG174" s="202">
        <f>(DZ174/DZ180*100+DZ189)*DT174</f>
        <v>12.620614035087719</v>
      </c>
      <c r="EH174" s="202">
        <f>(EA174/EA180*100+EA189)*DT174</f>
        <v>13.720238095238095</v>
      </c>
      <c r="EI174" s="202">
        <f>(EB174/EB180*100+EB189)*DT174</f>
        <v>14.396929824561402</v>
      </c>
      <c r="EJ174" s="383">
        <f>(EC174/EC180*100+EC189)*DT174</f>
        <v>14.523809523809526</v>
      </c>
    </row>
    <row r="175" spans="2:140" x14ac:dyDescent="0.2">
      <c r="B175" s="10"/>
      <c r="C175" s="102"/>
      <c r="D175" s="10"/>
      <c r="E175" s="86" t="s">
        <v>39</v>
      </c>
      <c r="F175" s="10"/>
      <c r="G175" s="10"/>
      <c r="H175" s="10"/>
      <c r="I175" s="10"/>
      <c r="J175" s="96" t="s">
        <v>24</v>
      </c>
      <c r="K175" s="39">
        <v>8</v>
      </c>
      <c r="L175" s="465">
        <f t="shared" si="288"/>
        <v>1</v>
      </c>
      <c r="N175" s="88">
        <v>8</v>
      </c>
      <c r="O175" s="95">
        <v>8</v>
      </c>
      <c r="P175" s="90"/>
      <c r="Q175" s="99">
        <f>O175/(L175-Q167)</f>
        <v>11.675675675675677</v>
      </c>
      <c r="R175" s="100">
        <f>O175/(L175-R167)</f>
        <v>8.1509433962264151</v>
      </c>
      <c r="S175" s="100">
        <f>O175/(L175-S167)</f>
        <v>8.4705882352941178</v>
      </c>
      <c r="T175" s="100">
        <f>O175/(L175-T167)</f>
        <v>14.896551724137932</v>
      </c>
      <c r="U175" s="100">
        <f>O175/(L175-U167)</f>
        <v>9.391304347826086</v>
      </c>
      <c r="W175" s="14">
        <v>8</v>
      </c>
      <c r="X175" s="32">
        <f>(Q175/Q180*100+Q190)*$L175</f>
        <v>13.972677595628415</v>
      </c>
      <c r="Y175" s="202">
        <f>(R175/R180*100+R190)*$L175</f>
        <v>13.625641025641023</v>
      </c>
      <c r="Z175" s="202">
        <f t="shared" ref="Z175" si="308">(S175/S180*100+S190)*$L175</f>
        <v>12.8008658008658</v>
      </c>
      <c r="AA175" s="202">
        <f t="shared" ref="AA175" si="309">(T175/T180*100+T190)*$L175</f>
        <v>13.178403755868544</v>
      </c>
      <c r="AB175" s="383">
        <f t="shared" ref="AB175" si="310">(U175/U180*100+U190)*$L175</f>
        <v>13.247619047619047</v>
      </c>
      <c r="AD175" s="10"/>
      <c r="AE175" s="102"/>
      <c r="AF175" s="10"/>
      <c r="AG175" s="86" t="s">
        <v>39</v>
      </c>
      <c r="AH175" s="10"/>
      <c r="AI175" s="10"/>
      <c r="AJ175" s="10"/>
      <c r="AK175" s="10"/>
      <c r="AL175" s="96" t="s">
        <v>24</v>
      </c>
      <c r="AM175" s="39">
        <v>12</v>
      </c>
      <c r="AN175" s="465">
        <f t="shared" si="292"/>
        <v>1</v>
      </c>
      <c r="AP175" s="88">
        <v>8</v>
      </c>
      <c r="AQ175" s="95">
        <v>8</v>
      </c>
      <c r="AR175" s="90"/>
      <c r="AS175" s="99">
        <f>AQ175/(AN175-AS167)</f>
        <v>14</v>
      </c>
      <c r="AT175" s="100">
        <f>AQ175/(AN175-AT167)</f>
        <v>8.9090909090909083</v>
      </c>
      <c r="AU175" s="100">
        <f>AQ175/(AN175-AU167)</f>
        <v>9.3333333333333321</v>
      </c>
      <c r="AV175" s="100">
        <f>AQ175/(AN175-AV167)</f>
        <v>8.7111111111111104</v>
      </c>
      <c r="AW175" s="100">
        <f>AQ175/(AN175-AW167)</f>
        <v>10.594594594594595</v>
      </c>
      <c r="AY175" s="200">
        <v>8</v>
      </c>
      <c r="AZ175" s="32">
        <f>(AS175/AS180*100+AS190)*AN175</f>
        <v>10.437229437229437</v>
      </c>
      <c r="BA175" s="202">
        <f>(AT175/AT180*100+AT190)*AN175</f>
        <v>11.226190476190474</v>
      </c>
      <c r="BB175" s="202">
        <f>(AU175/AU180*100+AU190)*AN175</f>
        <v>10.715686274509803</v>
      </c>
      <c r="BC175" s="202">
        <f>(AV175/AV180*100+AV190)*AN175</f>
        <v>10.946236559139786</v>
      </c>
      <c r="BD175" s="383">
        <f>(AW175/AW180*100+AW190)*AN175</f>
        <v>10.989071038251364</v>
      </c>
      <c r="BF175" s="10"/>
      <c r="BG175" s="102"/>
      <c r="BH175" s="10"/>
      <c r="BI175" s="86" t="s">
        <v>39</v>
      </c>
      <c r="BJ175" s="10"/>
      <c r="BK175" s="10"/>
      <c r="BL175" s="10"/>
      <c r="BM175" s="10"/>
      <c r="BN175" s="96" t="s">
        <v>24</v>
      </c>
      <c r="BO175" s="39">
        <v>24</v>
      </c>
      <c r="BP175" s="465">
        <f t="shared" si="293"/>
        <v>1</v>
      </c>
      <c r="BR175" s="88">
        <v>8</v>
      </c>
      <c r="BS175" s="95">
        <v>8</v>
      </c>
      <c r="BT175" s="90"/>
      <c r="BU175" s="99">
        <f>BS175/(BP175-BU167)</f>
        <v>8.8421052631578938</v>
      </c>
      <c r="BV175" s="100">
        <f>BS175/(BP175-BV167)</f>
        <v>10.029850746268655</v>
      </c>
      <c r="BW175" s="100">
        <f>BS175/(BP175-BW167)</f>
        <v>10.338461538461537</v>
      </c>
      <c r="BX175" s="100">
        <f>BS175/(BP175-BX167)</f>
        <v>9.882352941176471</v>
      </c>
      <c r="BY175" s="100">
        <f>BS175/(BP175-BY167)</f>
        <v>11.2</v>
      </c>
      <c r="CA175" s="208">
        <v>8</v>
      </c>
      <c r="CB175" s="32">
        <f>(BU175/BU180*100+BU190)*BP175</f>
        <v>18.893333333333334</v>
      </c>
      <c r="CC175" s="202">
        <f>(BV175/BV180*100+BV190)*BP175</f>
        <v>18.111111111111111</v>
      </c>
      <c r="CD175" s="202">
        <f>(BW175/BW180*100+BW190)*BP175</f>
        <v>21.211382113821138</v>
      </c>
      <c r="CE175" s="202">
        <f>(BX175/BX180*100+BX190)*BP175</f>
        <v>17.133333333333333</v>
      </c>
      <c r="CF175" s="383">
        <f>(BY175/BY180*100+BY190)*BP175</f>
        <v>17.282485875706215</v>
      </c>
      <c r="CH175" s="10"/>
      <c r="CI175" s="102"/>
      <c r="CJ175" s="10"/>
      <c r="CK175" s="86" t="s">
        <v>39</v>
      </c>
      <c r="CL175" s="10"/>
      <c r="CM175" s="10"/>
      <c r="CN175" s="10"/>
      <c r="CO175" s="10"/>
      <c r="CP175" s="96" t="s">
        <v>24</v>
      </c>
      <c r="CQ175" s="39">
        <v>18</v>
      </c>
      <c r="CR175" s="465">
        <f t="shared" si="294"/>
        <v>1</v>
      </c>
      <c r="CT175" s="88">
        <v>8</v>
      </c>
      <c r="CU175" s="95">
        <v>8</v>
      </c>
      <c r="CV175" s="90"/>
      <c r="CW175" s="99">
        <f>CU175/(CR175-CW167)</f>
        <v>8.3076923076923066</v>
      </c>
      <c r="CX175" s="100">
        <f>CU175/(CR175-CX167)</f>
        <v>10.046511627906977</v>
      </c>
      <c r="CY175" s="100">
        <f>CU175/(CR175-CY167)</f>
        <v>10.536585365853657</v>
      </c>
      <c r="CZ175" s="100">
        <f>CU175/(CR175-CZ167)</f>
        <v>9.8181818181818166</v>
      </c>
      <c r="DA175" s="100">
        <f>CU175/(CR175-DA167)</f>
        <v>11.999999999999998</v>
      </c>
      <c r="DC175" s="208">
        <v>8</v>
      </c>
      <c r="DD175" s="32">
        <f>(CW175/CW180*100+CW190)*CR175</f>
        <v>14.313725490196079</v>
      </c>
      <c r="DE175" s="202">
        <f>(CX175/CX180*100+CX190)*CR175</f>
        <v>13.878787878787879</v>
      </c>
      <c r="DF175" s="202">
        <f>(CY175/CY180*100+CY190)*CR175</f>
        <v>15.595238095238095</v>
      </c>
      <c r="DG175" s="202">
        <f>(CZ175/CZ180*100+CZ190)*CR175</f>
        <v>16.805555555555557</v>
      </c>
      <c r="DH175" s="383">
        <f>(DA175/DA180*100+DA190)*CR175</f>
        <v>13.416666666666668</v>
      </c>
      <c r="DJ175" s="10"/>
      <c r="DK175" s="102"/>
      <c r="DL175" s="10"/>
      <c r="DM175" s="86" t="s">
        <v>39</v>
      </c>
      <c r="DN175" s="10"/>
      <c r="DO175" s="10"/>
      <c r="DP175" s="10"/>
      <c r="DQ175" s="10"/>
      <c r="DR175" s="96" t="s">
        <v>24</v>
      </c>
      <c r="DS175" s="97">
        <v>17</v>
      </c>
      <c r="DT175" s="465">
        <f t="shared" si="295"/>
        <v>1</v>
      </c>
      <c r="DV175" s="88">
        <v>8</v>
      </c>
      <c r="DW175" s="95">
        <v>8</v>
      </c>
      <c r="DX175" s="90"/>
      <c r="DY175" s="99">
        <f>DW175/(DT175-DY167)</f>
        <v>8.1666666666666661</v>
      </c>
      <c r="DZ175" s="100">
        <f>DW175/(DT175-DZ167)</f>
        <v>10.051282051282051</v>
      </c>
      <c r="EA175" s="100">
        <f>DW175/(DT175-EA167)</f>
        <v>10.594594594594595</v>
      </c>
      <c r="EB175" s="100">
        <f>DW175/(DT175-EB167)</f>
        <v>9.7999999999999989</v>
      </c>
      <c r="EC175" s="100">
        <f>DW175/(DT175-EC167)</f>
        <v>12.249999999999998</v>
      </c>
      <c r="EE175" s="208">
        <v>8</v>
      </c>
      <c r="EF175" s="32">
        <f>(DY175/DY180*100+DY190)*DT175</f>
        <v>16.208333333333332</v>
      </c>
      <c r="EG175" s="202">
        <f>(DZ175/DZ180*100+DZ190)*DT175</f>
        <v>15.793859649122806</v>
      </c>
      <c r="EH175" s="202">
        <f>(EA175/EA180*100+EA190)*DT175</f>
        <v>17.333333333333332</v>
      </c>
      <c r="EI175" s="202">
        <f>(EB175/EB180*100+EB190)*DT175</f>
        <v>18.280701754385966</v>
      </c>
      <c r="EJ175" s="383">
        <f>(EC175/EC180*100+EC190)*DT175</f>
        <v>18.458333333333336</v>
      </c>
    </row>
    <row r="176" spans="2:140" x14ac:dyDescent="0.2">
      <c r="E176" s="86" t="s">
        <v>39</v>
      </c>
      <c r="J176" s="96" t="s">
        <v>23</v>
      </c>
      <c r="K176" s="97">
        <v>9</v>
      </c>
      <c r="L176" s="465">
        <f t="shared" si="288"/>
        <v>1</v>
      </c>
      <c r="N176" s="88">
        <v>9</v>
      </c>
      <c r="O176" s="95">
        <v>9</v>
      </c>
      <c r="P176" s="90"/>
      <c r="Q176" s="99">
        <f>O176/(L176-Q167)</f>
        <v>13.135135135135137</v>
      </c>
      <c r="R176" s="100">
        <f>O176/(L176-R167)</f>
        <v>9.1698113207547163</v>
      </c>
      <c r="S176" s="100">
        <f>O176/(L176-S167)</f>
        <v>9.5294117647058822</v>
      </c>
      <c r="T176" s="100">
        <f>O176/(L176-T167)</f>
        <v>16.758620689655174</v>
      </c>
      <c r="U176" s="100">
        <f>O176/(L176-U167)</f>
        <v>10.565217391304348</v>
      </c>
      <c r="W176" s="14">
        <v>9</v>
      </c>
      <c r="X176" s="32">
        <f>(Q176/Q180*100+Q191)*$L176</f>
        <v>12.194672131147541</v>
      </c>
      <c r="Y176" s="202">
        <f>(R176/R180*100+R191)*$L176</f>
        <v>12.021153846153844</v>
      </c>
      <c r="Z176" s="202">
        <f t="shared" ref="Z176" si="311">(S176/S180*100+S191)*$L176</f>
        <v>11.608766233766232</v>
      </c>
      <c r="AA176" s="202">
        <f t="shared" ref="AA176" si="312">(T176/T180*100+T191)*$L176</f>
        <v>11.797535211267606</v>
      </c>
      <c r="AB176" s="383">
        <f t="shared" ref="AB176" si="313">(U176/U180*100+U191)*$L176</f>
        <v>11.832142857142857</v>
      </c>
      <c r="AG176" s="86" t="s">
        <v>39</v>
      </c>
      <c r="AL176" s="96" t="s">
        <v>23</v>
      </c>
      <c r="AM176" s="97">
        <v>13</v>
      </c>
      <c r="AN176" s="465">
        <f t="shared" si="292"/>
        <v>1</v>
      </c>
      <c r="AP176" s="88">
        <v>9</v>
      </c>
      <c r="AQ176" s="95">
        <v>9</v>
      </c>
      <c r="AR176" s="90"/>
      <c r="AS176" s="99">
        <f>AQ176/(AN176-AS167)</f>
        <v>15.75</v>
      </c>
      <c r="AT176" s="100">
        <f>AQ176/(AN176-AT167)</f>
        <v>10.022727272727273</v>
      </c>
      <c r="AU176" s="100">
        <f>AQ176/(AN176-AU167)</f>
        <v>10.5</v>
      </c>
      <c r="AV176" s="100">
        <f>AQ176/(AN176-AV167)</f>
        <v>9.7999999999999989</v>
      </c>
      <c r="AW176" s="100">
        <f>AQ176/(AN176-AW167)</f>
        <v>11.918918918918919</v>
      </c>
      <c r="AY176" s="200">
        <v>9</v>
      </c>
      <c r="AZ176" s="32">
        <f>(AS176/AS180*100+AS191)*AN176</f>
        <v>17.790584415584416</v>
      </c>
      <c r="BA176" s="202">
        <f>(AT176/AT180*100+AT191)*AN176</f>
        <v>20.946428571428573</v>
      </c>
      <c r="BB176" s="202">
        <f>(AU176/AU180*100+AU191)*AN176</f>
        <v>18.904411764705884</v>
      </c>
      <c r="BC176" s="202">
        <f>(AV176/AV180*100+AV191)*AN176</f>
        <v>19.826612903225808</v>
      </c>
      <c r="BD176" s="383">
        <f>(AW176/AW180*100+AW191)*AN176</f>
        <v>19.997950819672131</v>
      </c>
      <c r="BI176" s="86" t="s">
        <v>39</v>
      </c>
      <c r="BN176" s="105" t="s">
        <v>23</v>
      </c>
      <c r="BO176" s="118">
        <v>25</v>
      </c>
      <c r="BP176" s="465">
        <f t="shared" si="293"/>
        <v>1</v>
      </c>
      <c r="BR176" s="88">
        <v>9</v>
      </c>
      <c r="BS176" s="95">
        <v>9</v>
      </c>
      <c r="BT176" s="90"/>
      <c r="BU176" s="99">
        <f>BS176/(BP176-BU167)</f>
        <v>9.9473684210526319</v>
      </c>
      <c r="BV176" s="100">
        <f>BS176/(BP176-BV167)</f>
        <v>11.283582089552239</v>
      </c>
      <c r="BW176" s="100">
        <f>BS176/(BP176-BW167)</f>
        <v>11.63076923076923</v>
      </c>
      <c r="BX176" s="100">
        <f>BS176/(BP176-BX167)</f>
        <v>11.117647058823529</v>
      </c>
      <c r="BY176" s="100">
        <f>BS176/(BP176-BY167)</f>
        <v>12.6</v>
      </c>
      <c r="CA176" s="208">
        <v>9</v>
      </c>
      <c r="CB176" s="32">
        <f>(BU176/BU180*100+BU191)*BP176</f>
        <v>15.975000000000003</v>
      </c>
      <c r="CC176" s="202">
        <f>(BV176/BV180*100+BV191)*BP176</f>
        <v>15.486111111111111</v>
      </c>
      <c r="CD176" s="202">
        <f>(BW176/BW180*100+BW191)*BP176</f>
        <v>17.42378048780488</v>
      </c>
      <c r="CE176" s="202">
        <f>(BX176/BX180*100+BX191)*BP176</f>
        <v>14.875</v>
      </c>
      <c r="CF176" s="383">
        <f>(BY176/BY180*100+BY191)*BP176</f>
        <v>14.968220338983052</v>
      </c>
      <c r="CK176" s="86" t="s">
        <v>39</v>
      </c>
      <c r="CP176" s="96" t="s">
        <v>23</v>
      </c>
      <c r="CQ176" s="97">
        <v>19</v>
      </c>
      <c r="CR176" s="465">
        <f t="shared" si="294"/>
        <v>1</v>
      </c>
      <c r="CT176" s="88">
        <v>9</v>
      </c>
      <c r="CU176" s="95">
        <v>9</v>
      </c>
      <c r="CV176" s="90"/>
      <c r="CW176" s="99">
        <f>CU176/(CR176-CW167)</f>
        <v>9.3461538461538449</v>
      </c>
      <c r="CX176" s="100">
        <f>CU176/(CR176-CX167)</f>
        <v>11.302325581395349</v>
      </c>
      <c r="CY176" s="100">
        <f>CU176/(CR176-CY167)</f>
        <v>11.853658536585366</v>
      </c>
      <c r="CZ176" s="100">
        <f>CU176/(CR176-CZ167)</f>
        <v>11.045454545454545</v>
      </c>
      <c r="DA176" s="100">
        <f>CU176/(CR176-DA167)</f>
        <v>13.499999999999998</v>
      </c>
      <c r="DC176" s="208">
        <v>9</v>
      </c>
      <c r="DD176" s="32">
        <f>(CW176/CW180*100+CW191)*CR176</f>
        <v>17.747549019607845</v>
      </c>
      <c r="DE176" s="202">
        <f>(CX176/CX180*100+CX191)*CR176</f>
        <v>17.138636363636362</v>
      </c>
      <c r="DF176" s="202">
        <f>(CY176/CY180*100+CY191)*CR176</f>
        <v>19.541666666666664</v>
      </c>
      <c r="DG176" s="202">
        <f>(CZ176/CZ180*100+CZ191)*CR176</f>
        <v>21.236111111111111</v>
      </c>
      <c r="DH176" s="383">
        <f>(DA176/DA180*100+DA191)*CR176</f>
        <v>16.491666666666667</v>
      </c>
      <c r="DM176" s="86" t="s">
        <v>39</v>
      </c>
      <c r="DR176" s="96" t="s">
        <v>23</v>
      </c>
      <c r="DS176" s="39">
        <v>18</v>
      </c>
      <c r="DT176" s="465">
        <f t="shared" si="295"/>
        <v>1</v>
      </c>
      <c r="DV176" s="88">
        <v>9</v>
      </c>
      <c r="DW176" s="95">
        <v>9</v>
      </c>
      <c r="DX176" s="90"/>
      <c r="DY176" s="99">
        <f>DW176/(DT176-DY167)</f>
        <v>9.1875</v>
      </c>
      <c r="DZ176" s="100">
        <f>DW176/(DT176-DZ167)</f>
        <v>11.307692307692308</v>
      </c>
      <c r="EA176" s="100">
        <f>DW176/(DT176-EA167)</f>
        <v>11.918918918918919</v>
      </c>
      <c r="EB176" s="100">
        <f>DW176/(DT176-EB167)</f>
        <v>11.025</v>
      </c>
      <c r="EC176" s="100">
        <f>DW176/(DT176-EC167)</f>
        <v>13.781249999999998</v>
      </c>
      <c r="EE176" s="208">
        <v>9</v>
      </c>
      <c r="EF176" s="32">
        <f>(DY176/DY180*100+DY191)*DT176</f>
        <v>10.5</v>
      </c>
      <c r="EG176" s="202">
        <f>(DZ176/DZ180*100+DZ191)*DT176</f>
        <v>10.440789473684212</v>
      </c>
      <c r="EH176" s="202">
        <f>(EA176/EA180*100+EA191)*DT176</f>
        <v>10.660714285714285</v>
      </c>
      <c r="EI176" s="202">
        <f>(EB176/EB180*100+EB191)*DT176</f>
        <v>10.796052631578947</v>
      </c>
      <c r="EJ176" s="383">
        <f>(EC176/EC180*100+EC191)*DT176</f>
        <v>10.821428571428571</v>
      </c>
    </row>
    <row r="177" spans="5:140" x14ac:dyDescent="0.2">
      <c r="E177" s="86" t="s">
        <v>39</v>
      </c>
      <c r="J177" s="96" t="s">
        <v>25</v>
      </c>
      <c r="K177" s="39">
        <v>10</v>
      </c>
      <c r="L177" s="465">
        <f t="shared" si="288"/>
        <v>1</v>
      </c>
      <c r="N177" s="88">
        <v>10</v>
      </c>
      <c r="O177" s="95">
        <v>9</v>
      </c>
      <c r="P177" s="90"/>
      <c r="Q177" s="99">
        <f>O177/(L177-Q167)</f>
        <v>13.135135135135137</v>
      </c>
      <c r="R177" s="100">
        <f>O177/(L177-R167)</f>
        <v>9.1698113207547163</v>
      </c>
      <c r="S177" s="100">
        <f>O177/(L177-S167)</f>
        <v>9.5294117647058822</v>
      </c>
      <c r="T177" s="100">
        <f>O177/(L177-T167)</f>
        <v>16.758620689655174</v>
      </c>
      <c r="U177" s="100">
        <f>O177/(L177-U167)</f>
        <v>10.565217391304348</v>
      </c>
      <c r="W177" s="14">
        <v>10</v>
      </c>
      <c r="X177" s="32">
        <f>(Q177/Q180*100+Q192)*$L177</f>
        <v>20.653688524590166</v>
      </c>
      <c r="Y177" s="202">
        <f>(R177/R180*100+R192)*$L177</f>
        <v>19.959615384615383</v>
      </c>
      <c r="Z177" s="202">
        <f t="shared" ref="Z177" si="314">(S177/S180*100+S192)*$L177</f>
        <v>18.310064935064933</v>
      </c>
      <c r="AA177" s="202">
        <f t="shared" ref="AA177" si="315">(T177/T180*100+T192)*$L177</f>
        <v>19.065140845070424</v>
      </c>
      <c r="AB177" s="383">
        <f t="shared" ref="AB177" si="316">(U177/U180*100+U192)*$L177</f>
        <v>19.203571428571429</v>
      </c>
      <c r="AG177" s="86" t="s">
        <v>39</v>
      </c>
      <c r="AL177" s="96" t="s">
        <v>25</v>
      </c>
      <c r="AM177" s="39">
        <v>14</v>
      </c>
      <c r="AN177" s="465">
        <f t="shared" si="292"/>
        <v>1</v>
      </c>
      <c r="AP177" s="88">
        <v>10</v>
      </c>
      <c r="AQ177" s="95">
        <v>9</v>
      </c>
      <c r="AR177" s="90"/>
      <c r="AS177" s="99">
        <f>AQ177/(AN177-AS167)</f>
        <v>15.75</v>
      </c>
      <c r="AT177" s="100">
        <f>AQ177/(AN177-AT167)</f>
        <v>10.022727272727273</v>
      </c>
      <c r="AU177" s="100">
        <f>AQ177/(AN177-AU167)</f>
        <v>10.5</v>
      </c>
      <c r="AV177" s="100">
        <f>AQ177/(AN177-AV167)</f>
        <v>9.7999999999999989</v>
      </c>
      <c r="AW177" s="100">
        <f>AQ177/(AN177-AW167)</f>
        <v>11.918918918918919</v>
      </c>
      <c r="AY177" s="200">
        <v>10</v>
      </c>
      <c r="AZ177" s="32">
        <f>(AS177/AS180*100+AS192)*AN177</f>
        <v>14.634740259740258</v>
      </c>
      <c r="BA177" s="202">
        <f>(AT177/AT180*100+AT192)*AN177</f>
        <v>16.607142857142858</v>
      </c>
      <c r="BB177" s="202">
        <f>(AU177/AU180*100+AU192)*AN177</f>
        <v>15.330882352941178</v>
      </c>
      <c r="BC177" s="202">
        <f>(AV177/AV180*100+AV192)*AN177</f>
        <v>15.907258064516128</v>
      </c>
      <c r="BD177" s="383">
        <f>(AW177/AW180*100+AW192)*AN177</f>
        <v>16.014344262295083</v>
      </c>
      <c r="BI177" s="86" t="s">
        <v>39</v>
      </c>
      <c r="BN177" s="96" t="s">
        <v>25</v>
      </c>
      <c r="BO177" s="39">
        <v>1</v>
      </c>
      <c r="BP177" s="465">
        <f t="shared" si="293"/>
        <v>1</v>
      </c>
      <c r="BR177" s="88">
        <v>10</v>
      </c>
      <c r="BS177" s="95">
        <v>9</v>
      </c>
      <c r="BT177" s="90"/>
      <c r="BU177" s="99">
        <f>BS177/(BP177-BU167)</f>
        <v>9.9473684210526319</v>
      </c>
      <c r="BV177" s="100">
        <f>BS177/(BP177-BV167)</f>
        <v>11.283582089552239</v>
      </c>
      <c r="BW177" s="100">
        <f>BS177/(BP177-BW167)</f>
        <v>11.63076923076923</v>
      </c>
      <c r="BX177" s="100">
        <f>BS177/(BP177-BX167)</f>
        <v>11.117647058823529</v>
      </c>
      <c r="BY177" s="100">
        <f>BS177/(BP177-BY167)</f>
        <v>12.6</v>
      </c>
      <c r="CA177" s="208">
        <v>10</v>
      </c>
      <c r="CB177" s="32">
        <f>(BU177/BU180*100+BU192)*BP177</f>
        <v>18.615000000000002</v>
      </c>
      <c r="CC177" s="202">
        <f>(BV177/BV180*100+BV192)*BP177</f>
        <v>17.930555555555557</v>
      </c>
      <c r="CD177" s="202">
        <f>(BW177/BW180*100+BW192)*BP177</f>
        <v>20.64329268292683</v>
      </c>
      <c r="CE177" s="202">
        <f>(BX177/BX180*100+BX192)*BP177</f>
        <v>17.074999999999999</v>
      </c>
      <c r="CF177" s="383">
        <f>(BY177/BY180*100+BY192)*BP177</f>
        <v>17.20550847457627</v>
      </c>
      <c r="CK177" s="86" t="s">
        <v>39</v>
      </c>
      <c r="CP177" s="96" t="s">
        <v>25</v>
      </c>
      <c r="CQ177" s="39">
        <v>20</v>
      </c>
      <c r="CR177" s="465">
        <f t="shared" si="294"/>
        <v>1</v>
      </c>
      <c r="CT177" s="88">
        <v>10</v>
      </c>
      <c r="CU177" s="95">
        <v>9</v>
      </c>
      <c r="CV177" s="90"/>
      <c r="CW177" s="99">
        <f>CU177/(CR177-CW167)</f>
        <v>9.3461538461538449</v>
      </c>
      <c r="CX177" s="100">
        <f>CU177/(CR177-CX167)</f>
        <v>11.302325581395349</v>
      </c>
      <c r="CY177" s="100">
        <f>CU177/(CR177-CY167)</f>
        <v>11.853658536585366</v>
      </c>
      <c r="CZ177" s="100">
        <f>CU177/(CR177-CZ167)</f>
        <v>11.045454545454545</v>
      </c>
      <c r="DA177" s="100">
        <f>CU177/(CR177-DA167)</f>
        <v>13.499999999999998</v>
      </c>
      <c r="DC177" s="208">
        <v>10</v>
      </c>
      <c r="DD177" s="32">
        <f>(CW177/CW180*100+CW192)*CR177</f>
        <v>10.57107843137255</v>
      </c>
      <c r="DE177" s="202">
        <f>(CX177/CX180*100+CX192)*CR177</f>
        <v>10.484090909090908</v>
      </c>
      <c r="DF177" s="202">
        <f>(CY177/CY180*100+CY192)*CR177</f>
        <v>10.827380952380953</v>
      </c>
      <c r="DG177" s="202">
        <f>(CZ177/CZ180*100+CZ192)*CR177</f>
        <v>11.069444444444445</v>
      </c>
      <c r="DH177" s="383">
        <f>(DA177/DA180*100+DA192)*CR177</f>
        <v>10.391666666666666</v>
      </c>
      <c r="DM177" s="86" t="s">
        <v>39</v>
      </c>
      <c r="DR177" s="96" t="s">
        <v>25</v>
      </c>
      <c r="DS177" s="97">
        <v>19</v>
      </c>
      <c r="DT177" s="465">
        <f t="shared" si="295"/>
        <v>1</v>
      </c>
      <c r="DV177" s="88">
        <v>10</v>
      </c>
      <c r="DW177" s="95">
        <v>9</v>
      </c>
      <c r="DX177" s="90"/>
      <c r="DY177" s="99">
        <f>DW177/(DT177-DY167)</f>
        <v>9.1875</v>
      </c>
      <c r="DZ177" s="100">
        <f>DW177/(DT177-DZ167)</f>
        <v>11.307692307692308</v>
      </c>
      <c r="EA177" s="100">
        <f>DW177/(DT177-EA167)</f>
        <v>11.918918918918919</v>
      </c>
      <c r="EB177" s="100">
        <f>DW177/(DT177-EB167)</f>
        <v>11.025</v>
      </c>
      <c r="EC177" s="100">
        <f>DW177/(DT177-EC167)</f>
        <v>13.781249999999998</v>
      </c>
      <c r="EE177" s="208">
        <v>10</v>
      </c>
      <c r="EF177" s="32">
        <f>(DY177/DY180*100+DY192)*DT177</f>
        <v>13.875</v>
      </c>
      <c r="EG177" s="202">
        <f>(DZ177/DZ180*100+DZ192)*DT177</f>
        <v>13.638157894736844</v>
      </c>
      <c r="EH177" s="202">
        <f>(EA177/EA180*100+EA192)*DT177</f>
        <v>14.517857142857142</v>
      </c>
      <c r="EI177" s="202">
        <f>(EB177/EB180*100+EB192)*DT177</f>
        <v>15.059210526315789</v>
      </c>
      <c r="EJ177" s="383">
        <f>(EC177/EC180*100+EC192)*DT177</f>
        <v>15.160714285714286</v>
      </c>
    </row>
    <row r="178" spans="5:140" x14ac:dyDescent="0.2">
      <c r="E178" s="86" t="s">
        <v>39</v>
      </c>
      <c r="J178" s="96" t="s">
        <v>26</v>
      </c>
      <c r="K178" s="97">
        <v>11</v>
      </c>
      <c r="L178" s="465">
        <f t="shared" si="288"/>
        <v>1</v>
      </c>
      <c r="N178" s="88">
        <v>11</v>
      </c>
      <c r="O178" s="107">
        <v>8</v>
      </c>
      <c r="P178" s="90"/>
      <c r="Q178" s="99">
        <f>O178/(L178-Q167)</f>
        <v>11.675675675675677</v>
      </c>
      <c r="R178" s="100">
        <f>O178/(L178-R167)</f>
        <v>8.1509433962264151</v>
      </c>
      <c r="S178" s="100">
        <f>O178/(L178-S167)</f>
        <v>8.4705882352941178</v>
      </c>
      <c r="T178" s="100">
        <f>O178/(L178-T167)</f>
        <v>14.896551724137932</v>
      </c>
      <c r="U178" s="100">
        <f>O178/(L178-U167)</f>
        <v>9.391304347826086</v>
      </c>
      <c r="W178" s="14">
        <v>11</v>
      </c>
      <c r="X178" s="32">
        <f>(Q178/Q180*100+Q193)*$L178</f>
        <v>15.382513661202186</v>
      </c>
      <c r="Y178" s="202">
        <f>(R178/R180*100+R193)*$L178</f>
        <v>14.948717948717947</v>
      </c>
      <c r="Z178" s="202">
        <f t="shared" ref="Z178" si="317">(S178/S180*100+S193)*$L178</f>
        <v>13.917748917748916</v>
      </c>
      <c r="AA178" s="202">
        <f t="shared" ref="AA178" si="318">(T178/T180*100+T193)*$L178</f>
        <v>14.389671361502346</v>
      </c>
      <c r="AB178" s="383">
        <f t="shared" ref="AB178" si="319">(U178/U180*100+U193)*$L178</f>
        <v>14.476190476190474</v>
      </c>
      <c r="AG178" s="86" t="s">
        <v>39</v>
      </c>
      <c r="AL178" s="96" t="s">
        <v>26</v>
      </c>
      <c r="AM178" s="97">
        <v>15</v>
      </c>
      <c r="AN178" s="465">
        <f t="shared" si="292"/>
        <v>1</v>
      </c>
      <c r="AP178" s="88">
        <v>11</v>
      </c>
      <c r="AQ178" s="107">
        <v>8</v>
      </c>
      <c r="AR178" s="90"/>
      <c r="AS178" s="99">
        <f>AQ178/(AN178-AS167)</f>
        <v>14</v>
      </c>
      <c r="AT178" s="100">
        <f>AQ178/(AN178-AT167)</f>
        <v>8.9090909090909083</v>
      </c>
      <c r="AU178" s="100">
        <f>AQ178/(AN178-AU167)</f>
        <v>9.3333333333333321</v>
      </c>
      <c r="AV178" s="100">
        <f>AQ178/(AN178-AV167)</f>
        <v>8.7111111111111104</v>
      </c>
      <c r="AW178" s="100">
        <f>AQ178/(AN178-AW167)</f>
        <v>10.594594594594595</v>
      </c>
      <c r="AY178" s="200">
        <v>11</v>
      </c>
      <c r="AZ178" s="32">
        <f>(AS178/AS180*100+AS193)*AN178</f>
        <v>15.696969696969695</v>
      </c>
      <c r="BA178" s="202">
        <f>(AT178/AT180*100+AT193)*AN178</f>
        <v>18.458333333333332</v>
      </c>
      <c r="BB178" s="202">
        <f>(AU178/AU180*100+AU193)*AN178</f>
        <v>16.671568627450981</v>
      </c>
      <c r="BC178" s="202">
        <f>(AV178/AV180*100+AV193)*AN178</f>
        <v>17.478494623655912</v>
      </c>
      <c r="BD178" s="383">
        <f>(AW178/AW180*100+AW193)*AN178</f>
        <v>17.628415300546447</v>
      </c>
      <c r="BI178" s="86" t="s">
        <v>39</v>
      </c>
      <c r="BN178" s="96" t="s">
        <v>26</v>
      </c>
      <c r="BO178" s="97">
        <v>2</v>
      </c>
      <c r="BP178" s="465">
        <f t="shared" si="293"/>
        <v>1</v>
      </c>
      <c r="BR178" s="88">
        <v>11</v>
      </c>
      <c r="BS178" s="107">
        <v>8</v>
      </c>
      <c r="BT178" s="90"/>
      <c r="BU178" s="99">
        <f>BS178/(BP178-BU167)</f>
        <v>8.8421052631578938</v>
      </c>
      <c r="BV178" s="100">
        <f>BS178/(BP178-BV167)</f>
        <v>10.029850746268655</v>
      </c>
      <c r="BW178" s="100">
        <f>BS178/(BP178-BW167)</f>
        <v>10.338461538461537</v>
      </c>
      <c r="BX178" s="100">
        <f>BS178/(BP178-BX167)</f>
        <v>9.882352941176471</v>
      </c>
      <c r="BY178" s="100">
        <f>BS178/(BP178-BY167)</f>
        <v>11.2</v>
      </c>
      <c r="CA178" s="208">
        <v>11</v>
      </c>
      <c r="CB178" s="32">
        <f>(BU178/BU180*100+BU193)*BP178</f>
        <v>9.6533333333333342</v>
      </c>
      <c r="CC178" s="202">
        <f>(BV178/BV180*100+BV193)*BP178</f>
        <v>9.5555555555555536</v>
      </c>
      <c r="CD178" s="202">
        <f>(BW178/BW180*100+BW193)*BP178</f>
        <v>9.9430894308943092</v>
      </c>
      <c r="CE178" s="202">
        <f>(BX178/BX180*100+BX193)*BP178</f>
        <v>9.4333333333333336</v>
      </c>
      <c r="CF178" s="383">
        <f>(BY178/BY180*100+BY193)*BP178</f>
        <v>9.4519774011299429</v>
      </c>
      <c r="CK178" s="86" t="s">
        <v>39</v>
      </c>
      <c r="CP178" s="96" t="s">
        <v>26</v>
      </c>
      <c r="CQ178" s="97">
        <v>21</v>
      </c>
      <c r="CR178" s="465">
        <f t="shared" si="294"/>
        <v>1</v>
      </c>
      <c r="CT178" s="88">
        <v>11</v>
      </c>
      <c r="CU178" s="107">
        <v>8</v>
      </c>
      <c r="CV178" s="90"/>
      <c r="CW178" s="99">
        <f>CU178/(CR178-CW167)</f>
        <v>8.3076923076923066</v>
      </c>
      <c r="CX178" s="100">
        <f>CU178/(CR178-CX167)</f>
        <v>10.046511627906977</v>
      </c>
      <c r="CY178" s="100">
        <f>CU178/(CR178-CY167)</f>
        <v>10.536585365853657</v>
      </c>
      <c r="CZ178" s="100">
        <f>CU178/(CR178-CZ167)</f>
        <v>9.8181818181818166</v>
      </c>
      <c r="DA178" s="100">
        <f>CU178/(CR178-DA167)</f>
        <v>11.999999999999998</v>
      </c>
      <c r="DC178" s="208">
        <v>11</v>
      </c>
      <c r="DD178" s="32">
        <f>(CW178/CW180*100+CW193)*CR178</f>
        <v>13.117647058823529</v>
      </c>
      <c r="DE178" s="202">
        <f>(CX178/CX180*100+CX193)*CR178</f>
        <v>12.76969696969697</v>
      </c>
      <c r="DF178" s="202">
        <f>(CY178/CY180*100+CY193)*CR178</f>
        <v>14.142857142857142</v>
      </c>
      <c r="DG178" s="202">
        <f>(CZ178/CZ180*100+CZ193)*CR178</f>
        <v>15.111111111111111</v>
      </c>
      <c r="DH178" s="383">
        <f>(DA178/DA180*100+DA193)*CR178</f>
        <v>12.4</v>
      </c>
      <c r="DM178" s="86" t="s">
        <v>39</v>
      </c>
      <c r="DR178" s="96" t="s">
        <v>26</v>
      </c>
      <c r="DS178" s="39">
        <v>20</v>
      </c>
      <c r="DT178" s="465">
        <f t="shared" si="295"/>
        <v>1</v>
      </c>
      <c r="DV178" s="88">
        <v>11</v>
      </c>
      <c r="DW178" s="107">
        <v>8</v>
      </c>
      <c r="DX178" s="90"/>
      <c r="DY178" s="99">
        <f>DW178/(DT178-DY167)</f>
        <v>8.1666666666666661</v>
      </c>
      <c r="DZ178" s="100">
        <f>DW178/(DT178-DZ167)</f>
        <v>10.051282051282051</v>
      </c>
      <c r="EA178" s="100">
        <f>DW178/(DT178-EA167)</f>
        <v>10.594594594594595</v>
      </c>
      <c r="EB178" s="100">
        <f>DW178/(DT178-EB167)</f>
        <v>9.7999999999999989</v>
      </c>
      <c r="EC178" s="100">
        <f>DW178/(DT178-EC167)</f>
        <v>12.249999999999998</v>
      </c>
      <c r="EE178" s="208">
        <v>11</v>
      </c>
      <c r="EF178" s="32">
        <f>(DY178/DY180*100+DY193)*DT178</f>
        <v>10.583333333333332</v>
      </c>
      <c r="EG178" s="202">
        <f>(DZ178/DZ180*100+DZ193)*DT178</f>
        <v>10.464912280701753</v>
      </c>
      <c r="EH178" s="202">
        <f>(EA178/EA180*100+EA193)*DT178</f>
        <v>10.904761904761903</v>
      </c>
      <c r="EI178" s="202">
        <f>(EB178/EB180*100+EB193)*DT178</f>
        <v>11.175438596491226</v>
      </c>
      <c r="EJ178" s="383">
        <f>(EC178/EC180*100+EC193)*DT178</f>
        <v>11.226190476190478</v>
      </c>
    </row>
    <row r="179" spans="5:140" ht="15" thickBot="1" x14ac:dyDescent="0.25">
      <c r="E179" s="86" t="s">
        <v>39</v>
      </c>
      <c r="J179" s="96" t="s">
        <v>27</v>
      </c>
      <c r="K179" s="39">
        <v>12</v>
      </c>
      <c r="L179" s="465">
        <f t="shared" si="288"/>
        <v>1</v>
      </c>
      <c r="N179" s="109">
        <v>12</v>
      </c>
      <c r="O179" s="110">
        <v>7</v>
      </c>
      <c r="P179" s="90"/>
      <c r="Q179" s="111">
        <f>O179/(L179-Q167)</f>
        <v>10.216216216216218</v>
      </c>
      <c r="R179" s="112">
        <f>O179/(L179-R167)</f>
        <v>7.132075471698113</v>
      </c>
      <c r="S179" s="112">
        <f>O179/(L179-S167)</f>
        <v>7.4117647058823533</v>
      </c>
      <c r="T179" s="112">
        <f>O179/(L179-T167)</f>
        <v>13.03448275862069</v>
      </c>
      <c r="U179" s="112">
        <f>O179/(L179-U167)</f>
        <v>8.2173913043478262</v>
      </c>
      <c r="W179" s="53">
        <v>12</v>
      </c>
      <c r="X179" s="43">
        <f>(Q179/Q180*100+Q194)*$L179</f>
        <v>17.160519125683063</v>
      </c>
      <c r="Y179" s="203">
        <f>(R179/R180*100+R194)*$L179</f>
        <v>16.553205128205128</v>
      </c>
      <c r="Z179" s="203">
        <f t="shared" ref="Z179" si="320">(S179/S180*100+S194)*$L179</f>
        <v>15.109848484848484</v>
      </c>
      <c r="AA179" s="203">
        <f t="shared" ref="AA179" si="321">(T179/T180*100+T194)*$L179</f>
        <v>15.770539906103286</v>
      </c>
      <c r="AB179" s="384">
        <f t="shared" ref="AB179" si="322">(U179/U180*100+U194)*$L179</f>
        <v>15.891666666666666</v>
      </c>
      <c r="AG179" s="86" t="s">
        <v>39</v>
      </c>
      <c r="AL179" s="96" t="s">
        <v>27</v>
      </c>
      <c r="AM179" s="39">
        <v>16</v>
      </c>
      <c r="AN179" s="465">
        <f t="shared" si="292"/>
        <v>1</v>
      </c>
      <c r="AP179" s="109">
        <v>12</v>
      </c>
      <c r="AQ179" s="110">
        <v>7</v>
      </c>
      <c r="AR179" s="90"/>
      <c r="AS179" s="111">
        <f>AQ179/(AN179-AS167)</f>
        <v>12.25</v>
      </c>
      <c r="AT179" s="112">
        <f>AQ179/(AN179-AT167)</f>
        <v>7.7954545454545459</v>
      </c>
      <c r="AU179" s="112">
        <f>AQ179/(AN179-AU167)</f>
        <v>8.1666666666666661</v>
      </c>
      <c r="AV179" s="112">
        <f>AQ179/(AN179-AV167)</f>
        <v>7.6222222222222218</v>
      </c>
      <c r="AW179" s="112">
        <f>AQ179/(AN179-AW167)</f>
        <v>9.2702702702702702</v>
      </c>
      <c r="AY179" s="201">
        <v>12</v>
      </c>
      <c r="AZ179" s="43">
        <f>(AS179/AS180*100+AS194)*AN179</f>
        <v>8.3436147186147185</v>
      </c>
      <c r="BA179" s="203">
        <f>(AT179/AT180*100+AT194)*AN179</f>
        <v>8.7380952380952372</v>
      </c>
      <c r="BB179" s="203">
        <f>(AU179/AU180*100+AU194)*AN179</f>
        <v>8.4828431372549016</v>
      </c>
      <c r="BC179" s="203">
        <f>(AV179/AV180*100+AV194)*AN179</f>
        <v>8.5981182795698921</v>
      </c>
      <c r="BD179" s="384">
        <f>(AW179/AW180*100+AW194)*AN179</f>
        <v>8.6195355191256819</v>
      </c>
      <c r="BI179" s="86" t="s">
        <v>39</v>
      </c>
      <c r="BN179" s="96" t="s">
        <v>27</v>
      </c>
      <c r="BO179" s="39">
        <v>3</v>
      </c>
      <c r="BP179" s="465">
        <f t="shared" si="293"/>
        <v>1</v>
      </c>
      <c r="BR179" s="109">
        <v>12</v>
      </c>
      <c r="BS179" s="110">
        <v>7</v>
      </c>
      <c r="BT179" s="90"/>
      <c r="BU179" s="111">
        <f>BS179/(BP179-BU167)</f>
        <v>7.7368421052631575</v>
      </c>
      <c r="BV179" s="112">
        <f>BS179/(BP179-BV167)</f>
        <v>8.7761194029850742</v>
      </c>
      <c r="BW179" s="112">
        <f>BS179/(BP179-BW167)</f>
        <v>9.046153846153846</v>
      </c>
      <c r="BX179" s="112">
        <f>BS179/(BP179-BX167)</f>
        <v>8.6470588235294112</v>
      </c>
      <c r="BY179" s="112">
        <f>BS179/(BP179-BY167)</f>
        <v>9.7999999999999989</v>
      </c>
      <c r="CA179" s="209">
        <v>12</v>
      </c>
      <c r="CB179" s="43">
        <f>(BU179/BU180*100+BU194)*BP179</f>
        <v>12.571666666666669</v>
      </c>
      <c r="CC179" s="203">
        <f>(BV179/BV180*100+BV194)*BP179</f>
        <v>12.180555555555557</v>
      </c>
      <c r="CD179" s="203">
        <f>(BW179/BW180*100+BW194)*BP179</f>
        <v>13.730691056910572</v>
      </c>
      <c r="CE179" s="203">
        <f>(BX179/BX180*100+BX194)*BP179</f>
        <v>11.691666666666666</v>
      </c>
      <c r="CF179" s="384">
        <f>(BY179/BY180*100+BY194)*BP179</f>
        <v>11.766242937853107</v>
      </c>
      <c r="CK179" s="86" t="s">
        <v>39</v>
      </c>
      <c r="CP179" s="96" t="s">
        <v>27</v>
      </c>
      <c r="CQ179" s="39">
        <v>22</v>
      </c>
      <c r="CR179" s="465">
        <f t="shared" si="294"/>
        <v>1</v>
      </c>
      <c r="CT179" s="109">
        <v>12</v>
      </c>
      <c r="CU179" s="110">
        <v>7</v>
      </c>
      <c r="CV179" s="90"/>
      <c r="CW179" s="111">
        <f>CU179/(CR179-CW167)</f>
        <v>7.2692307692307692</v>
      </c>
      <c r="CX179" s="112">
        <f>CU179/(CR179-CX167)</f>
        <v>8.7906976744186043</v>
      </c>
      <c r="CY179" s="112">
        <f>CU179/(CR179-CY167)</f>
        <v>9.2195121951219505</v>
      </c>
      <c r="CZ179" s="112">
        <f>CU179/(CR179-CZ167)</f>
        <v>8.5909090909090899</v>
      </c>
      <c r="DA179" s="112">
        <f>CU179/(CR179-DA167)</f>
        <v>10.499999999999998</v>
      </c>
      <c r="DC179" s="209">
        <v>12</v>
      </c>
      <c r="DD179" s="43">
        <f>(CW179/CW180*100+CW194)*CR179</f>
        <v>9.6838235294117663</v>
      </c>
      <c r="DE179" s="203">
        <f>(CX179/CX180*100+CX194)*CR179</f>
        <v>9.5098484848484848</v>
      </c>
      <c r="DF179" s="203">
        <f>(CY179/CY180*100+CY194)*CR179</f>
        <v>10.196428571428571</v>
      </c>
      <c r="DG179" s="203">
        <f>(CZ179/CZ180*100+CZ194)*CR179</f>
        <v>10.680555555555555</v>
      </c>
      <c r="DH179" s="384">
        <f>(DA179/DA180*100+DA194)*CR179</f>
        <v>9.3249999999999993</v>
      </c>
      <c r="DM179" s="86" t="s">
        <v>39</v>
      </c>
      <c r="DR179" s="96" t="s">
        <v>27</v>
      </c>
      <c r="DS179" s="97">
        <v>21</v>
      </c>
      <c r="DT179" s="465">
        <f t="shared" si="295"/>
        <v>1</v>
      </c>
      <c r="DV179" s="109">
        <v>12</v>
      </c>
      <c r="DW179" s="110">
        <v>7</v>
      </c>
      <c r="DX179" s="90"/>
      <c r="DY179" s="111">
        <f>DW179/(DT179-DY167)</f>
        <v>7.1458333333333339</v>
      </c>
      <c r="DZ179" s="112">
        <f>DW179/(DT179-DZ167)</f>
        <v>8.7948717948717956</v>
      </c>
      <c r="EA179" s="112">
        <f>DW179/(DT179-EA167)</f>
        <v>9.2702702702702702</v>
      </c>
      <c r="EB179" s="112">
        <f>DW179/(DT179-EB167)</f>
        <v>8.5749999999999993</v>
      </c>
      <c r="EC179" s="112">
        <f>DW179/(DT179-EC167)</f>
        <v>10.718749999999998</v>
      </c>
      <c r="EE179" s="209">
        <v>12</v>
      </c>
      <c r="EF179" s="43">
        <f>(DY179/DY180*100+DY194)*DT179</f>
        <v>16.291666666666668</v>
      </c>
      <c r="EG179" s="203">
        <f>(DZ179/DZ180*100+DZ194)*DT179</f>
        <v>15.817982456140353</v>
      </c>
      <c r="EH179" s="203">
        <f>(EA179/EA180*100+EA194)*DT179</f>
        <v>17.577380952380949</v>
      </c>
      <c r="EI179" s="203">
        <f>(EB179/EB180*100+EB194)*DT179</f>
        <v>18.660087719298247</v>
      </c>
      <c r="EJ179" s="384">
        <f>(EC179/EC180*100+EC194)*DT179</f>
        <v>18.863095238095241</v>
      </c>
    </row>
    <row r="180" spans="5:140" x14ac:dyDescent="0.2">
      <c r="E180" s="86" t="s">
        <v>39</v>
      </c>
      <c r="J180" s="96" t="s">
        <v>28</v>
      </c>
      <c r="K180" s="97">
        <v>13</v>
      </c>
      <c r="N180" s="10"/>
      <c r="O180" s="90"/>
      <c r="P180" s="90"/>
      <c r="Q180" s="113">
        <f>SUM(Q168:Q179)</f>
        <v>140.10810810810813</v>
      </c>
      <c r="R180" s="113">
        <f t="shared" ref="R180:U180" si="323">SUM(R168:R179)</f>
        <v>97.811320754716988</v>
      </c>
      <c r="S180" s="113">
        <f t="shared" si="323"/>
        <v>101.64705882352942</v>
      </c>
      <c r="T180" s="113">
        <f t="shared" si="323"/>
        <v>178.7586206896552</v>
      </c>
      <c r="U180" s="113">
        <f t="shared" si="323"/>
        <v>112.69565217391305</v>
      </c>
      <c r="W180" s="160"/>
      <c r="X180" s="171"/>
      <c r="Y180" s="171"/>
      <c r="Z180" s="171"/>
      <c r="AA180" s="171"/>
      <c r="AB180" s="171"/>
      <c r="AG180" s="86" t="s">
        <v>39</v>
      </c>
      <c r="AL180" s="96" t="s">
        <v>28</v>
      </c>
      <c r="AM180" s="97">
        <v>17</v>
      </c>
      <c r="AP180" s="10"/>
      <c r="AQ180" s="90"/>
      <c r="AR180" s="90"/>
      <c r="AS180" s="113">
        <f>SUM(AS168:AS179)</f>
        <v>168</v>
      </c>
      <c r="AT180" s="113">
        <f t="shared" ref="AT180:AW180" si="324">SUM(AT168:AT179)</f>
        <v>106.90909090909092</v>
      </c>
      <c r="AU180" s="113">
        <f t="shared" si="324"/>
        <v>111.99999999999999</v>
      </c>
      <c r="AV180" s="113">
        <f t="shared" si="324"/>
        <v>104.53333333333332</v>
      </c>
      <c r="AW180" s="113">
        <f t="shared" si="324"/>
        <v>127.13513513513514</v>
      </c>
      <c r="AY180" s="160"/>
      <c r="AZ180" s="171"/>
      <c r="BA180" s="171"/>
      <c r="BB180" s="171"/>
      <c r="BC180" s="171"/>
      <c r="BD180" s="171"/>
      <c r="BI180" s="86" t="s">
        <v>39</v>
      </c>
      <c r="BN180" s="96" t="s">
        <v>28</v>
      </c>
      <c r="BO180" s="97">
        <v>4</v>
      </c>
      <c r="BR180" s="10"/>
      <c r="BS180" s="90"/>
      <c r="BT180" s="90"/>
      <c r="BU180" s="113">
        <f>SUM(BU168:BU179)</f>
        <v>106.10526315789471</v>
      </c>
      <c r="BV180" s="113">
        <f t="shared" ref="BV180:BY180" si="325">SUM(BV168:BV179)</f>
        <v>120.35820895522387</v>
      </c>
      <c r="BW180" s="113">
        <f t="shared" si="325"/>
        <v>124.06153846153843</v>
      </c>
      <c r="BX180" s="113">
        <f t="shared" si="325"/>
        <v>118.58823529411764</v>
      </c>
      <c r="BY180" s="113">
        <f t="shared" si="325"/>
        <v>134.4</v>
      </c>
      <c r="CA180" s="160"/>
      <c r="CB180" s="171"/>
      <c r="CC180" s="171"/>
      <c r="CD180" s="171"/>
      <c r="CE180" s="171"/>
      <c r="CF180" s="171"/>
      <c r="CK180" s="86" t="s">
        <v>39</v>
      </c>
      <c r="CP180" s="96" t="s">
        <v>28</v>
      </c>
      <c r="CQ180" s="97">
        <v>23</v>
      </c>
      <c r="CT180" s="10"/>
      <c r="CU180" s="90"/>
      <c r="CV180" s="90"/>
      <c r="CW180" s="113">
        <f>SUM(CW168:CW179)</f>
        <v>99.692307692307665</v>
      </c>
      <c r="CX180" s="113">
        <f t="shared" ref="CX180:DA180" si="326">SUM(CX168:CX179)</f>
        <v>120.55813953488374</v>
      </c>
      <c r="CY180" s="113">
        <f t="shared" si="326"/>
        <v>126.4390243902439</v>
      </c>
      <c r="CZ180" s="113">
        <f t="shared" si="326"/>
        <v>117.81818181818181</v>
      </c>
      <c r="DA180" s="113">
        <f t="shared" si="326"/>
        <v>143.99999999999997</v>
      </c>
      <c r="DC180" s="160"/>
      <c r="DD180" s="171"/>
      <c r="DE180" s="171"/>
      <c r="DF180" s="171"/>
      <c r="DG180" s="171"/>
      <c r="DH180" s="171"/>
      <c r="DM180" s="86" t="s">
        <v>39</v>
      </c>
      <c r="DR180" s="96" t="s">
        <v>28</v>
      </c>
      <c r="DS180" s="39">
        <v>22</v>
      </c>
      <c r="DV180" s="10"/>
      <c r="DW180" s="90"/>
      <c r="DX180" s="90"/>
      <c r="DY180" s="113">
        <f>SUM(DY168:DY179)</f>
        <v>98</v>
      </c>
      <c r="DZ180" s="113">
        <f t="shared" ref="DZ180:EC180" si="327">SUM(DZ168:DZ179)</f>
        <v>120.61538461538461</v>
      </c>
      <c r="EA180" s="113">
        <f t="shared" si="327"/>
        <v>127.13513513513514</v>
      </c>
      <c r="EB180" s="113">
        <f t="shared" si="327"/>
        <v>117.60000000000001</v>
      </c>
      <c r="EC180" s="113">
        <f t="shared" si="327"/>
        <v>146.99999999999997</v>
      </c>
      <c r="EE180" s="160"/>
      <c r="EF180" s="171"/>
      <c r="EG180" s="171"/>
      <c r="EH180" s="171"/>
      <c r="EI180" s="171"/>
      <c r="EJ180" s="171"/>
    </row>
    <row r="181" spans="5:140" ht="15" thickBot="1" x14ac:dyDescent="0.25">
      <c r="E181" s="86" t="s">
        <v>39</v>
      </c>
      <c r="J181" s="96" t="s">
        <v>21</v>
      </c>
      <c r="K181" s="39">
        <v>14</v>
      </c>
      <c r="O181" s="10" t="s">
        <v>29</v>
      </c>
      <c r="W181" s="170" t="s">
        <v>63</v>
      </c>
      <c r="X181" s="171"/>
      <c r="Y181" s="171"/>
      <c r="Z181" s="171"/>
      <c r="AA181" s="171"/>
      <c r="AB181" s="171"/>
      <c r="AG181" s="86" t="s">
        <v>39</v>
      </c>
      <c r="AL181" s="96" t="s">
        <v>21</v>
      </c>
      <c r="AM181" s="39">
        <v>18</v>
      </c>
      <c r="AQ181" s="10" t="s">
        <v>29</v>
      </c>
      <c r="AY181" s="170" t="s">
        <v>75</v>
      </c>
      <c r="AZ181" s="171"/>
      <c r="BA181" s="171"/>
      <c r="BB181" s="171"/>
      <c r="BC181" s="171"/>
      <c r="BD181" s="171"/>
      <c r="BI181" s="86" t="s">
        <v>39</v>
      </c>
      <c r="BN181" s="96" t="s">
        <v>21</v>
      </c>
      <c r="BO181" s="39">
        <v>5</v>
      </c>
      <c r="BS181" s="10" t="s">
        <v>29</v>
      </c>
      <c r="CA181" s="170" t="s">
        <v>93</v>
      </c>
      <c r="CB181" s="171"/>
      <c r="CC181" s="171"/>
      <c r="CD181" s="171"/>
      <c r="CE181" s="171"/>
      <c r="CF181" s="171"/>
      <c r="CK181" s="86" t="s">
        <v>39</v>
      </c>
      <c r="CP181" s="96" t="s">
        <v>21</v>
      </c>
      <c r="CQ181" s="39">
        <v>24</v>
      </c>
      <c r="CU181" s="10" t="s">
        <v>29</v>
      </c>
      <c r="DC181" s="170" t="s">
        <v>108</v>
      </c>
      <c r="DD181" s="171"/>
      <c r="DE181" s="171"/>
      <c r="DF181" s="171"/>
      <c r="DG181" s="171"/>
      <c r="DH181" s="171"/>
      <c r="DM181" s="86" t="s">
        <v>39</v>
      </c>
      <c r="DR181" s="96" t="s">
        <v>21</v>
      </c>
      <c r="DS181" s="97">
        <v>23</v>
      </c>
      <c r="DW181" s="10" t="s">
        <v>29</v>
      </c>
      <c r="EE181" s="170" t="s">
        <v>123</v>
      </c>
      <c r="EF181" s="171"/>
      <c r="EG181" s="171"/>
      <c r="EH181" s="171"/>
      <c r="EI181" s="171"/>
      <c r="EJ181" s="171"/>
    </row>
    <row r="182" spans="5:140" ht="15" thickBot="1" x14ac:dyDescent="0.25">
      <c r="E182" s="86" t="s">
        <v>39</v>
      </c>
      <c r="J182" s="96" t="s">
        <v>7</v>
      </c>
      <c r="K182" s="97">
        <v>15</v>
      </c>
      <c r="L182" s="77" t="s">
        <v>36</v>
      </c>
      <c r="M182" s="78" t="s">
        <v>15</v>
      </c>
      <c r="N182" s="79" t="s">
        <v>37</v>
      </c>
      <c r="O182" s="80" t="s">
        <v>38</v>
      </c>
      <c r="P182" s="10"/>
      <c r="Q182" s="114">
        <f>K163</f>
        <v>0.29069767441860467</v>
      </c>
      <c r="R182" s="115">
        <f>L163</f>
        <v>0.2441860465116279</v>
      </c>
      <c r="S182" s="115">
        <f t="shared" ref="S182:T182" si="328">M163</f>
        <v>0.10465116279069768</v>
      </c>
      <c r="T182" s="115">
        <f t="shared" si="328"/>
        <v>0.1744186046511628</v>
      </c>
      <c r="U182" s="116">
        <f>O163</f>
        <v>0.18604651162790697</v>
      </c>
      <c r="V182" s="84">
        <f>SUM(Q182:U182)</f>
        <v>1</v>
      </c>
      <c r="W182" s="193" t="s">
        <v>37</v>
      </c>
      <c r="X182" s="173" t="s">
        <v>30</v>
      </c>
      <c r="Y182" s="174" t="s">
        <v>31</v>
      </c>
      <c r="Z182" s="174" t="s">
        <v>32</v>
      </c>
      <c r="AA182" s="174" t="s">
        <v>33</v>
      </c>
      <c r="AB182" s="175" t="s">
        <v>34</v>
      </c>
      <c r="AG182" s="86" t="s">
        <v>39</v>
      </c>
      <c r="AL182" s="96" t="s">
        <v>7</v>
      </c>
      <c r="AM182" s="97">
        <v>19</v>
      </c>
      <c r="AN182" s="77" t="s">
        <v>36</v>
      </c>
      <c r="AO182" s="78" t="s">
        <v>15</v>
      </c>
      <c r="AP182" s="79" t="s">
        <v>37</v>
      </c>
      <c r="AQ182" s="80" t="s">
        <v>38</v>
      </c>
      <c r="AR182" s="10"/>
      <c r="AS182" s="114">
        <f>AM163</f>
        <v>4.9382716049382713E-2</v>
      </c>
      <c r="AT182" s="115">
        <f>AN163</f>
        <v>0.30864197530864196</v>
      </c>
      <c r="AU182" s="115">
        <f t="shared" ref="AU182:AV182" si="329">AO163</f>
        <v>0.16049382716049382</v>
      </c>
      <c r="AV182" s="115">
        <f t="shared" si="329"/>
        <v>0.23456790123456789</v>
      </c>
      <c r="AW182" s="116">
        <f>AQ163</f>
        <v>0.24691358024691357</v>
      </c>
      <c r="AX182" s="84">
        <f>SUM(AS182:AW182)</f>
        <v>1</v>
      </c>
      <c r="AY182" s="204" t="s">
        <v>37</v>
      </c>
      <c r="AZ182" s="173" t="s">
        <v>30</v>
      </c>
      <c r="BA182" s="174" t="s">
        <v>31</v>
      </c>
      <c r="BB182" s="174" t="s">
        <v>32</v>
      </c>
      <c r="BC182" s="174" t="s">
        <v>33</v>
      </c>
      <c r="BD182" s="175" t="s">
        <v>34</v>
      </c>
      <c r="BI182" s="86" t="s">
        <v>39</v>
      </c>
      <c r="BN182" s="96" t="s">
        <v>7</v>
      </c>
      <c r="BO182" s="97">
        <v>6</v>
      </c>
      <c r="BP182" s="77" t="s">
        <v>36</v>
      </c>
      <c r="BQ182" s="78" t="s">
        <v>15</v>
      </c>
      <c r="BR182" s="79" t="s">
        <v>37</v>
      </c>
      <c r="BS182" s="80" t="s">
        <v>38</v>
      </c>
      <c r="BT182" s="10"/>
      <c r="BU182" s="114">
        <f>BO163</f>
        <v>0.24242424242424243</v>
      </c>
      <c r="BV182" s="115">
        <f>BP163</f>
        <v>0.18181818181818182</v>
      </c>
      <c r="BW182" s="115">
        <f t="shared" ref="BW182:BX182" si="330">BQ163</f>
        <v>0.37878787878787878</v>
      </c>
      <c r="BX182" s="115">
        <f t="shared" si="330"/>
        <v>9.0909090909090912E-2</v>
      </c>
      <c r="BY182" s="116">
        <f>BS163</f>
        <v>0.10606060606060606</v>
      </c>
      <c r="BZ182" s="84">
        <f>SUM(BU182:BY182)</f>
        <v>1</v>
      </c>
      <c r="CA182" s="198" t="s">
        <v>37</v>
      </c>
      <c r="CB182" s="173" t="s">
        <v>30</v>
      </c>
      <c r="CC182" s="174" t="s">
        <v>31</v>
      </c>
      <c r="CD182" s="174" t="s">
        <v>32</v>
      </c>
      <c r="CE182" s="174" t="s">
        <v>33</v>
      </c>
      <c r="CF182" s="175" t="s">
        <v>34</v>
      </c>
      <c r="CK182" s="86" t="s">
        <v>39</v>
      </c>
      <c r="CP182" s="105" t="s">
        <v>7</v>
      </c>
      <c r="CQ182" s="118">
        <v>25</v>
      </c>
      <c r="CR182" s="77" t="s">
        <v>36</v>
      </c>
      <c r="CS182" s="78" t="s">
        <v>15</v>
      </c>
      <c r="CT182" s="79" t="s">
        <v>37</v>
      </c>
      <c r="CU182" s="80" t="s">
        <v>38</v>
      </c>
      <c r="CV182" s="10"/>
      <c r="CW182" s="114">
        <f>CQ163</f>
        <v>0.16393442622950818</v>
      </c>
      <c r="CX182" s="115">
        <f>CR163</f>
        <v>9.8360655737704916E-2</v>
      </c>
      <c r="CY182" s="115">
        <f t="shared" ref="CY182:CZ182" si="331">CS163</f>
        <v>0.31147540983606559</v>
      </c>
      <c r="CZ182" s="115">
        <f t="shared" si="331"/>
        <v>0.4098360655737705</v>
      </c>
      <c r="DA182" s="116">
        <f>CU163</f>
        <v>1.6393442622950821E-2</v>
      </c>
      <c r="DB182" s="84">
        <f>SUM(CW182:DA182)</f>
        <v>1</v>
      </c>
      <c r="DC182" s="198" t="s">
        <v>37</v>
      </c>
      <c r="DD182" s="173" t="s">
        <v>30</v>
      </c>
      <c r="DE182" s="174" t="s">
        <v>31</v>
      </c>
      <c r="DF182" s="174" t="s">
        <v>32</v>
      </c>
      <c r="DG182" s="174" t="s">
        <v>33</v>
      </c>
      <c r="DH182" s="175" t="s">
        <v>34</v>
      </c>
      <c r="DM182" s="86" t="s">
        <v>39</v>
      </c>
      <c r="DR182" s="96" t="s">
        <v>7</v>
      </c>
      <c r="DS182" s="101">
        <v>24</v>
      </c>
      <c r="DT182" s="77" t="s">
        <v>36</v>
      </c>
      <c r="DU182" s="153" t="s">
        <v>15</v>
      </c>
      <c r="DV182" s="79" t="s">
        <v>37</v>
      </c>
      <c r="DW182" s="80" t="s">
        <v>38</v>
      </c>
      <c r="DX182" s="10"/>
      <c r="DY182" s="114">
        <f>DS163</f>
        <v>0.1111111111111111</v>
      </c>
      <c r="DZ182" s="115">
        <f>DT163</f>
        <v>6.1728395061728392E-2</v>
      </c>
      <c r="EA182" s="115">
        <f t="shared" ref="EA182:EB182" si="332">DU163</f>
        <v>0.22222222222222221</v>
      </c>
      <c r="EB182" s="115">
        <f t="shared" si="332"/>
        <v>0.29629629629629628</v>
      </c>
      <c r="EC182" s="116">
        <f>DW163</f>
        <v>0.30864197530864196</v>
      </c>
      <c r="ED182" s="84">
        <f>SUM(DY182:EC182)</f>
        <v>1</v>
      </c>
      <c r="EE182" s="198" t="s">
        <v>37</v>
      </c>
      <c r="EF182" s="173" t="s">
        <v>30</v>
      </c>
      <c r="EG182" s="174" t="s">
        <v>31</v>
      </c>
      <c r="EH182" s="174" t="s">
        <v>32</v>
      </c>
      <c r="EI182" s="174" t="s">
        <v>33</v>
      </c>
      <c r="EJ182" s="175" t="s">
        <v>34</v>
      </c>
    </row>
    <row r="183" spans="5:140" x14ac:dyDescent="0.2">
      <c r="E183" s="86" t="s">
        <v>39</v>
      </c>
      <c r="J183" s="96" t="s">
        <v>13</v>
      </c>
      <c r="K183" s="39">
        <v>16</v>
      </c>
      <c r="L183" s="465">
        <f>L23</f>
        <v>1</v>
      </c>
      <c r="N183" s="88">
        <v>1</v>
      </c>
      <c r="O183" s="89">
        <v>1</v>
      </c>
      <c r="P183" s="90"/>
      <c r="Q183" s="91">
        <f>O183/(L183-Q182)</f>
        <v>1.4098360655737707</v>
      </c>
      <c r="R183" s="92">
        <f>O183/(L183-R182)</f>
        <v>1.323076923076923</v>
      </c>
      <c r="S183" s="92">
        <f>O183/(L183-S182)</f>
        <v>1.1168831168831168</v>
      </c>
      <c r="T183" s="92">
        <f>O183/(L183-T182)</f>
        <v>1.2112676056338028</v>
      </c>
      <c r="U183" s="93">
        <f>O183/(L183-U182)</f>
        <v>1.2285714285714286</v>
      </c>
      <c r="V183" s="102">
        <f>SUM(Q183:U183)</f>
        <v>6.2896351397390422</v>
      </c>
      <c r="W183" s="88">
        <v>1</v>
      </c>
      <c r="X183" s="385">
        <f>(Q183/V183*100+Q168)*$L183</f>
        <v>32.631444353476098</v>
      </c>
      <c r="Y183" s="386">
        <f>(R183/V183*100+R168)*L183</f>
        <v>28.167904954357383</v>
      </c>
      <c r="Z183" s="386">
        <f>(S183/V183*100+S168)*L183</f>
        <v>25.169283100334987</v>
      </c>
      <c r="AA183" s="386">
        <f>(T183/V183*100+T168)*L183</f>
        <v>32.292636510351002</v>
      </c>
      <c r="AB183" s="387">
        <f>(U183/V183*100+U168)*L183</f>
        <v>27.750661538245723</v>
      </c>
      <c r="AG183" s="86" t="s">
        <v>39</v>
      </c>
      <c r="AL183" s="96" t="s">
        <v>13</v>
      </c>
      <c r="AM183" s="39">
        <v>20</v>
      </c>
      <c r="AN183" s="465">
        <f>AN23</f>
        <v>1</v>
      </c>
      <c r="AP183" s="88">
        <v>1</v>
      </c>
      <c r="AQ183" s="89">
        <v>4</v>
      </c>
      <c r="AR183" s="90"/>
      <c r="AS183" s="91">
        <f>AQ183/(AN183-AS182)</f>
        <v>4.2077922077922079</v>
      </c>
      <c r="AT183" s="92">
        <f>AQ183/(AN183-AT182)</f>
        <v>5.7857142857142865</v>
      </c>
      <c r="AU183" s="92">
        <f>AQ183/(AN183-AU182)</f>
        <v>4.7647058823529411</v>
      </c>
      <c r="AV183" s="92">
        <f>AQ183/(AN183-AV182)</f>
        <v>5.225806451612903</v>
      </c>
      <c r="AW183" s="93">
        <f>AQ183/(AN183-AW182)</f>
        <v>5.3114754098360653</v>
      </c>
      <c r="AX183" s="102">
        <f>SUM(AS183:AW183)</f>
        <v>25.295494237308404</v>
      </c>
      <c r="AY183" s="206">
        <v>1</v>
      </c>
      <c r="AZ183" s="385">
        <f t="shared" ref="AZ183:AZ194" si="333">(AS183/AX183*100+AS168)*AN183</f>
        <v>28.88455225787256</v>
      </c>
      <c r="BA183" s="386">
        <f>(AT183/AX183*100+AT168)*AN183</f>
        <v>30.667963900029317</v>
      </c>
      <c r="BB183" s="386">
        <f>(AU183/AX183*100+AU168)*AN183</f>
        <v>27.002850841022358</v>
      </c>
      <c r="BC183" s="386">
        <f>(AV183/AX183*100+AV168)*AN183</f>
        <v>28.281262929580073</v>
      </c>
      <c r="BD183" s="387">
        <f>(AW183/AX183*100+AW168)*AN183</f>
        <v>30.2679837761094</v>
      </c>
      <c r="BI183" s="86" t="s">
        <v>39</v>
      </c>
      <c r="BN183" s="96" t="s">
        <v>13</v>
      </c>
      <c r="BO183" s="39">
        <v>7</v>
      </c>
      <c r="BP183" s="465">
        <f>BP23</f>
        <v>1</v>
      </c>
      <c r="BR183" s="88">
        <v>1</v>
      </c>
      <c r="BS183" s="95">
        <v>2</v>
      </c>
      <c r="BT183" s="90"/>
      <c r="BU183" s="91">
        <f>BS183/(BP183-BU182)</f>
        <v>2.64</v>
      </c>
      <c r="BV183" s="92">
        <f>BS183/(BP183-BV182)</f>
        <v>2.4444444444444446</v>
      </c>
      <c r="BW183" s="92">
        <f>BS183/(BP183-BW182)</f>
        <v>3.2195121951219514</v>
      </c>
      <c r="BX183" s="92">
        <f>BS183/(BP183-BX182)</f>
        <v>2.2000000000000002</v>
      </c>
      <c r="BY183" s="93">
        <f>BS183/(BP183-BY182)</f>
        <v>2.2372881355932206</v>
      </c>
      <c r="BZ183" s="102">
        <f>SUM(BU183:BY183)</f>
        <v>12.741244775159618</v>
      </c>
      <c r="CA183" s="210">
        <v>1</v>
      </c>
      <c r="CB183" s="385">
        <f t="shared" ref="CB183:CB194" si="334">(BU183/BZ183*100+BU168)*BP183</f>
        <v>28.456952632822873</v>
      </c>
      <c r="CC183" s="386">
        <f>(BV183/BZ183*100+BV168)*BP183</f>
        <v>27.96140692850333</v>
      </c>
      <c r="CD183" s="386">
        <f>(BW183/BZ183*100+BW168)*BP183</f>
        <v>34.314581318787646</v>
      </c>
      <c r="CE183" s="386">
        <f>(BX183/BZ183*100+BX168)*BP183</f>
        <v>25.913817596495839</v>
      </c>
      <c r="CF183" s="387">
        <f>(BY183/BZ183*100+BY168)*BP183</f>
        <v>27.359415701321794</v>
      </c>
      <c r="CK183" s="86" t="s">
        <v>39</v>
      </c>
      <c r="CP183" s="96" t="s">
        <v>13</v>
      </c>
      <c r="CQ183" s="39">
        <v>1</v>
      </c>
      <c r="CR183" s="465">
        <f>CR23</f>
        <v>1</v>
      </c>
      <c r="CT183" s="88">
        <v>1</v>
      </c>
      <c r="CU183" s="95">
        <v>8</v>
      </c>
      <c r="CV183" s="90"/>
      <c r="CW183" s="91">
        <f>CU183/(CR183-CW182)</f>
        <v>9.5686274509803919</v>
      </c>
      <c r="CX183" s="92">
        <f>CU183/(CR183-CX182)</f>
        <v>8.872727272727273</v>
      </c>
      <c r="CY183" s="92">
        <f>CU183/(CR183-CY182)</f>
        <v>11.619047619047619</v>
      </c>
      <c r="CZ183" s="92">
        <f>CU183/(CR183-CZ182)</f>
        <v>13.555555555555555</v>
      </c>
      <c r="DA183" s="93">
        <f>CU183/(CR183-DA182)</f>
        <v>8.1333333333333329</v>
      </c>
      <c r="DB183" s="102">
        <f>SUM(CW183:DA183)</f>
        <v>51.749291231644172</v>
      </c>
      <c r="DC183" s="210">
        <v>1</v>
      </c>
      <c r="DD183" s="385">
        <f t="shared" ref="DD183:DD194" si="335">(CW183/DB183*100+CW168)*CR183</f>
        <v>25.759585367805972</v>
      </c>
      <c r="DE183" s="386">
        <f>(CX183/DB183*100+CX168)*CR183</f>
        <v>25.936299211279248</v>
      </c>
      <c r="DF183" s="386">
        <f>(CY183/DB183*100+CY168)*CR183</f>
        <v>31.67208563624898</v>
      </c>
      <c r="DG183" s="386">
        <f>(CZ183/DB183*100+CZ168)*CR183</f>
        <v>34.785578105557292</v>
      </c>
      <c r="DH183" s="387">
        <f>(DA183/DB183*100+DA168)*CR183</f>
        <v>26.216801408788918</v>
      </c>
      <c r="DM183" s="86" t="s">
        <v>39</v>
      </c>
      <c r="DR183" s="105" t="s">
        <v>13</v>
      </c>
      <c r="DS183" s="154">
        <v>25</v>
      </c>
      <c r="DT183" s="465">
        <f>DT23</f>
        <v>1</v>
      </c>
      <c r="DV183" s="88">
        <v>1</v>
      </c>
      <c r="DW183" s="95">
        <v>5</v>
      </c>
      <c r="DX183" s="90"/>
      <c r="DY183" s="91">
        <f>DW183/(DT183-DY182)</f>
        <v>5.625</v>
      </c>
      <c r="DZ183" s="92">
        <f>DW183/(DT183-DZ182)</f>
        <v>5.3289473684210531</v>
      </c>
      <c r="EA183" s="92">
        <f>DW183/(DT183-EA182)</f>
        <v>6.4285714285714288</v>
      </c>
      <c r="EB183" s="92">
        <f>DW183/(DT183-EB182)</f>
        <v>7.1052631578947363</v>
      </c>
      <c r="EC183" s="93">
        <f>DW183/(DT183-EC182)</f>
        <v>7.2321428571428577</v>
      </c>
      <c r="ED183" s="102">
        <f>SUM(DY183:EC183)</f>
        <v>31.719924812030076</v>
      </c>
      <c r="EE183" s="210">
        <v>1</v>
      </c>
      <c r="EF183" s="24">
        <f>DY183/ED183*100+DY168</f>
        <v>24.87916666666667</v>
      </c>
      <c r="EG183" s="25">
        <f>DZ183/ED183*100+DZ168</f>
        <v>25.594871794871796</v>
      </c>
      <c r="EH183" s="25">
        <f>EA183/ED183*100+EA168</f>
        <v>29.536936936936936</v>
      </c>
      <c r="EI183" s="25">
        <f>EB183/ED183*100+EB168</f>
        <v>30.974999999999998</v>
      </c>
      <c r="EJ183" s="26">
        <f>EC183/ED183*100+EC168</f>
        <v>33.518749999999997</v>
      </c>
    </row>
    <row r="184" spans="5:140" x14ac:dyDescent="0.2">
      <c r="E184" s="86" t="s">
        <v>39</v>
      </c>
      <c r="J184" s="96" t="s">
        <v>1</v>
      </c>
      <c r="K184" s="97">
        <v>17</v>
      </c>
      <c r="L184" s="465">
        <f>L183</f>
        <v>1</v>
      </c>
      <c r="N184" s="88">
        <v>2</v>
      </c>
      <c r="O184" s="95">
        <v>4</v>
      </c>
      <c r="P184" s="90"/>
      <c r="Q184" s="99">
        <f>O184/(L184-Q182)</f>
        <v>5.6393442622950829</v>
      </c>
      <c r="R184" s="100">
        <f>O184/(L184-R182)</f>
        <v>5.2923076923076922</v>
      </c>
      <c r="S184" s="100">
        <f>O184/(L184-S182)</f>
        <v>4.4675324675324672</v>
      </c>
      <c r="T184" s="100">
        <f>O184/(L184-T182)</f>
        <v>4.845070422535211</v>
      </c>
      <c r="U184" s="100">
        <f>O184/(L184-U182)</f>
        <v>4.9142857142857146</v>
      </c>
      <c r="V184" s="102">
        <f t="shared" ref="V184:V194" si="336">SUM(Q184:U184)</f>
        <v>25.158540558956169</v>
      </c>
      <c r="W184" s="88">
        <v>2</v>
      </c>
      <c r="X184" s="32">
        <f t="shared" ref="X184:X194" si="337">(Q184/V184*100+Q169)*$L184</f>
        <v>34.090903812935558</v>
      </c>
      <c r="Y184" s="38">
        <f t="shared" ref="Y184:Y194" si="338">(R184/V184*100+R169)*L184</f>
        <v>29.186772878885684</v>
      </c>
      <c r="Z184" s="38">
        <f t="shared" ref="Z184:Z194" si="339">(S184/V184*100+S169)*L184</f>
        <v>26.228106629746748</v>
      </c>
      <c r="AA184" s="38">
        <f t="shared" ref="AA184:AA194" si="340">(T184/V184*100+T169)*L184</f>
        <v>34.154705475868248</v>
      </c>
      <c r="AB184" s="39">
        <f t="shared" ref="AB184:AB194" si="341">(U184/V184*100+U169)*L184</f>
        <v>28.924574581723981</v>
      </c>
      <c r="AG184" s="86" t="s">
        <v>39</v>
      </c>
      <c r="AL184" s="96" t="s">
        <v>1</v>
      </c>
      <c r="AM184" s="97">
        <v>21</v>
      </c>
      <c r="AN184" s="465">
        <f>AN183</f>
        <v>1</v>
      </c>
      <c r="AP184" s="88">
        <v>2</v>
      </c>
      <c r="AQ184" s="95">
        <v>2</v>
      </c>
      <c r="AR184" s="90"/>
      <c r="AS184" s="99">
        <f>AQ184/(AN184-AS182)</f>
        <v>2.1038961038961039</v>
      </c>
      <c r="AT184" s="100">
        <f>AQ184/(AN184-AT182)</f>
        <v>2.8928571428571432</v>
      </c>
      <c r="AU184" s="100">
        <f>AQ184/(AN184-AU182)</f>
        <v>2.3823529411764706</v>
      </c>
      <c r="AV184" s="100">
        <f>AQ184/(AN184-AV182)</f>
        <v>2.6129032258064515</v>
      </c>
      <c r="AW184" s="100">
        <f>AQ184/(AN184-AW182)</f>
        <v>2.6557377049180326</v>
      </c>
      <c r="AX184" s="102">
        <f t="shared" ref="AX184:AX194" si="342">SUM(AS184:AW184)</f>
        <v>12.647747118654202</v>
      </c>
      <c r="AY184" s="98">
        <v>2</v>
      </c>
      <c r="AZ184" s="32">
        <f t="shared" si="333"/>
        <v>30.63455225787256</v>
      </c>
      <c r="BA184" s="38">
        <f t="shared" ref="BA184:BA194" si="343">(AT184/AX184*100+AT169)*AN184</f>
        <v>31.78160026366568</v>
      </c>
      <c r="BB184" s="38">
        <f t="shared" ref="BB184:BB194" si="344">(AU184/AX184*100+AU169)*AN184</f>
        <v>28.169517507689022</v>
      </c>
      <c r="BC184" s="38">
        <f t="shared" ref="BC184:BC194" si="345">(AV184/AX184*100+AV169)*AN184</f>
        <v>29.370151818468962</v>
      </c>
      <c r="BD184" s="39">
        <f t="shared" ref="BD184:BD194" si="346">(AW184/AX184*100+AW169)*AN184</f>
        <v>31.592308100433726</v>
      </c>
      <c r="BI184" s="86" t="s">
        <v>39</v>
      </c>
      <c r="BN184" s="96" t="s">
        <v>1</v>
      </c>
      <c r="BO184" s="97">
        <v>8</v>
      </c>
      <c r="BP184" s="465">
        <f>BP183</f>
        <v>1</v>
      </c>
      <c r="BR184" s="88">
        <v>2</v>
      </c>
      <c r="BS184" s="95">
        <v>8</v>
      </c>
      <c r="BT184" s="90"/>
      <c r="BU184" s="99">
        <f>BS184/(BP184-BU182)</f>
        <v>10.56</v>
      </c>
      <c r="BV184" s="100">
        <f>BS184/(BP184-BV182)</f>
        <v>9.7777777777777786</v>
      </c>
      <c r="BW184" s="100">
        <f>BS184/(BP184-BW182)</f>
        <v>12.878048780487806</v>
      </c>
      <c r="BX184" s="100">
        <f>BS184/(BP184-BX182)</f>
        <v>8.8000000000000007</v>
      </c>
      <c r="BY184" s="100">
        <f>BS184/(BP184-BY182)</f>
        <v>8.9491525423728824</v>
      </c>
      <c r="BZ184" s="102">
        <f t="shared" ref="BZ184:BZ194" si="347">SUM(BU184:BY184)</f>
        <v>50.964979100638473</v>
      </c>
      <c r="CA184" s="211">
        <v>2</v>
      </c>
      <c r="CB184" s="32">
        <f t="shared" si="334"/>
        <v>29.562215790717609</v>
      </c>
      <c r="CC184" s="38">
        <f t="shared" ref="CC184:CC194" si="348">(BV184/BZ184*100+BV169)*BP184</f>
        <v>29.215138271786913</v>
      </c>
      <c r="CD184" s="38">
        <f t="shared" ref="CD184:CD194" si="349">(BW184/BZ184*100+BW169)*BP184</f>
        <v>35.606889011095333</v>
      </c>
      <c r="CE184" s="38">
        <f t="shared" ref="CE184:CE194" si="350">(BX184/BZ184*100+BX169)*BP184</f>
        <v>27.149111714142901</v>
      </c>
      <c r="CF184" s="39">
        <f t="shared" ref="CF184:CF194" si="351">(BY184/BZ184*100+BY169)*BP184</f>
        <v>28.759415701321792</v>
      </c>
      <c r="CK184" s="86" t="s">
        <v>39</v>
      </c>
      <c r="CP184" s="96" t="s">
        <v>1</v>
      </c>
      <c r="CQ184" s="97">
        <v>2</v>
      </c>
      <c r="CR184" s="465">
        <f>CR183</f>
        <v>1</v>
      </c>
      <c r="CT184" s="88">
        <v>2</v>
      </c>
      <c r="CU184" s="95">
        <v>5</v>
      </c>
      <c r="CV184" s="90"/>
      <c r="CW184" s="99">
        <f>CU184/(CR184-CW182)</f>
        <v>5.9803921568627452</v>
      </c>
      <c r="CX184" s="100">
        <f>CU184/(CR184-CX182)</f>
        <v>5.5454545454545459</v>
      </c>
      <c r="CY184" s="100">
        <f>CU184/(CR184-CY182)</f>
        <v>7.2619047619047619</v>
      </c>
      <c r="CZ184" s="100">
        <f>CU184/(CR184-CZ182)</f>
        <v>8.4722222222222232</v>
      </c>
      <c r="DA184" s="100">
        <f>CU184/(CR184-DA182)</f>
        <v>5.083333333333333</v>
      </c>
      <c r="DB184" s="102">
        <f t="shared" ref="DB184:DB194" si="352">SUM(CW184:DA184)</f>
        <v>32.343307019777612</v>
      </c>
      <c r="DC184" s="211">
        <v>2</v>
      </c>
      <c r="DD184" s="32">
        <f t="shared" si="335"/>
        <v>26.798046906267508</v>
      </c>
      <c r="DE184" s="38">
        <f t="shared" ref="DE184:DE194" si="353">(CX184/DB184*100+CX169)*CR184</f>
        <v>27.192113164767619</v>
      </c>
      <c r="DF184" s="38">
        <f t="shared" ref="DF184:DF194" si="354">(CY184/DB184*100+CY169)*CR184</f>
        <v>32.989158806980683</v>
      </c>
      <c r="DG184" s="38">
        <f t="shared" ref="DG184:DG194" si="355">(CZ184/DB184*100+CZ169)*CR184</f>
        <v>36.012850832830019</v>
      </c>
      <c r="DH184" s="39">
        <f t="shared" ref="DH184:DH194" si="356">(DA184/DB184*100+DA169)*CR184</f>
        <v>27.716801408788918</v>
      </c>
      <c r="DM184" s="86" t="s">
        <v>39</v>
      </c>
      <c r="DR184" s="96" t="s">
        <v>1</v>
      </c>
      <c r="DS184" s="101">
        <v>1</v>
      </c>
      <c r="DT184" s="465">
        <f>DT183</f>
        <v>1</v>
      </c>
      <c r="DV184" s="88">
        <v>2</v>
      </c>
      <c r="DW184" s="95">
        <v>7</v>
      </c>
      <c r="DX184" s="90"/>
      <c r="DY184" s="99">
        <f>DW184/(DT184-DY182)</f>
        <v>7.875</v>
      </c>
      <c r="DZ184" s="100">
        <f>DW184/(DT184-DZ182)</f>
        <v>7.4605263157894743</v>
      </c>
      <c r="EA184" s="100">
        <f>DW184/(DT184-EA182)</f>
        <v>9</v>
      </c>
      <c r="EB184" s="100">
        <f>DW184/(DT184-EB182)</f>
        <v>9.9473684210526319</v>
      </c>
      <c r="EC184" s="100">
        <f>DW184/(DT184-EC182)</f>
        <v>10.125</v>
      </c>
      <c r="ED184" s="102">
        <f t="shared" ref="ED184:ED194" si="357">SUM(DY184:EC184)</f>
        <v>44.407894736842103</v>
      </c>
      <c r="EE184" s="211">
        <v>2</v>
      </c>
      <c r="EF184" s="32">
        <f t="shared" ref="EF184:EF194" si="358">DY184/ED184*100+DY169</f>
        <v>25.9</v>
      </c>
      <c r="EG184" s="38">
        <f t="shared" ref="EG184:EG194" si="359">DZ184/ED184*100+DZ169</f>
        <v>26.851282051282055</v>
      </c>
      <c r="EH184" s="38">
        <f t="shared" ref="EH184:EH194" si="360">EA184/ED184*100+EA169</f>
        <v>30.861261261261262</v>
      </c>
      <c r="EI184" s="38">
        <f t="shared" ref="EI184:EI194" si="361">EB184/ED184*100+EB169</f>
        <v>32.200000000000003</v>
      </c>
      <c r="EJ184" s="39">
        <f t="shared" ref="EJ184:EJ194" si="362">EC184/ED184*100+EC169</f>
        <v>35.049999999999997</v>
      </c>
    </row>
    <row r="185" spans="5:140" x14ac:dyDescent="0.2">
      <c r="E185" s="86" t="s">
        <v>39</v>
      </c>
      <c r="J185" s="96" t="s">
        <v>4</v>
      </c>
      <c r="K185" s="39">
        <v>18</v>
      </c>
      <c r="L185" s="465">
        <f t="shared" ref="L185:L194" si="363">L184</f>
        <v>1</v>
      </c>
      <c r="N185" s="88">
        <v>3</v>
      </c>
      <c r="O185" s="95">
        <v>2</v>
      </c>
      <c r="P185" s="90"/>
      <c r="Q185" s="99">
        <f>O185/(L185-Q182)</f>
        <v>2.8196721311475414</v>
      </c>
      <c r="R185" s="100">
        <f>O185/(L185-R182)</f>
        <v>2.6461538461538461</v>
      </c>
      <c r="S185" s="100">
        <f>O185/(L185-S182)</f>
        <v>2.2337662337662336</v>
      </c>
      <c r="T185" s="100">
        <f>O185/(L185-T182)</f>
        <v>2.4225352112676055</v>
      </c>
      <c r="U185" s="100">
        <f>O185/(L185-U182)</f>
        <v>2.4571428571428573</v>
      </c>
      <c r="V185" s="102">
        <f t="shared" si="336"/>
        <v>12.579270279478084</v>
      </c>
      <c r="W185" s="88">
        <v>3</v>
      </c>
      <c r="X185" s="32">
        <f t="shared" si="337"/>
        <v>35.550363272395018</v>
      </c>
      <c r="Y185" s="38">
        <f t="shared" si="338"/>
        <v>30.205640803413985</v>
      </c>
      <c r="Z185" s="38">
        <f t="shared" si="339"/>
        <v>27.286930159158516</v>
      </c>
      <c r="AA185" s="38">
        <f t="shared" si="340"/>
        <v>36.016774441385493</v>
      </c>
      <c r="AB185" s="39">
        <f t="shared" si="341"/>
        <v>30.098487625202242</v>
      </c>
      <c r="AG185" s="86" t="s">
        <v>39</v>
      </c>
      <c r="AL185" s="96" t="s">
        <v>4</v>
      </c>
      <c r="AM185" s="39">
        <v>22</v>
      </c>
      <c r="AN185" s="465">
        <f t="shared" ref="AN185:AN194" si="364">AN184</f>
        <v>1</v>
      </c>
      <c r="AP185" s="88">
        <v>3</v>
      </c>
      <c r="AQ185" s="95">
        <v>8</v>
      </c>
      <c r="AR185" s="90"/>
      <c r="AS185" s="99">
        <f>AQ185/(AN185-AS182)</f>
        <v>8.4155844155844157</v>
      </c>
      <c r="AT185" s="100">
        <f>AQ185/(AN185-AT182)</f>
        <v>11.571428571428573</v>
      </c>
      <c r="AU185" s="100">
        <f>AQ185/(AN185-AU182)</f>
        <v>9.5294117647058822</v>
      </c>
      <c r="AV185" s="100">
        <f>AQ185/(AN185-AV182)</f>
        <v>10.451612903225806</v>
      </c>
      <c r="AW185" s="100">
        <f>AQ185/(AN185-AW182)</f>
        <v>10.622950819672131</v>
      </c>
      <c r="AX185" s="102">
        <f t="shared" si="342"/>
        <v>50.590988474616807</v>
      </c>
      <c r="AY185" s="98">
        <v>3</v>
      </c>
      <c r="AZ185" s="32">
        <f t="shared" si="333"/>
        <v>32.384552257872556</v>
      </c>
      <c r="BA185" s="38">
        <f t="shared" si="343"/>
        <v>32.89523662730204</v>
      </c>
      <c r="BB185" s="38">
        <f t="shared" si="344"/>
        <v>29.33618417435569</v>
      </c>
      <c r="BC185" s="38">
        <f t="shared" si="345"/>
        <v>30.45904070735785</v>
      </c>
      <c r="BD185" s="39">
        <f t="shared" si="346"/>
        <v>32.916632424758049</v>
      </c>
      <c r="BI185" s="86" t="s">
        <v>39</v>
      </c>
      <c r="BN185" s="96" t="s">
        <v>4</v>
      </c>
      <c r="BO185" s="39">
        <v>9</v>
      </c>
      <c r="BP185" s="465">
        <f t="shared" ref="BP185:BP194" si="365">BP184</f>
        <v>1</v>
      </c>
      <c r="BR185" s="88">
        <v>3</v>
      </c>
      <c r="BS185" s="95">
        <v>5</v>
      </c>
      <c r="BT185" s="90"/>
      <c r="BU185" s="99">
        <f>BS185/(BP185-BU182)</f>
        <v>6.6</v>
      </c>
      <c r="BV185" s="100">
        <f>BS185/(BP185-BV182)</f>
        <v>6.1111111111111116</v>
      </c>
      <c r="BW185" s="100">
        <f>BS185/(BP185-BW182)</f>
        <v>8.0487804878048781</v>
      </c>
      <c r="BX185" s="100">
        <f>BS185/(BP185-BX182)</f>
        <v>5.5</v>
      </c>
      <c r="BY185" s="100">
        <f>BS185/(BP185-BY182)</f>
        <v>5.593220338983051</v>
      </c>
      <c r="BZ185" s="102">
        <f t="shared" si="347"/>
        <v>31.853111937899044</v>
      </c>
      <c r="CA185" s="211">
        <v>3</v>
      </c>
      <c r="CB185" s="32">
        <f t="shared" si="334"/>
        <v>30.667478948612342</v>
      </c>
      <c r="CC185" s="38">
        <f t="shared" si="348"/>
        <v>30.468869615070496</v>
      </c>
      <c r="CD185" s="38">
        <f t="shared" si="349"/>
        <v>36.899196703403028</v>
      </c>
      <c r="CE185" s="38">
        <f t="shared" si="350"/>
        <v>28.384405831789959</v>
      </c>
      <c r="CF185" s="39">
        <f t="shared" si="351"/>
        <v>30.159415701321791</v>
      </c>
      <c r="CK185" s="86" t="s">
        <v>39</v>
      </c>
      <c r="CP185" s="96" t="s">
        <v>4</v>
      </c>
      <c r="CQ185" s="39">
        <v>3</v>
      </c>
      <c r="CR185" s="465">
        <f t="shared" ref="CR185:CR194" si="366">CR184</f>
        <v>1</v>
      </c>
      <c r="CT185" s="88">
        <v>3</v>
      </c>
      <c r="CU185" s="95">
        <v>7</v>
      </c>
      <c r="CV185" s="90"/>
      <c r="CW185" s="99">
        <f>CU185/(CR185-CW182)</f>
        <v>8.3725490196078436</v>
      </c>
      <c r="CX185" s="100">
        <f>CU185/(CR185-CX182)</f>
        <v>7.7636363636363637</v>
      </c>
      <c r="CY185" s="100">
        <f>CU185/(CR185-CY182)</f>
        <v>10.166666666666666</v>
      </c>
      <c r="CZ185" s="100">
        <f>CU185/(CR185-CZ182)</f>
        <v>11.861111111111111</v>
      </c>
      <c r="DA185" s="100">
        <f>CU185/(CR185-DA182)</f>
        <v>7.1166666666666671</v>
      </c>
      <c r="DB185" s="102">
        <f t="shared" si="352"/>
        <v>45.280629827688649</v>
      </c>
      <c r="DC185" s="211">
        <v>3</v>
      </c>
      <c r="DD185" s="32">
        <f t="shared" si="335"/>
        <v>27.836508444729049</v>
      </c>
      <c r="DE185" s="38">
        <f t="shared" si="353"/>
        <v>28.447927118255997</v>
      </c>
      <c r="DF185" s="38">
        <f t="shared" si="354"/>
        <v>34.306231977712393</v>
      </c>
      <c r="DG185" s="38">
        <f t="shared" si="355"/>
        <v>37.240123560102745</v>
      </c>
      <c r="DH185" s="39">
        <f t="shared" si="356"/>
        <v>29.216801408788925</v>
      </c>
      <c r="DM185" s="86" t="s">
        <v>39</v>
      </c>
      <c r="DR185" s="96" t="s">
        <v>4</v>
      </c>
      <c r="DS185" s="101">
        <v>2</v>
      </c>
      <c r="DT185" s="465">
        <f t="shared" ref="DT185:DT194" si="367">DT184</f>
        <v>1</v>
      </c>
      <c r="DV185" s="88">
        <v>3</v>
      </c>
      <c r="DW185" s="95">
        <v>1</v>
      </c>
      <c r="DX185" s="90"/>
      <c r="DY185" s="99">
        <f>DW185/(DT185-DY182)</f>
        <v>1.125</v>
      </c>
      <c r="DZ185" s="100">
        <f>DW185/(DT185-DZ182)</f>
        <v>1.0657894736842106</v>
      </c>
      <c r="EA185" s="100">
        <f>DW185/(DT185-EA182)</f>
        <v>1.2857142857142856</v>
      </c>
      <c r="EB185" s="100">
        <f>DW185/(DT185-EB182)</f>
        <v>1.4210526315789473</v>
      </c>
      <c r="EC185" s="100">
        <f>DW185/(DT185-EC182)</f>
        <v>1.4464285714285716</v>
      </c>
      <c r="ED185" s="102">
        <f t="shared" si="357"/>
        <v>6.3439849624060152</v>
      </c>
      <c r="EE185" s="211">
        <v>3</v>
      </c>
      <c r="EF185" s="32">
        <f t="shared" si="358"/>
        <v>26.920833333333334</v>
      </c>
      <c r="EG185" s="38">
        <f t="shared" si="359"/>
        <v>28.107692307692311</v>
      </c>
      <c r="EH185" s="38">
        <f t="shared" si="360"/>
        <v>32.185585585585585</v>
      </c>
      <c r="EI185" s="38">
        <f t="shared" si="361"/>
        <v>33.425000000000004</v>
      </c>
      <c r="EJ185" s="39">
        <f t="shared" si="362"/>
        <v>36.581250000000004</v>
      </c>
    </row>
    <row r="186" spans="5:140" x14ac:dyDescent="0.2">
      <c r="E186" s="86" t="s">
        <v>39</v>
      </c>
      <c r="J186" s="96" t="s">
        <v>10</v>
      </c>
      <c r="K186" s="97">
        <v>19</v>
      </c>
      <c r="L186" s="465">
        <f t="shared" si="363"/>
        <v>1</v>
      </c>
      <c r="N186" s="88">
        <v>4</v>
      </c>
      <c r="O186" s="95">
        <v>8</v>
      </c>
      <c r="P186" s="90"/>
      <c r="Q186" s="99">
        <f>O186/(L186-Q182)</f>
        <v>11.278688524590166</v>
      </c>
      <c r="R186" s="100">
        <f>O186/(L186-R182)</f>
        <v>10.584615384615384</v>
      </c>
      <c r="S186" s="100">
        <f>O186/(L186-S182)</f>
        <v>8.9350649350649345</v>
      </c>
      <c r="T186" s="104">
        <f>O186/(L186-T182)</f>
        <v>9.6901408450704221</v>
      </c>
      <c r="U186" s="100">
        <f>O186/(L186-U182)</f>
        <v>9.8285714285714292</v>
      </c>
      <c r="V186" s="102">
        <f t="shared" si="336"/>
        <v>50.317081117912338</v>
      </c>
      <c r="W186" s="88">
        <v>4</v>
      </c>
      <c r="X186" s="32">
        <f t="shared" si="337"/>
        <v>35.550363272395018</v>
      </c>
      <c r="Y186" s="38">
        <f t="shared" si="338"/>
        <v>30.205640803413985</v>
      </c>
      <c r="Z186" s="38">
        <f t="shared" si="339"/>
        <v>27.286930159158516</v>
      </c>
      <c r="AA186" s="38">
        <f t="shared" si="340"/>
        <v>36.016774441385493</v>
      </c>
      <c r="AB186" s="39">
        <f t="shared" si="341"/>
        <v>30.098487625202242</v>
      </c>
      <c r="AG186" s="86" t="s">
        <v>39</v>
      </c>
      <c r="AL186" s="96" t="s">
        <v>10</v>
      </c>
      <c r="AM186" s="97">
        <v>23</v>
      </c>
      <c r="AN186" s="465">
        <f t="shared" si="364"/>
        <v>1</v>
      </c>
      <c r="AP186" s="88">
        <v>4</v>
      </c>
      <c r="AQ186" s="95">
        <v>5</v>
      </c>
      <c r="AR186" s="90"/>
      <c r="AS186" s="99">
        <f>AQ186/(AN186-AS182)</f>
        <v>5.2597402597402594</v>
      </c>
      <c r="AT186" s="100">
        <f>AQ186/(AN186-AT182)</f>
        <v>7.2321428571428577</v>
      </c>
      <c r="AU186" s="100">
        <f>AQ186/(AN186-AU182)</f>
        <v>5.9558823529411766</v>
      </c>
      <c r="AV186" s="104">
        <f>AQ186/(AN186-AV182)</f>
        <v>6.5322580645161281</v>
      </c>
      <c r="AW186" s="100">
        <f>AQ186/(AN186-AW182)</f>
        <v>6.639344262295082</v>
      </c>
      <c r="AX186" s="102">
        <f t="shared" si="342"/>
        <v>31.619367796635505</v>
      </c>
      <c r="AY186" s="98">
        <v>4</v>
      </c>
      <c r="AZ186" s="32">
        <f t="shared" si="333"/>
        <v>32.384552257872556</v>
      </c>
      <c r="BA186" s="38">
        <f t="shared" si="343"/>
        <v>32.89523662730204</v>
      </c>
      <c r="BB186" s="38">
        <f t="shared" si="344"/>
        <v>29.33618417435569</v>
      </c>
      <c r="BC186" s="38">
        <f t="shared" si="345"/>
        <v>30.45904070735785</v>
      </c>
      <c r="BD186" s="39">
        <f t="shared" si="346"/>
        <v>32.916632424758049</v>
      </c>
      <c r="BI186" s="86" t="s">
        <v>39</v>
      </c>
      <c r="BN186" s="96" t="s">
        <v>10</v>
      </c>
      <c r="BO186" s="97">
        <v>10</v>
      </c>
      <c r="BP186" s="465">
        <f t="shared" si="365"/>
        <v>1</v>
      </c>
      <c r="BR186" s="88">
        <v>4</v>
      </c>
      <c r="BS186" s="95">
        <v>7</v>
      </c>
      <c r="BT186" s="90"/>
      <c r="BU186" s="99">
        <f>BS186/(BP186-BU182)</f>
        <v>9.24</v>
      </c>
      <c r="BV186" s="100">
        <f>BS186/(BP186-BV182)</f>
        <v>8.5555555555555554</v>
      </c>
      <c r="BW186" s="100">
        <f>BS186/(BP186-BW182)</f>
        <v>11.268292682926829</v>
      </c>
      <c r="BX186" s="104">
        <f>BS186/(BP186-BX182)</f>
        <v>7.7</v>
      </c>
      <c r="BY186" s="100">
        <f>BS186/(BP186-BY182)</f>
        <v>7.8305084745762716</v>
      </c>
      <c r="BZ186" s="102">
        <f t="shared" si="347"/>
        <v>44.594356713058659</v>
      </c>
      <c r="CA186" s="211">
        <v>4</v>
      </c>
      <c r="CB186" s="32">
        <f t="shared" si="334"/>
        <v>30.667478948612349</v>
      </c>
      <c r="CC186" s="38">
        <f t="shared" si="348"/>
        <v>30.468869615070496</v>
      </c>
      <c r="CD186" s="38">
        <f t="shared" si="349"/>
        <v>36.899196703403028</v>
      </c>
      <c r="CE186" s="38">
        <f t="shared" si="350"/>
        <v>28.384405831789959</v>
      </c>
      <c r="CF186" s="39">
        <f t="shared" si="351"/>
        <v>30.159415701321791</v>
      </c>
      <c r="CK186" s="86" t="s">
        <v>39</v>
      </c>
      <c r="CP186" s="96" t="s">
        <v>10</v>
      </c>
      <c r="CQ186" s="97">
        <v>4</v>
      </c>
      <c r="CR186" s="465">
        <f t="shared" si="366"/>
        <v>1</v>
      </c>
      <c r="CT186" s="88">
        <v>4</v>
      </c>
      <c r="CU186" s="95">
        <v>1</v>
      </c>
      <c r="CV186" s="90"/>
      <c r="CW186" s="99">
        <f>CU186/(CR186-CW182)</f>
        <v>1.196078431372549</v>
      </c>
      <c r="CX186" s="100">
        <f>CU186/(CR186-CX182)</f>
        <v>1.1090909090909091</v>
      </c>
      <c r="CY186" s="100">
        <f>CU186/(CR186-CY182)</f>
        <v>1.4523809523809523</v>
      </c>
      <c r="CZ186" s="104">
        <f>CU186/(CR186-CZ182)</f>
        <v>1.6944444444444444</v>
      </c>
      <c r="DA186" s="100">
        <f>CU186/(CR186-DA182)</f>
        <v>1.0166666666666666</v>
      </c>
      <c r="DB186" s="102">
        <f t="shared" si="352"/>
        <v>6.4686614039555215</v>
      </c>
      <c r="DC186" s="211">
        <v>4</v>
      </c>
      <c r="DD186" s="32">
        <f t="shared" si="335"/>
        <v>27.836508444729049</v>
      </c>
      <c r="DE186" s="38">
        <f t="shared" si="353"/>
        <v>28.447927118255997</v>
      </c>
      <c r="DF186" s="38">
        <f t="shared" si="354"/>
        <v>34.306231977712393</v>
      </c>
      <c r="DG186" s="38">
        <f t="shared" si="355"/>
        <v>37.240123560102745</v>
      </c>
      <c r="DH186" s="39">
        <f t="shared" si="356"/>
        <v>29.216801408788918</v>
      </c>
      <c r="DM186" s="86" t="s">
        <v>39</v>
      </c>
      <c r="DR186" s="96" t="s">
        <v>10</v>
      </c>
      <c r="DS186" s="103">
        <v>3</v>
      </c>
      <c r="DT186" s="465">
        <f t="shared" si="367"/>
        <v>1</v>
      </c>
      <c r="DV186" s="88">
        <v>4</v>
      </c>
      <c r="DW186" s="95">
        <v>4</v>
      </c>
      <c r="DX186" s="90"/>
      <c r="DY186" s="99">
        <f>DW186/(DT186-DY182)</f>
        <v>4.5</v>
      </c>
      <c r="DZ186" s="100">
        <f>DW186/(DT186-DZ182)</f>
        <v>4.2631578947368425</v>
      </c>
      <c r="EA186" s="100">
        <f>DW186/(DT186-EA182)</f>
        <v>5.1428571428571423</v>
      </c>
      <c r="EB186" s="104">
        <f>DW186/(DT186-EB182)</f>
        <v>5.6842105263157894</v>
      </c>
      <c r="EC186" s="100">
        <f>DW186/(DT186-EC182)</f>
        <v>5.7857142857142865</v>
      </c>
      <c r="ED186" s="102">
        <f t="shared" si="357"/>
        <v>25.375939849624061</v>
      </c>
      <c r="EE186" s="211">
        <v>4</v>
      </c>
      <c r="EF186" s="32">
        <f t="shared" si="358"/>
        <v>26.920833333333334</v>
      </c>
      <c r="EG186" s="38">
        <f t="shared" si="359"/>
        <v>28.107692307692311</v>
      </c>
      <c r="EH186" s="38">
        <f t="shared" si="360"/>
        <v>32.185585585585585</v>
      </c>
      <c r="EI186" s="38">
        <f t="shared" si="361"/>
        <v>33.425000000000004</v>
      </c>
      <c r="EJ186" s="39">
        <f t="shared" si="362"/>
        <v>36.581250000000004</v>
      </c>
    </row>
    <row r="187" spans="5:140" x14ac:dyDescent="0.2">
      <c r="E187" s="86" t="s">
        <v>39</v>
      </c>
      <c r="J187" s="96" t="s">
        <v>5</v>
      </c>
      <c r="K187" s="97">
        <v>20</v>
      </c>
      <c r="L187" s="465">
        <f t="shared" si="363"/>
        <v>1</v>
      </c>
      <c r="N187" s="88">
        <v>5</v>
      </c>
      <c r="O187" s="95">
        <v>5</v>
      </c>
      <c r="P187" s="90"/>
      <c r="Q187" s="99">
        <f>O187/(L187-Q182)</f>
        <v>7.0491803278688527</v>
      </c>
      <c r="R187" s="100">
        <f>O187/(L187-R182)</f>
        <v>6.615384615384615</v>
      </c>
      <c r="S187" s="100">
        <f>O187/(L187-S182)</f>
        <v>5.5844155844155843</v>
      </c>
      <c r="T187" s="100">
        <f>O187/(L187-T182)</f>
        <v>6.056338028169014</v>
      </c>
      <c r="U187" s="100">
        <f>O187/(L187-U182)</f>
        <v>6.1428571428571432</v>
      </c>
      <c r="V187" s="102">
        <f t="shared" si="336"/>
        <v>31.448175698695206</v>
      </c>
      <c r="W187" s="88">
        <v>5</v>
      </c>
      <c r="X187" s="32">
        <f t="shared" si="337"/>
        <v>34.090903812935565</v>
      </c>
      <c r="Y187" s="38">
        <f t="shared" si="338"/>
        <v>29.186772878885691</v>
      </c>
      <c r="Z187" s="38">
        <f t="shared" si="339"/>
        <v>26.228106629746755</v>
      </c>
      <c r="AA187" s="38">
        <f t="shared" si="340"/>
        <v>34.154705475868255</v>
      </c>
      <c r="AB187" s="39">
        <f t="shared" si="341"/>
        <v>28.924574581723984</v>
      </c>
      <c r="AG187" s="86" t="s">
        <v>39</v>
      </c>
      <c r="AL187" s="96" t="s">
        <v>5</v>
      </c>
      <c r="AM187" s="97">
        <v>24</v>
      </c>
      <c r="AN187" s="465">
        <f t="shared" si="364"/>
        <v>1</v>
      </c>
      <c r="AP187" s="88">
        <v>5</v>
      </c>
      <c r="AQ187" s="95">
        <v>7</v>
      </c>
      <c r="AR187" s="90"/>
      <c r="AS187" s="99">
        <f>AQ187/(AN187-AS182)</f>
        <v>7.3636363636363633</v>
      </c>
      <c r="AT187" s="100">
        <f>AQ187/(AN187-AT182)</f>
        <v>10.125</v>
      </c>
      <c r="AU187" s="100">
        <f>AQ187/(AN187-AU182)</f>
        <v>8.3382352941176467</v>
      </c>
      <c r="AV187" s="100">
        <f>AQ187/(AN187-AV182)</f>
        <v>9.1451612903225801</v>
      </c>
      <c r="AW187" s="100">
        <f>AQ187/(AN187-AW182)</f>
        <v>9.2950819672131146</v>
      </c>
      <c r="AX187" s="102">
        <f t="shared" si="342"/>
        <v>44.267114915289703</v>
      </c>
      <c r="AY187" s="98">
        <v>5</v>
      </c>
      <c r="AZ187" s="32">
        <f t="shared" si="333"/>
        <v>30.63455225787256</v>
      </c>
      <c r="BA187" s="38">
        <f t="shared" si="343"/>
        <v>31.78160026366568</v>
      </c>
      <c r="BB187" s="38">
        <f t="shared" si="344"/>
        <v>28.169517507689022</v>
      </c>
      <c r="BC187" s="38">
        <f t="shared" si="345"/>
        <v>29.370151818468962</v>
      </c>
      <c r="BD187" s="39">
        <f t="shared" si="346"/>
        <v>31.592308100433726</v>
      </c>
      <c r="BI187" s="86" t="s">
        <v>39</v>
      </c>
      <c r="BN187" s="96" t="s">
        <v>5</v>
      </c>
      <c r="BO187" s="97">
        <v>11</v>
      </c>
      <c r="BP187" s="465">
        <f t="shared" si="365"/>
        <v>1</v>
      </c>
      <c r="BR187" s="88">
        <v>5</v>
      </c>
      <c r="BS187" s="95">
        <v>1</v>
      </c>
      <c r="BT187" s="90"/>
      <c r="BU187" s="99">
        <f>BS187/(BP187-BU182)</f>
        <v>1.32</v>
      </c>
      <c r="BV187" s="100">
        <f>BS187/(BP187-BV182)</f>
        <v>1.2222222222222223</v>
      </c>
      <c r="BW187" s="100">
        <f>BS187/(BP187-BW182)</f>
        <v>1.6097560975609757</v>
      </c>
      <c r="BX187" s="100">
        <f>BS187/(BP187-BX182)</f>
        <v>1.1000000000000001</v>
      </c>
      <c r="BY187" s="100">
        <f>BS187/(BP187-BY182)</f>
        <v>1.1186440677966103</v>
      </c>
      <c r="BZ187" s="102">
        <f t="shared" si="347"/>
        <v>6.3706223875798091</v>
      </c>
      <c r="CA187" s="211">
        <v>5</v>
      </c>
      <c r="CB187" s="32">
        <f t="shared" si="334"/>
        <v>29.562215790717609</v>
      </c>
      <c r="CC187" s="38">
        <f t="shared" si="348"/>
        <v>29.215138271786913</v>
      </c>
      <c r="CD187" s="38">
        <f t="shared" si="349"/>
        <v>35.606889011095333</v>
      </c>
      <c r="CE187" s="38">
        <f t="shared" si="350"/>
        <v>27.149111714142901</v>
      </c>
      <c r="CF187" s="39">
        <f t="shared" si="351"/>
        <v>28.759415701321792</v>
      </c>
      <c r="CK187" s="86" t="s">
        <v>39</v>
      </c>
      <c r="CP187" s="96" t="s">
        <v>5</v>
      </c>
      <c r="CQ187" s="39">
        <v>5</v>
      </c>
      <c r="CR187" s="465">
        <f t="shared" si="366"/>
        <v>1</v>
      </c>
      <c r="CT187" s="88">
        <v>5</v>
      </c>
      <c r="CU187" s="95">
        <v>4</v>
      </c>
      <c r="CV187" s="90"/>
      <c r="CW187" s="99">
        <f>CU187/(CR187-CW182)</f>
        <v>4.784313725490196</v>
      </c>
      <c r="CX187" s="100">
        <f>CU187/(CR187-CX182)</f>
        <v>4.4363636363636365</v>
      </c>
      <c r="CY187" s="100">
        <f>CU187/(CR187-CY182)</f>
        <v>5.8095238095238093</v>
      </c>
      <c r="CZ187" s="100">
        <f>CU187/(CR187-CZ182)</f>
        <v>6.7777777777777777</v>
      </c>
      <c r="DA187" s="100">
        <f>CU187/(CR187-DA182)</f>
        <v>4.0666666666666664</v>
      </c>
      <c r="DB187" s="102">
        <f t="shared" si="352"/>
        <v>25.874645615822086</v>
      </c>
      <c r="DC187" s="211">
        <v>5</v>
      </c>
      <c r="DD187" s="32">
        <f t="shared" si="335"/>
        <v>26.798046906267508</v>
      </c>
      <c r="DE187" s="38">
        <f t="shared" si="353"/>
        <v>27.192113164767623</v>
      </c>
      <c r="DF187" s="38">
        <f t="shared" si="354"/>
        <v>32.989158806980683</v>
      </c>
      <c r="DG187" s="38">
        <f t="shared" si="355"/>
        <v>36.012850832830019</v>
      </c>
      <c r="DH187" s="39">
        <f t="shared" si="356"/>
        <v>27.716801408788918</v>
      </c>
      <c r="DM187" s="86" t="s">
        <v>39</v>
      </c>
      <c r="DR187" s="96" t="s">
        <v>5</v>
      </c>
      <c r="DS187" s="101">
        <v>4</v>
      </c>
      <c r="DT187" s="465">
        <f t="shared" si="367"/>
        <v>1</v>
      </c>
      <c r="DV187" s="88">
        <v>5</v>
      </c>
      <c r="DW187" s="95">
        <v>2</v>
      </c>
      <c r="DX187" s="90"/>
      <c r="DY187" s="99">
        <f>DW187/(DT187-DY182)</f>
        <v>2.25</v>
      </c>
      <c r="DZ187" s="100">
        <f>DW187/(DT187-DZ182)</f>
        <v>2.1315789473684212</v>
      </c>
      <c r="EA187" s="100">
        <f>DW187/(DT187-EA182)</f>
        <v>2.5714285714285712</v>
      </c>
      <c r="EB187" s="100">
        <f>DW187/(DT187-EB182)</f>
        <v>2.8421052631578947</v>
      </c>
      <c r="EC187" s="100">
        <f>DW187/(DT187-EC182)</f>
        <v>2.8928571428571432</v>
      </c>
      <c r="ED187" s="102">
        <f t="shared" si="357"/>
        <v>12.68796992481203</v>
      </c>
      <c r="EE187" s="211">
        <v>5</v>
      </c>
      <c r="EF187" s="32">
        <f t="shared" si="358"/>
        <v>25.9</v>
      </c>
      <c r="EG187" s="38">
        <f t="shared" si="359"/>
        <v>26.851282051282052</v>
      </c>
      <c r="EH187" s="38">
        <f t="shared" si="360"/>
        <v>30.861261261261255</v>
      </c>
      <c r="EI187" s="38">
        <f t="shared" si="361"/>
        <v>32.200000000000003</v>
      </c>
      <c r="EJ187" s="39">
        <f t="shared" si="362"/>
        <v>35.050000000000004</v>
      </c>
    </row>
    <row r="188" spans="5:140" x14ac:dyDescent="0.2">
      <c r="E188" s="86" t="s">
        <v>39</v>
      </c>
      <c r="J188" s="96" t="s">
        <v>9</v>
      </c>
      <c r="K188" s="39">
        <v>21</v>
      </c>
      <c r="L188" s="465">
        <f t="shared" si="363"/>
        <v>1</v>
      </c>
      <c r="N188" s="88">
        <v>6</v>
      </c>
      <c r="O188" s="95">
        <v>7</v>
      </c>
      <c r="P188" s="90"/>
      <c r="Q188" s="99">
        <f>O188/(L188-Q182)</f>
        <v>9.8688524590163951</v>
      </c>
      <c r="R188" s="100">
        <f>O188/(L188-R182)</f>
        <v>9.2615384615384606</v>
      </c>
      <c r="S188" s="100">
        <f>O188/(L188-S182)</f>
        <v>7.8181818181818175</v>
      </c>
      <c r="T188" s="100">
        <f>O188/(L188-T182)</f>
        <v>8.47887323943662</v>
      </c>
      <c r="U188" s="100">
        <f>O188/(L188-U182)</f>
        <v>8.6</v>
      </c>
      <c r="V188" s="102">
        <f t="shared" si="336"/>
        <v>44.027445978173297</v>
      </c>
      <c r="W188" s="88">
        <v>6</v>
      </c>
      <c r="X188" s="32">
        <f t="shared" si="337"/>
        <v>32.631444353476098</v>
      </c>
      <c r="Y188" s="38">
        <f t="shared" si="338"/>
        <v>28.167904954357379</v>
      </c>
      <c r="Z188" s="38">
        <f t="shared" si="339"/>
        <v>25.16928310033498</v>
      </c>
      <c r="AA188" s="38">
        <f t="shared" si="340"/>
        <v>32.292636510351002</v>
      </c>
      <c r="AB188" s="39">
        <f t="shared" si="341"/>
        <v>27.750661538245716</v>
      </c>
      <c r="AG188" s="86" t="s">
        <v>39</v>
      </c>
      <c r="AL188" s="105" t="s">
        <v>9</v>
      </c>
      <c r="AM188" s="117">
        <v>25</v>
      </c>
      <c r="AN188" s="465">
        <f t="shared" si="364"/>
        <v>1</v>
      </c>
      <c r="AP188" s="88">
        <v>6</v>
      </c>
      <c r="AQ188" s="95">
        <v>1</v>
      </c>
      <c r="AR188" s="90"/>
      <c r="AS188" s="99">
        <f>AQ188/(AN188-AS182)</f>
        <v>1.051948051948052</v>
      </c>
      <c r="AT188" s="100">
        <f>AQ188/(AN188-AT182)</f>
        <v>1.4464285714285716</v>
      </c>
      <c r="AU188" s="100">
        <f>AQ188/(AN188-AU182)</f>
        <v>1.1911764705882353</v>
      </c>
      <c r="AV188" s="100">
        <f>AQ188/(AN188-AV182)</f>
        <v>1.3064516129032258</v>
      </c>
      <c r="AW188" s="100">
        <f>AQ188/(AN188-AW182)</f>
        <v>1.3278688524590163</v>
      </c>
      <c r="AX188" s="102">
        <f t="shared" si="342"/>
        <v>6.3238735593271009</v>
      </c>
      <c r="AY188" s="98">
        <v>6</v>
      </c>
      <c r="AZ188" s="32">
        <f t="shared" si="333"/>
        <v>28.88455225787256</v>
      </c>
      <c r="BA188" s="38">
        <f t="shared" si="343"/>
        <v>30.667963900029317</v>
      </c>
      <c r="BB188" s="38">
        <f t="shared" si="344"/>
        <v>27.002850841022358</v>
      </c>
      <c r="BC188" s="38">
        <f t="shared" si="345"/>
        <v>28.281262929580073</v>
      </c>
      <c r="BD188" s="39">
        <f t="shared" si="346"/>
        <v>30.2679837761094</v>
      </c>
      <c r="BI188" s="86" t="s">
        <v>39</v>
      </c>
      <c r="BN188" s="96" t="s">
        <v>9</v>
      </c>
      <c r="BO188" s="39">
        <v>12</v>
      </c>
      <c r="BP188" s="465">
        <f t="shared" si="365"/>
        <v>1</v>
      </c>
      <c r="BR188" s="88">
        <v>6</v>
      </c>
      <c r="BS188" s="95">
        <v>4</v>
      </c>
      <c r="BT188" s="90"/>
      <c r="BU188" s="99">
        <f>BS188/(BP188-BU182)</f>
        <v>5.28</v>
      </c>
      <c r="BV188" s="100">
        <f>BS188/(BP188-BV182)</f>
        <v>4.8888888888888893</v>
      </c>
      <c r="BW188" s="100">
        <f>BS188/(BP188-BW182)</f>
        <v>6.4390243902439028</v>
      </c>
      <c r="BX188" s="100">
        <f>BS188/(BP188-BX182)</f>
        <v>4.4000000000000004</v>
      </c>
      <c r="BY188" s="100">
        <f>BS188/(BP188-BY182)</f>
        <v>4.4745762711864412</v>
      </c>
      <c r="BZ188" s="102">
        <f t="shared" si="347"/>
        <v>25.482489550319237</v>
      </c>
      <c r="CA188" s="211">
        <v>6</v>
      </c>
      <c r="CB188" s="32">
        <f t="shared" si="334"/>
        <v>28.456952632822873</v>
      </c>
      <c r="CC188" s="38">
        <f t="shared" si="348"/>
        <v>27.96140692850333</v>
      </c>
      <c r="CD188" s="38">
        <f t="shared" si="349"/>
        <v>34.314581318787646</v>
      </c>
      <c r="CE188" s="38">
        <f t="shared" si="350"/>
        <v>25.913817596495839</v>
      </c>
      <c r="CF188" s="39">
        <f t="shared" si="351"/>
        <v>27.359415701321794</v>
      </c>
      <c r="CK188" s="86" t="s">
        <v>39</v>
      </c>
      <c r="CP188" s="96" t="s">
        <v>9</v>
      </c>
      <c r="CQ188" s="39">
        <v>6</v>
      </c>
      <c r="CR188" s="465">
        <f t="shared" si="366"/>
        <v>1</v>
      </c>
      <c r="CT188" s="88">
        <v>6</v>
      </c>
      <c r="CU188" s="95">
        <v>2</v>
      </c>
      <c r="CV188" s="90"/>
      <c r="CW188" s="99">
        <f>CU188/(CR188-CW182)</f>
        <v>2.392156862745098</v>
      </c>
      <c r="CX188" s="100">
        <f>CU188/(CR188-CX182)</f>
        <v>2.2181818181818183</v>
      </c>
      <c r="CY188" s="100">
        <f>CU188/(CR188-CY182)</f>
        <v>2.9047619047619047</v>
      </c>
      <c r="CZ188" s="100">
        <f>CU188/(CR188-CZ182)</f>
        <v>3.3888888888888888</v>
      </c>
      <c r="DA188" s="100">
        <f>CU188/(CR188-DA182)</f>
        <v>2.0333333333333332</v>
      </c>
      <c r="DB188" s="102">
        <f t="shared" si="352"/>
        <v>12.937322807911043</v>
      </c>
      <c r="DC188" s="211">
        <v>6</v>
      </c>
      <c r="DD188" s="32">
        <f t="shared" si="335"/>
        <v>25.759585367805972</v>
      </c>
      <c r="DE188" s="38">
        <f t="shared" si="353"/>
        <v>25.936299211279248</v>
      </c>
      <c r="DF188" s="38">
        <f t="shared" si="354"/>
        <v>31.67208563624898</v>
      </c>
      <c r="DG188" s="38">
        <f t="shared" si="355"/>
        <v>34.785578105557292</v>
      </c>
      <c r="DH188" s="39">
        <f t="shared" si="356"/>
        <v>26.216801408788918</v>
      </c>
      <c r="DM188" s="86" t="s">
        <v>39</v>
      </c>
      <c r="DR188" s="96" t="s">
        <v>9</v>
      </c>
      <c r="DS188" s="103">
        <v>5</v>
      </c>
      <c r="DT188" s="465">
        <f t="shared" si="367"/>
        <v>1</v>
      </c>
      <c r="DV188" s="88">
        <v>6</v>
      </c>
      <c r="DW188" s="95">
        <v>8</v>
      </c>
      <c r="DX188" s="90"/>
      <c r="DY188" s="99">
        <f>DW188/(DT188-DY182)</f>
        <v>9</v>
      </c>
      <c r="DZ188" s="100">
        <f>DW188/(DT188-DZ182)</f>
        <v>8.526315789473685</v>
      </c>
      <c r="EA188" s="100">
        <f>DW188/(DT188-EA182)</f>
        <v>10.285714285714285</v>
      </c>
      <c r="EB188" s="100">
        <f>DW188/(DT188-EB182)</f>
        <v>11.368421052631579</v>
      </c>
      <c r="EC188" s="100">
        <f>DW188/(DT188-EC182)</f>
        <v>11.571428571428573</v>
      </c>
      <c r="ED188" s="102">
        <f t="shared" si="357"/>
        <v>50.751879699248121</v>
      </c>
      <c r="EE188" s="211">
        <v>6</v>
      </c>
      <c r="EF188" s="32">
        <f t="shared" si="358"/>
        <v>24.87916666666667</v>
      </c>
      <c r="EG188" s="38">
        <f t="shared" si="359"/>
        <v>25.594871794871796</v>
      </c>
      <c r="EH188" s="38">
        <f t="shared" si="360"/>
        <v>29.536936936936932</v>
      </c>
      <c r="EI188" s="38">
        <f t="shared" si="361"/>
        <v>30.975000000000001</v>
      </c>
      <c r="EJ188" s="39">
        <f t="shared" si="362"/>
        <v>33.518750000000004</v>
      </c>
    </row>
    <row r="189" spans="5:140" x14ac:dyDescent="0.2">
      <c r="E189" s="86" t="s">
        <v>39</v>
      </c>
      <c r="J189" s="96" t="s">
        <v>19</v>
      </c>
      <c r="K189" s="97">
        <v>22</v>
      </c>
      <c r="L189" s="465">
        <f t="shared" si="363"/>
        <v>1</v>
      </c>
      <c r="N189" s="88">
        <v>7</v>
      </c>
      <c r="O189" s="95">
        <v>1</v>
      </c>
      <c r="P189" s="90"/>
      <c r="Q189" s="99">
        <f>O189/(L189-Q182)</f>
        <v>1.4098360655737707</v>
      </c>
      <c r="R189" s="100">
        <f>O189/(L189-R182)</f>
        <v>1.323076923076923</v>
      </c>
      <c r="S189" s="100">
        <f>O189/(L189-S182)</f>
        <v>1.1168831168831168</v>
      </c>
      <c r="T189" s="100">
        <f>O189/(L189-T182)</f>
        <v>1.2112676056338028</v>
      </c>
      <c r="U189" s="100">
        <f>O189/(L189-U182)</f>
        <v>1.2285714285714286</v>
      </c>
      <c r="V189" s="102">
        <f t="shared" si="336"/>
        <v>6.2896351397390422</v>
      </c>
      <c r="W189" s="88">
        <v>7</v>
      </c>
      <c r="X189" s="32">
        <f t="shared" si="337"/>
        <v>32.631444353476098</v>
      </c>
      <c r="Y189" s="38">
        <f t="shared" si="338"/>
        <v>28.167904954357383</v>
      </c>
      <c r="Z189" s="38">
        <f t="shared" si="339"/>
        <v>25.169283100334987</v>
      </c>
      <c r="AA189" s="38">
        <f t="shared" si="340"/>
        <v>32.292636510351002</v>
      </c>
      <c r="AB189" s="39">
        <f t="shared" si="341"/>
        <v>27.750661538245723</v>
      </c>
      <c r="AG189" s="86" t="s">
        <v>39</v>
      </c>
      <c r="AL189" s="96" t="s">
        <v>19</v>
      </c>
      <c r="AM189" s="97">
        <v>1</v>
      </c>
      <c r="AN189" s="465">
        <f t="shared" si="364"/>
        <v>1</v>
      </c>
      <c r="AP189" s="88">
        <v>7</v>
      </c>
      <c r="AQ189" s="95">
        <v>4</v>
      </c>
      <c r="AR189" s="90"/>
      <c r="AS189" s="99">
        <f>AQ189/(AN189-AS182)</f>
        <v>4.2077922077922079</v>
      </c>
      <c r="AT189" s="100">
        <f>AQ189/(AN189-AT182)</f>
        <v>5.7857142857142865</v>
      </c>
      <c r="AU189" s="100">
        <f>AQ189/(AN189-AU182)</f>
        <v>4.7647058823529411</v>
      </c>
      <c r="AV189" s="100">
        <f>AQ189/(AN189-AV182)</f>
        <v>5.225806451612903</v>
      </c>
      <c r="AW189" s="100">
        <f>AQ189/(AN189-AW182)</f>
        <v>5.3114754098360653</v>
      </c>
      <c r="AX189" s="102">
        <f t="shared" si="342"/>
        <v>25.295494237308404</v>
      </c>
      <c r="AY189" s="98">
        <v>7</v>
      </c>
      <c r="AZ189" s="32">
        <f t="shared" si="333"/>
        <v>28.88455225787256</v>
      </c>
      <c r="BA189" s="38">
        <f t="shared" si="343"/>
        <v>30.667963900029317</v>
      </c>
      <c r="BB189" s="38">
        <f t="shared" si="344"/>
        <v>27.002850841022358</v>
      </c>
      <c r="BC189" s="38">
        <f t="shared" si="345"/>
        <v>28.281262929580073</v>
      </c>
      <c r="BD189" s="39">
        <f t="shared" si="346"/>
        <v>30.2679837761094</v>
      </c>
      <c r="BI189" s="86" t="s">
        <v>39</v>
      </c>
      <c r="BN189" s="96" t="s">
        <v>19</v>
      </c>
      <c r="BO189" s="97">
        <v>13</v>
      </c>
      <c r="BP189" s="465">
        <f t="shared" si="365"/>
        <v>1</v>
      </c>
      <c r="BR189" s="88">
        <v>7</v>
      </c>
      <c r="BS189" s="95">
        <v>2</v>
      </c>
      <c r="BT189" s="90"/>
      <c r="BU189" s="99">
        <f>BS189/(BP189-BU182)</f>
        <v>2.64</v>
      </c>
      <c r="BV189" s="100">
        <f>BS189/(BP189-BV182)</f>
        <v>2.4444444444444446</v>
      </c>
      <c r="BW189" s="100">
        <f>BS189/(BP189-BW182)</f>
        <v>3.2195121951219514</v>
      </c>
      <c r="BX189" s="100">
        <f>BS189/(BP189-BX182)</f>
        <v>2.2000000000000002</v>
      </c>
      <c r="BY189" s="100">
        <f>BS189/(BP189-BY182)</f>
        <v>2.2372881355932206</v>
      </c>
      <c r="BZ189" s="102">
        <f t="shared" si="347"/>
        <v>12.741244775159618</v>
      </c>
      <c r="CA189" s="211">
        <v>7</v>
      </c>
      <c r="CB189" s="32">
        <f t="shared" si="334"/>
        <v>28.456952632822873</v>
      </c>
      <c r="CC189" s="38">
        <f t="shared" si="348"/>
        <v>27.96140692850333</v>
      </c>
      <c r="CD189" s="38">
        <f t="shared" si="349"/>
        <v>34.314581318787646</v>
      </c>
      <c r="CE189" s="38">
        <f t="shared" si="350"/>
        <v>25.913817596495839</v>
      </c>
      <c r="CF189" s="39">
        <f t="shared" si="351"/>
        <v>27.359415701321794</v>
      </c>
      <c r="CK189" s="86" t="s">
        <v>39</v>
      </c>
      <c r="CP189" s="96" t="s">
        <v>19</v>
      </c>
      <c r="CQ189" s="97">
        <v>7</v>
      </c>
      <c r="CR189" s="465">
        <f t="shared" si="366"/>
        <v>1</v>
      </c>
      <c r="CT189" s="88">
        <v>7</v>
      </c>
      <c r="CU189" s="95">
        <v>8</v>
      </c>
      <c r="CV189" s="90"/>
      <c r="CW189" s="99">
        <f>CU189/(CR189-CW182)</f>
        <v>9.5686274509803919</v>
      </c>
      <c r="CX189" s="100">
        <f>CU189/(CR189-CX182)</f>
        <v>8.872727272727273</v>
      </c>
      <c r="CY189" s="100">
        <f>CU189/(CR189-CY182)</f>
        <v>11.619047619047619</v>
      </c>
      <c r="CZ189" s="100">
        <f>CU189/(CR189-CZ182)</f>
        <v>13.555555555555555</v>
      </c>
      <c r="DA189" s="100">
        <f>CU189/(CR189-DA182)</f>
        <v>8.1333333333333329</v>
      </c>
      <c r="DB189" s="102">
        <f t="shared" si="352"/>
        <v>51.749291231644172</v>
      </c>
      <c r="DC189" s="211">
        <v>7</v>
      </c>
      <c r="DD189" s="32">
        <f t="shared" si="335"/>
        <v>25.759585367805972</v>
      </c>
      <c r="DE189" s="38">
        <f t="shared" si="353"/>
        <v>25.936299211279248</v>
      </c>
      <c r="DF189" s="38">
        <f t="shared" si="354"/>
        <v>31.67208563624898</v>
      </c>
      <c r="DG189" s="38">
        <f t="shared" si="355"/>
        <v>34.785578105557292</v>
      </c>
      <c r="DH189" s="39">
        <f t="shared" si="356"/>
        <v>26.216801408788918</v>
      </c>
      <c r="DM189" s="86" t="s">
        <v>39</v>
      </c>
      <c r="DR189" s="96" t="s">
        <v>19</v>
      </c>
      <c r="DS189" s="103">
        <v>6</v>
      </c>
      <c r="DT189" s="465">
        <f t="shared" si="367"/>
        <v>1</v>
      </c>
      <c r="DV189" s="88">
        <v>7</v>
      </c>
      <c r="DW189" s="95">
        <v>5</v>
      </c>
      <c r="DX189" s="90"/>
      <c r="DY189" s="99">
        <f>DW189/(DT189-DY182)</f>
        <v>5.625</v>
      </c>
      <c r="DZ189" s="100">
        <f>DW189/(DT189-DZ182)</f>
        <v>5.3289473684210531</v>
      </c>
      <c r="EA189" s="100">
        <f>DW189/(DT189-EA182)</f>
        <v>6.4285714285714288</v>
      </c>
      <c r="EB189" s="100">
        <f>DW189/(DT189-EB182)</f>
        <v>7.1052631578947363</v>
      </c>
      <c r="EC189" s="100">
        <f>DW189/(DT189-EC182)</f>
        <v>7.2321428571428577</v>
      </c>
      <c r="ED189" s="102">
        <f t="shared" si="357"/>
        <v>31.719924812030076</v>
      </c>
      <c r="EE189" s="211">
        <v>7</v>
      </c>
      <c r="EF189" s="32">
        <f t="shared" si="358"/>
        <v>24.87916666666667</v>
      </c>
      <c r="EG189" s="38">
        <f t="shared" si="359"/>
        <v>25.594871794871796</v>
      </c>
      <c r="EH189" s="38">
        <f t="shared" si="360"/>
        <v>29.536936936936936</v>
      </c>
      <c r="EI189" s="38">
        <f t="shared" si="361"/>
        <v>30.974999999999998</v>
      </c>
      <c r="EJ189" s="39">
        <f t="shared" si="362"/>
        <v>33.518749999999997</v>
      </c>
    </row>
    <row r="190" spans="5:140" x14ac:dyDescent="0.2">
      <c r="E190" s="86" t="s">
        <v>39</v>
      </c>
      <c r="J190" s="96" t="s">
        <v>2</v>
      </c>
      <c r="K190" s="39">
        <v>23</v>
      </c>
      <c r="L190" s="465">
        <f t="shared" si="363"/>
        <v>1</v>
      </c>
      <c r="N190" s="88">
        <v>8</v>
      </c>
      <c r="O190" s="95">
        <v>4</v>
      </c>
      <c r="P190" s="90"/>
      <c r="Q190" s="99">
        <f>O190/(L190-Q182)</f>
        <v>5.6393442622950829</v>
      </c>
      <c r="R190" s="100">
        <f>O190/(L190-R182)</f>
        <v>5.2923076923076922</v>
      </c>
      <c r="S190" s="100">
        <f>O190/(L190-S182)</f>
        <v>4.4675324675324672</v>
      </c>
      <c r="T190" s="100">
        <f>O190/(L190-T182)</f>
        <v>4.845070422535211</v>
      </c>
      <c r="U190" s="100">
        <f>O190/(L190-U182)</f>
        <v>4.9142857142857146</v>
      </c>
      <c r="V190" s="102">
        <f t="shared" si="336"/>
        <v>25.158540558956169</v>
      </c>
      <c r="W190" s="88">
        <v>8</v>
      </c>
      <c r="X190" s="32">
        <f t="shared" si="337"/>
        <v>34.090903812935558</v>
      </c>
      <c r="Y190" s="38">
        <f t="shared" si="338"/>
        <v>29.186772878885684</v>
      </c>
      <c r="Z190" s="38">
        <f t="shared" si="339"/>
        <v>26.228106629746748</v>
      </c>
      <c r="AA190" s="38">
        <f t="shared" si="340"/>
        <v>34.154705475868248</v>
      </c>
      <c r="AB190" s="39">
        <f t="shared" si="341"/>
        <v>28.924574581723981</v>
      </c>
      <c r="AG190" s="86" t="s">
        <v>39</v>
      </c>
      <c r="AL190" s="96" t="s">
        <v>2</v>
      </c>
      <c r="AM190" s="39">
        <v>2</v>
      </c>
      <c r="AN190" s="465">
        <f t="shared" si="364"/>
        <v>1</v>
      </c>
      <c r="AP190" s="88">
        <v>8</v>
      </c>
      <c r="AQ190" s="95">
        <v>2</v>
      </c>
      <c r="AR190" s="90"/>
      <c r="AS190" s="99">
        <f>AQ190/(AN190-AS182)</f>
        <v>2.1038961038961039</v>
      </c>
      <c r="AT190" s="100">
        <f>AQ190/(AN190-AT182)</f>
        <v>2.8928571428571432</v>
      </c>
      <c r="AU190" s="100">
        <f>AQ190/(AN190-AU182)</f>
        <v>2.3823529411764706</v>
      </c>
      <c r="AV190" s="100">
        <f>AQ190/(AN190-AV182)</f>
        <v>2.6129032258064515</v>
      </c>
      <c r="AW190" s="100">
        <f>AQ190/(AN190-AW182)</f>
        <v>2.6557377049180326</v>
      </c>
      <c r="AX190" s="102">
        <f t="shared" si="342"/>
        <v>12.647747118654202</v>
      </c>
      <c r="AY190" s="98">
        <v>8</v>
      </c>
      <c r="AZ190" s="32">
        <f t="shared" si="333"/>
        <v>30.63455225787256</v>
      </c>
      <c r="BA190" s="38">
        <f t="shared" si="343"/>
        <v>31.78160026366568</v>
      </c>
      <c r="BB190" s="38">
        <f t="shared" si="344"/>
        <v>28.169517507689022</v>
      </c>
      <c r="BC190" s="38">
        <f t="shared" si="345"/>
        <v>29.370151818468962</v>
      </c>
      <c r="BD190" s="39">
        <f t="shared" si="346"/>
        <v>31.592308100433726</v>
      </c>
      <c r="BI190" s="86" t="s">
        <v>39</v>
      </c>
      <c r="BN190" s="96" t="s">
        <v>2</v>
      </c>
      <c r="BO190" s="39">
        <v>14</v>
      </c>
      <c r="BP190" s="465">
        <f t="shared" si="365"/>
        <v>1</v>
      </c>
      <c r="BR190" s="88">
        <v>8</v>
      </c>
      <c r="BS190" s="95">
        <v>8</v>
      </c>
      <c r="BT190" s="90"/>
      <c r="BU190" s="99">
        <f>BS190/(BP190-BU182)</f>
        <v>10.56</v>
      </c>
      <c r="BV190" s="100">
        <f>BS190/(BP190-BV182)</f>
        <v>9.7777777777777786</v>
      </c>
      <c r="BW190" s="100">
        <f>BS190/(BP190-BW182)</f>
        <v>12.878048780487806</v>
      </c>
      <c r="BX190" s="100">
        <f>BS190/(BP190-BX182)</f>
        <v>8.8000000000000007</v>
      </c>
      <c r="BY190" s="100">
        <f>BS190/(BP190-BY182)</f>
        <v>8.9491525423728824</v>
      </c>
      <c r="BZ190" s="102">
        <f t="shared" si="347"/>
        <v>50.964979100638473</v>
      </c>
      <c r="CA190" s="211">
        <v>8</v>
      </c>
      <c r="CB190" s="32">
        <f t="shared" si="334"/>
        <v>29.562215790717609</v>
      </c>
      <c r="CC190" s="38">
        <f t="shared" si="348"/>
        <v>29.215138271786913</v>
      </c>
      <c r="CD190" s="38">
        <f t="shared" si="349"/>
        <v>35.606889011095333</v>
      </c>
      <c r="CE190" s="38">
        <f t="shared" si="350"/>
        <v>27.149111714142901</v>
      </c>
      <c r="CF190" s="39">
        <f t="shared" si="351"/>
        <v>28.759415701321792</v>
      </c>
      <c r="CK190" s="86" t="s">
        <v>39</v>
      </c>
      <c r="CP190" s="96" t="s">
        <v>2</v>
      </c>
      <c r="CQ190" s="39">
        <v>8</v>
      </c>
      <c r="CR190" s="465">
        <f t="shared" si="366"/>
        <v>1</v>
      </c>
      <c r="CT190" s="88">
        <v>8</v>
      </c>
      <c r="CU190" s="95">
        <v>5</v>
      </c>
      <c r="CV190" s="90"/>
      <c r="CW190" s="99">
        <f>CU190/(CR190-CW182)</f>
        <v>5.9803921568627452</v>
      </c>
      <c r="CX190" s="100">
        <f>CU190/(CR190-CX182)</f>
        <v>5.5454545454545459</v>
      </c>
      <c r="CY190" s="100">
        <f>CU190/(CR190-CY182)</f>
        <v>7.2619047619047619</v>
      </c>
      <c r="CZ190" s="100">
        <f>CU190/(CR190-CZ182)</f>
        <v>8.4722222222222232</v>
      </c>
      <c r="DA190" s="100">
        <f>CU190/(CR190-DA182)</f>
        <v>5.083333333333333</v>
      </c>
      <c r="DB190" s="102">
        <f t="shared" si="352"/>
        <v>32.343307019777612</v>
      </c>
      <c r="DC190" s="211">
        <v>8</v>
      </c>
      <c r="DD190" s="32">
        <f t="shared" si="335"/>
        <v>26.798046906267508</v>
      </c>
      <c r="DE190" s="38">
        <f t="shared" si="353"/>
        <v>27.192113164767619</v>
      </c>
      <c r="DF190" s="38">
        <f t="shared" si="354"/>
        <v>32.989158806980683</v>
      </c>
      <c r="DG190" s="38">
        <f t="shared" si="355"/>
        <v>36.012850832830019</v>
      </c>
      <c r="DH190" s="39">
        <f t="shared" si="356"/>
        <v>27.716801408788918</v>
      </c>
      <c r="DM190" s="86" t="s">
        <v>39</v>
      </c>
      <c r="DR190" s="96" t="s">
        <v>2</v>
      </c>
      <c r="DS190" s="101">
        <v>7</v>
      </c>
      <c r="DT190" s="465">
        <f t="shared" si="367"/>
        <v>1</v>
      </c>
      <c r="DV190" s="88">
        <v>8</v>
      </c>
      <c r="DW190" s="95">
        <v>7</v>
      </c>
      <c r="DX190" s="90"/>
      <c r="DY190" s="99">
        <f>DW190/(DT190-DY182)</f>
        <v>7.875</v>
      </c>
      <c r="DZ190" s="100">
        <f>DW190/(DT190-DZ182)</f>
        <v>7.4605263157894743</v>
      </c>
      <c r="EA190" s="100">
        <f>DW190/(DT190-EA182)</f>
        <v>9</v>
      </c>
      <c r="EB190" s="100">
        <f>DW190/(DT190-EB182)</f>
        <v>9.9473684210526319</v>
      </c>
      <c r="EC190" s="100">
        <f>DW190/(DT190-EC182)</f>
        <v>10.125</v>
      </c>
      <c r="ED190" s="102">
        <f t="shared" si="357"/>
        <v>44.407894736842103</v>
      </c>
      <c r="EE190" s="211">
        <v>8</v>
      </c>
      <c r="EF190" s="32">
        <f t="shared" si="358"/>
        <v>25.9</v>
      </c>
      <c r="EG190" s="38">
        <f t="shared" si="359"/>
        <v>26.851282051282055</v>
      </c>
      <c r="EH190" s="38">
        <f t="shared" si="360"/>
        <v>30.861261261261262</v>
      </c>
      <c r="EI190" s="38">
        <f t="shared" si="361"/>
        <v>32.200000000000003</v>
      </c>
      <c r="EJ190" s="39">
        <f t="shared" si="362"/>
        <v>35.049999999999997</v>
      </c>
    </row>
    <row r="191" spans="5:140" x14ac:dyDescent="0.2">
      <c r="E191" s="86" t="s">
        <v>39</v>
      </c>
      <c r="J191" s="96" t="s">
        <v>18</v>
      </c>
      <c r="K191" s="97">
        <v>24</v>
      </c>
      <c r="L191" s="465">
        <f t="shared" si="363"/>
        <v>1</v>
      </c>
      <c r="N191" s="88">
        <v>9</v>
      </c>
      <c r="O191" s="95">
        <v>2</v>
      </c>
      <c r="P191" s="90"/>
      <c r="Q191" s="99">
        <f>O191/(L191-Q182)</f>
        <v>2.8196721311475414</v>
      </c>
      <c r="R191" s="100">
        <f>O191/(L191-R182)</f>
        <v>2.6461538461538461</v>
      </c>
      <c r="S191" s="100">
        <f>O191/(L191-S182)</f>
        <v>2.2337662337662336</v>
      </c>
      <c r="T191" s="100">
        <f>O191/(L191-T182)</f>
        <v>2.4225352112676055</v>
      </c>
      <c r="U191" s="100">
        <f>O191/(L191-U182)</f>
        <v>2.4571428571428573</v>
      </c>
      <c r="V191" s="102">
        <f t="shared" si="336"/>
        <v>12.579270279478084</v>
      </c>
      <c r="W191" s="88">
        <v>9</v>
      </c>
      <c r="X191" s="32">
        <f t="shared" si="337"/>
        <v>35.550363272395018</v>
      </c>
      <c r="Y191" s="38">
        <f t="shared" si="338"/>
        <v>30.205640803413985</v>
      </c>
      <c r="Z191" s="38">
        <f t="shared" si="339"/>
        <v>27.286930159158516</v>
      </c>
      <c r="AA191" s="38">
        <f t="shared" si="340"/>
        <v>36.016774441385493</v>
      </c>
      <c r="AB191" s="39">
        <f t="shared" si="341"/>
        <v>30.098487625202242</v>
      </c>
      <c r="AG191" s="86" t="s">
        <v>39</v>
      </c>
      <c r="AL191" s="96" t="s">
        <v>18</v>
      </c>
      <c r="AM191" s="97">
        <v>3</v>
      </c>
      <c r="AN191" s="465">
        <f t="shared" si="364"/>
        <v>1</v>
      </c>
      <c r="AP191" s="88">
        <v>9</v>
      </c>
      <c r="AQ191" s="95">
        <v>8</v>
      </c>
      <c r="AR191" s="90"/>
      <c r="AS191" s="99">
        <f>AQ191/(AN191-AS182)</f>
        <v>8.4155844155844157</v>
      </c>
      <c r="AT191" s="100">
        <f>AQ191/(AN191-AT182)</f>
        <v>11.571428571428573</v>
      </c>
      <c r="AU191" s="100">
        <f>AQ191/(AN191-AU182)</f>
        <v>9.5294117647058822</v>
      </c>
      <c r="AV191" s="100">
        <f>AQ191/(AN191-AV182)</f>
        <v>10.451612903225806</v>
      </c>
      <c r="AW191" s="100">
        <f>AQ191/(AN191-AW182)</f>
        <v>10.622950819672131</v>
      </c>
      <c r="AX191" s="102">
        <f t="shared" si="342"/>
        <v>50.590988474616807</v>
      </c>
      <c r="AY191" s="98">
        <v>9</v>
      </c>
      <c r="AZ191" s="32">
        <f t="shared" si="333"/>
        <v>32.384552257872556</v>
      </c>
      <c r="BA191" s="38">
        <f t="shared" si="343"/>
        <v>32.89523662730204</v>
      </c>
      <c r="BB191" s="38">
        <f t="shared" si="344"/>
        <v>29.33618417435569</v>
      </c>
      <c r="BC191" s="38">
        <f t="shared" si="345"/>
        <v>30.45904070735785</v>
      </c>
      <c r="BD191" s="39">
        <f t="shared" si="346"/>
        <v>32.916632424758049</v>
      </c>
      <c r="BI191" s="86" t="s">
        <v>39</v>
      </c>
      <c r="BN191" s="96" t="s">
        <v>18</v>
      </c>
      <c r="BO191" s="97">
        <v>15</v>
      </c>
      <c r="BP191" s="465">
        <f t="shared" si="365"/>
        <v>1</v>
      </c>
      <c r="BR191" s="88">
        <v>9</v>
      </c>
      <c r="BS191" s="95">
        <v>5</v>
      </c>
      <c r="BT191" s="90"/>
      <c r="BU191" s="99">
        <f>BS191/(BP191-BU182)</f>
        <v>6.6</v>
      </c>
      <c r="BV191" s="100">
        <f>BS191/(BP191-BV182)</f>
        <v>6.1111111111111116</v>
      </c>
      <c r="BW191" s="100">
        <f>BS191/(BP191-BW182)</f>
        <v>8.0487804878048781</v>
      </c>
      <c r="BX191" s="100">
        <f>BS191/(BP191-BX182)</f>
        <v>5.5</v>
      </c>
      <c r="BY191" s="100">
        <f>BS191/(BP191-BY182)</f>
        <v>5.593220338983051</v>
      </c>
      <c r="BZ191" s="102">
        <f t="shared" si="347"/>
        <v>31.853111937899044</v>
      </c>
      <c r="CA191" s="211">
        <v>9</v>
      </c>
      <c r="CB191" s="32">
        <f t="shared" si="334"/>
        <v>30.667478948612342</v>
      </c>
      <c r="CC191" s="38">
        <f t="shared" si="348"/>
        <v>30.468869615070496</v>
      </c>
      <c r="CD191" s="38">
        <f t="shared" si="349"/>
        <v>36.899196703403028</v>
      </c>
      <c r="CE191" s="38">
        <f t="shared" si="350"/>
        <v>28.384405831789959</v>
      </c>
      <c r="CF191" s="39">
        <f t="shared" si="351"/>
        <v>30.159415701321791</v>
      </c>
      <c r="CK191" s="86" t="s">
        <v>39</v>
      </c>
      <c r="CP191" s="96" t="s">
        <v>18</v>
      </c>
      <c r="CQ191" s="97">
        <v>9</v>
      </c>
      <c r="CR191" s="465">
        <f t="shared" si="366"/>
        <v>1</v>
      </c>
      <c r="CT191" s="88">
        <v>9</v>
      </c>
      <c r="CU191" s="95">
        <v>7</v>
      </c>
      <c r="CV191" s="90"/>
      <c r="CW191" s="99">
        <f>CU191/(CR191-CW182)</f>
        <v>8.3725490196078436</v>
      </c>
      <c r="CX191" s="100">
        <f>CU191/(CR191-CX182)</f>
        <v>7.7636363636363637</v>
      </c>
      <c r="CY191" s="100">
        <f>CU191/(CR191-CY182)</f>
        <v>10.166666666666666</v>
      </c>
      <c r="CZ191" s="100">
        <f>CU191/(CR191-CZ182)</f>
        <v>11.861111111111111</v>
      </c>
      <c r="DA191" s="100">
        <f>CU191/(CR191-DA182)</f>
        <v>7.1166666666666671</v>
      </c>
      <c r="DB191" s="102">
        <f t="shared" si="352"/>
        <v>45.280629827688649</v>
      </c>
      <c r="DC191" s="211">
        <v>9</v>
      </c>
      <c r="DD191" s="32">
        <f t="shared" si="335"/>
        <v>27.836508444729049</v>
      </c>
      <c r="DE191" s="38">
        <f t="shared" si="353"/>
        <v>28.447927118255997</v>
      </c>
      <c r="DF191" s="38">
        <f t="shared" si="354"/>
        <v>34.306231977712393</v>
      </c>
      <c r="DG191" s="38">
        <f t="shared" si="355"/>
        <v>37.240123560102745</v>
      </c>
      <c r="DH191" s="39">
        <f t="shared" si="356"/>
        <v>29.216801408788925</v>
      </c>
      <c r="DM191" s="86" t="s">
        <v>39</v>
      </c>
      <c r="DR191" s="96" t="s">
        <v>18</v>
      </c>
      <c r="DS191" s="101">
        <v>8</v>
      </c>
      <c r="DT191" s="465">
        <f t="shared" si="367"/>
        <v>1</v>
      </c>
      <c r="DV191" s="88">
        <v>9</v>
      </c>
      <c r="DW191" s="95">
        <v>1</v>
      </c>
      <c r="DX191" s="90"/>
      <c r="DY191" s="99">
        <f>DW191/(DT191-DY182)</f>
        <v>1.125</v>
      </c>
      <c r="DZ191" s="100">
        <f>DW191/(DT191-DZ182)</f>
        <v>1.0657894736842106</v>
      </c>
      <c r="EA191" s="100">
        <f>DW191/(DT191-EA182)</f>
        <v>1.2857142857142856</v>
      </c>
      <c r="EB191" s="100">
        <f>DW191/(DT191-EB182)</f>
        <v>1.4210526315789473</v>
      </c>
      <c r="EC191" s="100">
        <f>DW191/(DT191-EC182)</f>
        <v>1.4464285714285716</v>
      </c>
      <c r="ED191" s="102">
        <f t="shared" si="357"/>
        <v>6.3439849624060152</v>
      </c>
      <c r="EE191" s="211">
        <v>9</v>
      </c>
      <c r="EF191" s="32">
        <f t="shared" si="358"/>
        <v>26.920833333333334</v>
      </c>
      <c r="EG191" s="38">
        <f t="shared" si="359"/>
        <v>28.107692307692311</v>
      </c>
      <c r="EH191" s="38">
        <f t="shared" si="360"/>
        <v>32.185585585585585</v>
      </c>
      <c r="EI191" s="38">
        <f t="shared" si="361"/>
        <v>33.425000000000004</v>
      </c>
      <c r="EJ191" s="39">
        <f t="shared" si="362"/>
        <v>36.581250000000004</v>
      </c>
    </row>
    <row r="192" spans="5:140" ht="15" thickBot="1" x14ac:dyDescent="0.25">
      <c r="E192" s="86" t="s">
        <v>39</v>
      </c>
      <c r="J192" s="132" t="s">
        <v>22</v>
      </c>
      <c r="K192" s="133">
        <v>25</v>
      </c>
      <c r="L192" s="465">
        <f t="shared" si="363"/>
        <v>1</v>
      </c>
      <c r="N192" s="88">
        <v>10</v>
      </c>
      <c r="O192" s="95">
        <v>8</v>
      </c>
      <c r="P192" s="90"/>
      <c r="Q192" s="99">
        <f>O192/(L192-Q182)</f>
        <v>11.278688524590166</v>
      </c>
      <c r="R192" s="100">
        <f>O192/(L192-R182)</f>
        <v>10.584615384615384</v>
      </c>
      <c r="S192" s="100">
        <f>O192/(L192-S182)</f>
        <v>8.9350649350649345</v>
      </c>
      <c r="T192" s="100">
        <f>O192/(L192-T182)</f>
        <v>9.6901408450704221</v>
      </c>
      <c r="U192" s="100">
        <f>O192/(L192-U182)</f>
        <v>9.8285714285714292</v>
      </c>
      <c r="V192" s="102">
        <f t="shared" si="336"/>
        <v>50.317081117912338</v>
      </c>
      <c r="W192" s="88">
        <v>10</v>
      </c>
      <c r="X192" s="32">
        <f t="shared" si="337"/>
        <v>35.550363272395018</v>
      </c>
      <c r="Y192" s="38">
        <f t="shared" si="338"/>
        <v>30.205640803413985</v>
      </c>
      <c r="Z192" s="38">
        <f t="shared" si="339"/>
        <v>27.286930159158516</v>
      </c>
      <c r="AA192" s="38">
        <f t="shared" si="340"/>
        <v>36.016774441385493</v>
      </c>
      <c r="AB192" s="39">
        <f t="shared" si="341"/>
        <v>30.098487625202242</v>
      </c>
      <c r="AG192" s="86" t="s">
        <v>39</v>
      </c>
      <c r="AL192" s="119" t="s">
        <v>22</v>
      </c>
      <c r="AM192" s="71">
        <v>4</v>
      </c>
      <c r="AN192" s="465">
        <f t="shared" si="364"/>
        <v>1</v>
      </c>
      <c r="AP192" s="88">
        <v>10</v>
      </c>
      <c r="AQ192" s="95">
        <v>5</v>
      </c>
      <c r="AR192" s="90"/>
      <c r="AS192" s="99">
        <f>AQ192/(AN192-AS182)</f>
        <v>5.2597402597402594</v>
      </c>
      <c r="AT192" s="100">
        <f>AQ192/(AN192-AT182)</f>
        <v>7.2321428571428577</v>
      </c>
      <c r="AU192" s="100">
        <f>AQ192/(AN192-AU182)</f>
        <v>5.9558823529411766</v>
      </c>
      <c r="AV192" s="100">
        <f>AQ192/(AN192-AV182)</f>
        <v>6.5322580645161281</v>
      </c>
      <c r="AW192" s="100">
        <f>AQ192/(AN192-AW182)</f>
        <v>6.639344262295082</v>
      </c>
      <c r="AX192" s="102">
        <f t="shared" si="342"/>
        <v>31.619367796635505</v>
      </c>
      <c r="AY192" s="98">
        <v>10</v>
      </c>
      <c r="AZ192" s="32">
        <f t="shared" si="333"/>
        <v>32.384552257872556</v>
      </c>
      <c r="BA192" s="38">
        <f t="shared" si="343"/>
        <v>32.89523662730204</v>
      </c>
      <c r="BB192" s="38">
        <f t="shared" si="344"/>
        <v>29.33618417435569</v>
      </c>
      <c r="BC192" s="38">
        <f t="shared" si="345"/>
        <v>30.45904070735785</v>
      </c>
      <c r="BD192" s="39">
        <f t="shared" si="346"/>
        <v>32.916632424758049</v>
      </c>
      <c r="BI192" s="86" t="s">
        <v>39</v>
      </c>
      <c r="BN192" s="119" t="s">
        <v>22</v>
      </c>
      <c r="BO192" s="71">
        <v>16</v>
      </c>
      <c r="BP192" s="465">
        <f t="shared" si="365"/>
        <v>1</v>
      </c>
      <c r="BR192" s="88">
        <v>10</v>
      </c>
      <c r="BS192" s="107">
        <v>7</v>
      </c>
      <c r="BT192" s="90"/>
      <c r="BU192" s="99">
        <f>BS192/(BP192-BU182)</f>
        <v>9.24</v>
      </c>
      <c r="BV192" s="100">
        <f>BS192/(BP192-BV182)</f>
        <v>8.5555555555555554</v>
      </c>
      <c r="BW192" s="100">
        <f>BS192/(BP192-BW182)</f>
        <v>11.268292682926829</v>
      </c>
      <c r="BX192" s="100">
        <f>BS192/(BP192-BX182)</f>
        <v>7.7</v>
      </c>
      <c r="BY192" s="100">
        <f>BS192/(BP192-BY182)</f>
        <v>7.8305084745762716</v>
      </c>
      <c r="BZ192" s="102">
        <f t="shared" si="347"/>
        <v>44.594356713058659</v>
      </c>
      <c r="CA192" s="211">
        <v>10</v>
      </c>
      <c r="CB192" s="32">
        <f t="shared" si="334"/>
        <v>30.667478948612349</v>
      </c>
      <c r="CC192" s="38">
        <f t="shared" si="348"/>
        <v>30.468869615070496</v>
      </c>
      <c r="CD192" s="38">
        <f t="shared" si="349"/>
        <v>36.899196703403028</v>
      </c>
      <c r="CE192" s="38">
        <f t="shared" si="350"/>
        <v>28.384405831789959</v>
      </c>
      <c r="CF192" s="39">
        <f t="shared" si="351"/>
        <v>30.159415701321791</v>
      </c>
      <c r="CK192" s="86" t="s">
        <v>39</v>
      </c>
      <c r="CP192" s="119" t="s">
        <v>22</v>
      </c>
      <c r="CQ192" s="71">
        <v>10</v>
      </c>
      <c r="CR192" s="465">
        <f t="shared" si="366"/>
        <v>1</v>
      </c>
      <c r="CT192" s="88">
        <v>10</v>
      </c>
      <c r="CU192" s="107">
        <v>1</v>
      </c>
      <c r="CV192" s="90"/>
      <c r="CW192" s="99">
        <f>CU192/(CR192-CW182)</f>
        <v>1.196078431372549</v>
      </c>
      <c r="CX192" s="100">
        <f>CU192/(CR192-CX182)</f>
        <v>1.1090909090909091</v>
      </c>
      <c r="CY192" s="100">
        <f>CU192/(CR192-CY182)</f>
        <v>1.4523809523809523</v>
      </c>
      <c r="CZ192" s="100">
        <f>CU192/(CR192-CZ182)</f>
        <v>1.6944444444444444</v>
      </c>
      <c r="DA192" s="100">
        <f>CU192/(CR192-DA182)</f>
        <v>1.0166666666666666</v>
      </c>
      <c r="DB192" s="102">
        <f t="shared" si="352"/>
        <v>6.4686614039555215</v>
      </c>
      <c r="DC192" s="211">
        <v>10</v>
      </c>
      <c r="DD192" s="32">
        <f t="shared" si="335"/>
        <v>27.836508444729049</v>
      </c>
      <c r="DE192" s="38">
        <f t="shared" si="353"/>
        <v>28.447927118255997</v>
      </c>
      <c r="DF192" s="38">
        <f t="shared" si="354"/>
        <v>34.306231977712393</v>
      </c>
      <c r="DG192" s="38">
        <f t="shared" si="355"/>
        <v>37.240123560102745</v>
      </c>
      <c r="DH192" s="39">
        <f t="shared" si="356"/>
        <v>29.216801408788918</v>
      </c>
      <c r="DM192" s="86" t="s">
        <v>39</v>
      </c>
      <c r="DR192" s="119" t="s">
        <v>22</v>
      </c>
      <c r="DS192" s="152">
        <v>9</v>
      </c>
      <c r="DT192" s="465">
        <f t="shared" si="367"/>
        <v>1</v>
      </c>
      <c r="DV192" s="88">
        <v>10</v>
      </c>
      <c r="DW192" s="107">
        <v>4</v>
      </c>
      <c r="DX192" s="90"/>
      <c r="DY192" s="99">
        <f>DW192/(DT192-DY182)</f>
        <v>4.5</v>
      </c>
      <c r="DZ192" s="100">
        <f>DW192/(DT192-DZ182)</f>
        <v>4.2631578947368425</v>
      </c>
      <c r="EA192" s="100">
        <f>DW192/(DT192-EA182)</f>
        <v>5.1428571428571423</v>
      </c>
      <c r="EB192" s="100">
        <f>DW192/(DT192-EB182)</f>
        <v>5.6842105263157894</v>
      </c>
      <c r="EC192" s="100">
        <f>DW192/(DT192-EC182)</f>
        <v>5.7857142857142865</v>
      </c>
      <c r="ED192" s="102">
        <f t="shared" si="357"/>
        <v>25.375939849624061</v>
      </c>
      <c r="EE192" s="211">
        <v>10</v>
      </c>
      <c r="EF192" s="32">
        <f t="shared" si="358"/>
        <v>26.920833333333334</v>
      </c>
      <c r="EG192" s="38">
        <f t="shared" si="359"/>
        <v>28.107692307692311</v>
      </c>
      <c r="EH192" s="38">
        <f t="shared" si="360"/>
        <v>32.185585585585585</v>
      </c>
      <c r="EI192" s="38">
        <f t="shared" si="361"/>
        <v>33.425000000000004</v>
      </c>
      <c r="EJ192" s="39">
        <f t="shared" si="362"/>
        <v>36.581250000000004</v>
      </c>
    </row>
    <row r="193" spans="2:140" x14ac:dyDescent="0.2">
      <c r="L193" s="465">
        <f t="shared" si="363"/>
        <v>1</v>
      </c>
      <c r="N193" s="88">
        <v>11</v>
      </c>
      <c r="O193" s="107">
        <v>5</v>
      </c>
      <c r="P193" s="90"/>
      <c r="Q193" s="99">
        <f>O193/(L193-Q182)</f>
        <v>7.0491803278688527</v>
      </c>
      <c r="R193" s="100">
        <f>O193/(L193-R182)</f>
        <v>6.615384615384615</v>
      </c>
      <c r="S193" s="100">
        <f>O193/(L193-S182)</f>
        <v>5.5844155844155843</v>
      </c>
      <c r="T193" s="100">
        <f>O193/(L193-T182)</f>
        <v>6.056338028169014</v>
      </c>
      <c r="U193" s="100">
        <f>O193/(L193-U182)</f>
        <v>6.1428571428571432</v>
      </c>
      <c r="V193" s="102">
        <f t="shared" si="336"/>
        <v>31.448175698695206</v>
      </c>
      <c r="W193" s="88">
        <v>11</v>
      </c>
      <c r="X193" s="32">
        <f t="shared" si="337"/>
        <v>34.090903812935565</v>
      </c>
      <c r="Y193" s="38">
        <f t="shared" si="338"/>
        <v>29.186772878885691</v>
      </c>
      <c r="Z193" s="38">
        <f t="shared" si="339"/>
        <v>26.228106629746755</v>
      </c>
      <c r="AA193" s="38">
        <f t="shared" si="340"/>
        <v>34.154705475868255</v>
      </c>
      <c r="AB193" s="39">
        <f t="shared" si="341"/>
        <v>28.924574581723984</v>
      </c>
      <c r="AN193" s="465">
        <f t="shared" si="364"/>
        <v>1</v>
      </c>
      <c r="AP193" s="88">
        <v>11</v>
      </c>
      <c r="AQ193" s="107">
        <v>7</v>
      </c>
      <c r="AR193" s="90"/>
      <c r="AS193" s="99">
        <f>AQ193/(AN193-AS182)</f>
        <v>7.3636363636363633</v>
      </c>
      <c r="AT193" s="100">
        <f>AQ193/(AN193-AT182)</f>
        <v>10.125</v>
      </c>
      <c r="AU193" s="100">
        <f>AQ193/(AN193-AU182)</f>
        <v>8.3382352941176467</v>
      </c>
      <c r="AV193" s="100">
        <f>AQ193/(AN193-AV182)</f>
        <v>9.1451612903225801</v>
      </c>
      <c r="AW193" s="100">
        <f>AQ193/(AN193-AW182)</f>
        <v>9.2950819672131146</v>
      </c>
      <c r="AX193" s="102">
        <f t="shared" si="342"/>
        <v>44.267114915289703</v>
      </c>
      <c r="AY193" s="98">
        <v>11</v>
      </c>
      <c r="AZ193" s="32">
        <f t="shared" si="333"/>
        <v>30.63455225787256</v>
      </c>
      <c r="BA193" s="38">
        <f t="shared" si="343"/>
        <v>31.78160026366568</v>
      </c>
      <c r="BB193" s="38">
        <f t="shared" si="344"/>
        <v>28.169517507689022</v>
      </c>
      <c r="BC193" s="38">
        <f t="shared" si="345"/>
        <v>29.370151818468962</v>
      </c>
      <c r="BD193" s="39">
        <f t="shared" si="346"/>
        <v>31.592308100433726</v>
      </c>
      <c r="BP193" s="465">
        <f t="shared" si="365"/>
        <v>1</v>
      </c>
      <c r="BR193" s="88">
        <v>11</v>
      </c>
      <c r="BS193" s="107">
        <v>1</v>
      </c>
      <c r="BT193" s="90"/>
      <c r="BU193" s="99">
        <f>BS193/(BP193-BU182)</f>
        <v>1.32</v>
      </c>
      <c r="BV193" s="100">
        <f>BS193/(BP193-BV182)</f>
        <v>1.2222222222222223</v>
      </c>
      <c r="BW193" s="100">
        <f>BS193/(BP193-BW182)</f>
        <v>1.6097560975609757</v>
      </c>
      <c r="BX193" s="100">
        <f>BS193/(BP193-BX182)</f>
        <v>1.1000000000000001</v>
      </c>
      <c r="BY193" s="100">
        <f>BS193/(BP193-BY182)</f>
        <v>1.1186440677966103</v>
      </c>
      <c r="BZ193" s="102">
        <f t="shared" si="347"/>
        <v>6.3706223875798091</v>
      </c>
      <c r="CA193" s="211">
        <v>11</v>
      </c>
      <c r="CB193" s="32">
        <f t="shared" si="334"/>
        <v>29.562215790717609</v>
      </c>
      <c r="CC193" s="38">
        <f t="shared" si="348"/>
        <v>29.215138271786913</v>
      </c>
      <c r="CD193" s="38">
        <f t="shared" si="349"/>
        <v>35.606889011095333</v>
      </c>
      <c r="CE193" s="38">
        <f t="shared" si="350"/>
        <v>27.149111714142901</v>
      </c>
      <c r="CF193" s="39">
        <f t="shared" si="351"/>
        <v>28.759415701321792</v>
      </c>
      <c r="CR193" s="465">
        <f t="shared" si="366"/>
        <v>1</v>
      </c>
      <c r="CT193" s="88">
        <v>11</v>
      </c>
      <c r="CU193" s="107">
        <v>4</v>
      </c>
      <c r="CV193" s="90"/>
      <c r="CW193" s="99">
        <f>CU193/(CR193-CW182)</f>
        <v>4.784313725490196</v>
      </c>
      <c r="CX193" s="100">
        <f>CU193/(CR193-CX182)</f>
        <v>4.4363636363636365</v>
      </c>
      <c r="CY193" s="100">
        <f>CU193/(CR193-CY182)</f>
        <v>5.8095238095238093</v>
      </c>
      <c r="CZ193" s="100">
        <f>CU193/(CR193-CZ182)</f>
        <v>6.7777777777777777</v>
      </c>
      <c r="DA193" s="100">
        <f>CU193/(CR193-DA182)</f>
        <v>4.0666666666666664</v>
      </c>
      <c r="DB193" s="102">
        <f t="shared" si="352"/>
        <v>25.874645615822086</v>
      </c>
      <c r="DC193" s="211">
        <v>11</v>
      </c>
      <c r="DD193" s="32">
        <f t="shared" si="335"/>
        <v>26.798046906267508</v>
      </c>
      <c r="DE193" s="38">
        <f t="shared" si="353"/>
        <v>27.192113164767623</v>
      </c>
      <c r="DF193" s="38">
        <f t="shared" si="354"/>
        <v>32.989158806980683</v>
      </c>
      <c r="DG193" s="38">
        <f t="shared" si="355"/>
        <v>36.012850832830019</v>
      </c>
      <c r="DH193" s="39">
        <f t="shared" si="356"/>
        <v>27.716801408788918</v>
      </c>
      <c r="DT193" s="465">
        <f t="shared" si="367"/>
        <v>1</v>
      </c>
      <c r="DV193" s="88">
        <v>11</v>
      </c>
      <c r="DW193" s="107">
        <v>2</v>
      </c>
      <c r="DX193" s="90"/>
      <c r="DY193" s="99">
        <f>DW193/(DT193-DY182)</f>
        <v>2.25</v>
      </c>
      <c r="DZ193" s="100">
        <f>DW193/(DT193-DZ182)</f>
        <v>2.1315789473684212</v>
      </c>
      <c r="EA193" s="100">
        <f>DW193/(DT193-EA182)</f>
        <v>2.5714285714285712</v>
      </c>
      <c r="EB193" s="100">
        <f>DW193/(DT193-EB182)</f>
        <v>2.8421052631578947</v>
      </c>
      <c r="EC193" s="100">
        <f>DW193/(DT193-EC182)</f>
        <v>2.8928571428571432</v>
      </c>
      <c r="ED193" s="102">
        <f t="shared" si="357"/>
        <v>12.68796992481203</v>
      </c>
      <c r="EE193" s="211">
        <v>11</v>
      </c>
      <c r="EF193" s="32">
        <f t="shared" si="358"/>
        <v>25.9</v>
      </c>
      <c r="EG193" s="38">
        <f t="shared" si="359"/>
        <v>26.851282051282052</v>
      </c>
      <c r="EH193" s="38">
        <f t="shared" si="360"/>
        <v>30.861261261261255</v>
      </c>
      <c r="EI193" s="38">
        <f t="shared" si="361"/>
        <v>32.200000000000003</v>
      </c>
      <c r="EJ193" s="39">
        <f t="shared" si="362"/>
        <v>35.050000000000004</v>
      </c>
    </row>
    <row r="194" spans="2:140" ht="15" thickBot="1" x14ac:dyDescent="0.25">
      <c r="L194" s="465">
        <f t="shared" si="363"/>
        <v>1</v>
      </c>
      <c r="N194" s="109">
        <v>12</v>
      </c>
      <c r="O194" s="110">
        <v>7</v>
      </c>
      <c r="P194" s="90"/>
      <c r="Q194" s="111">
        <f>O194/(L194-Q182)</f>
        <v>9.8688524590163951</v>
      </c>
      <c r="R194" s="112">
        <f>O194/(L194-R182)</f>
        <v>9.2615384615384606</v>
      </c>
      <c r="S194" s="112">
        <f>O194/(L194-S182)</f>
        <v>7.8181818181818175</v>
      </c>
      <c r="T194" s="112">
        <f>O194/(L194-T182)</f>
        <v>8.47887323943662</v>
      </c>
      <c r="U194" s="112">
        <f>O194/(L194-U182)</f>
        <v>8.6</v>
      </c>
      <c r="V194" s="102">
        <f t="shared" si="336"/>
        <v>44.027445978173297</v>
      </c>
      <c r="W194" s="109">
        <v>12</v>
      </c>
      <c r="X194" s="43">
        <f t="shared" si="337"/>
        <v>32.631444353476098</v>
      </c>
      <c r="Y194" s="70">
        <f t="shared" si="338"/>
        <v>28.167904954357379</v>
      </c>
      <c r="Z194" s="70">
        <f t="shared" si="339"/>
        <v>25.16928310033498</v>
      </c>
      <c r="AA194" s="70">
        <f t="shared" si="340"/>
        <v>32.292636510351002</v>
      </c>
      <c r="AB194" s="71">
        <f t="shared" si="341"/>
        <v>27.750661538245716</v>
      </c>
      <c r="AN194" s="465">
        <f t="shared" si="364"/>
        <v>1</v>
      </c>
      <c r="AP194" s="109">
        <v>12</v>
      </c>
      <c r="AQ194" s="110">
        <v>1</v>
      </c>
      <c r="AR194" s="90"/>
      <c r="AS194" s="111">
        <f>AQ194/(AN194-AS182)</f>
        <v>1.051948051948052</v>
      </c>
      <c r="AT194" s="112">
        <f>AQ194/(AN194-AT182)</f>
        <v>1.4464285714285716</v>
      </c>
      <c r="AU194" s="112">
        <f>AQ194/(AN194-AU182)</f>
        <v>1.1911764705882353</v>
      </c>
      <c r="AV194" s="112">
        <f>AQ194/(AN194-AV182)</f>
        <v>1.3064516129032258</v>
      </c>
      <c r="AW194" s="112">
        <f>AQ194/(AN194-AW182)</f>
        <v>1.3278688524590163</v>
      </c>
      <c r="AX194" s="102">
        <f t="shared" si="342"/>
        <v>6.3238735593271009</v>
      </c>
      <c r="AY194" s="108">
        <v>12</v>
      </c>
      <c r="AZ194" s="43">
        <f t="shared" si="333"/>
        <v>28.88455225787256</v>
      </c>
      <c r="BA194" s="70">
        <f t="shared" si="343"/>
        <v>30.667963900029317</v>
      </c>
      <c r="BB194" s="70">
        <f t="shared" si="344"/>
        <v>27.002850841022358</v>
      </c>
      <c r="BC194" s="70">
        <f t="shared" si="345"/>
        <v>28.281262929580073</v>
      </c>
      <c r="BD194" s="71">
        <f t="shared" si="346"/>
        <v>30.2679837761094</v>
      </c>
      <c r="BP194" s="465">
        <f t="shared" si="365"/>
        <v>1</v>
      </c>
      <c r="BR194" s="109">
        <v>12</v>
      </c>
      <c r="BS194" s="110">
        <v>4</v>
      </c>
      <c r="BT194" s="90"/>
      <c r="BU194" s="111">
        <f>BS194/(BP194-BU182)</f>
        <v>5.28</v>
      </c>
      <c r="BV194" s="112">
        <f>BS194/(BP194-BV182)</f>
        <v>4.8888888888888893</v>
      </c>
      <c r="BW194" s="112">
        <f>BS194/(BP194-BW182)</f>
        <v>6.4390243902439028</v>
      </c>
      <c r="BX194" s="112">
        <f>BS194/(BP194-BX182)</f>
        <v>4.4000000000000004</v>
      </c>
      <c r="BY194" s="112">
        <f>BS194/(BP194-BY182)</f>
        <v>4.4745762711864412</v>
      </c>
      <c r="BZ194" s="102">
        <f t="shared" si="347"/>
        <v>25.482489550319237</v>
      </c>
      <c r="CA194" s="212">
        <v>12</v>
      </c>
      <c r="CB194" s="43">
        <f t="shared" si="334"/>
        <v>28.456952632822873</v>
      </c>
      <c r="CC194" s="70">
        <f t="shared" si="348"/>
        <v>27.96140692850333</v>
      </c>
      <c r="CD194" s="70">
        <f t="shared" si="349"/>
        <v>34.314581318787646</v>
      </c>
      <c r="CE194" s="70">
        <f t="shared" si="350"/>
        <v>25.913817596495839</v>
      </c>
      <c r="CF194" s="71">
        <f t="shared" si="351"/>
        <v>27.359415701321794</v>
      </c>
      <c r="CR194" s="465">
        <f t="shared" si="366"/>
        <v>1</v>
      </c>
      <c r="CT194" s="109">
        <v>12</v>
      </c>
      <c r="CU194" s="110">
        <v>2</v>
      </c>
      <c r="CV194" s="90"/>
      <c r="CW194" s="111">
        <f>CU194/(CR194-CW182)</f>
        <v>2.392156862745098</v>
      </c>
      <c r="CX194" s="112">
        <f>CU194/(CR194-CX182)</f>
        <v>2.2181818181818183</v>
      </c>
      <c r="CY194" s="112">
        <f>CU194/(CR194-CY182)</f>
        <v>2.9047619047619047</v>
      </c>
      <c r="CZ194" s="112">
        <f>CU194/(CR194-CZ182)</f>
        <v>3.3888888888888888</v>
      </c>
      <c r="DA194" s="112">
        <f>CU194/(CR194-DA182)</f>
        <v>2.0333333333333332</v>
      </c>
      <c r="DB194" s="102">
        <f t="shared" si="352"/>
        <v>12.937322807911043</v>
      </c>
      <c r="DC194" s="212">
        <v>12</v>
      </c>
      <c r="DD194" s="43">
        <f t="shared" si="335"/>
        <v>25.759585367805972</v>
      </c>
      <c r="DE194" s="70">
        <f t="shared" si="353"/>
        <v>25.936299211279248</v>
      </c>
      <c r="DF194" s="70">
        <f t="shared" si="354"/>
        <v>31.67208563624898</v>
      </c>
      <c r="DG194" s="70">
        <f t="shared" si="355"/>
        <v>34.785578105557292</v>
      </c>
      <c r="DH194" s="71">
        <f t="shared" si="356"/>
        <v>26.216801408788918</v>
      </c>
      <c r="DT194" s="465">
        <f t="shared" si="367"/>
        <v>1</v>
      </c>
      <c r="DV194" s="109">
        <v>12</v>
      </c>
      <c r="DW194" s="110">
        <v>8</v>
      </c>
      <c r="DX194" s="90"/>
      <c r="DY194" s="111">
        <f>DW194/(DT194-DY182)</f>
        <v>9</v>
      </c>
      <c r="DZ194" s="112">
        <f>DW194/(DT194-DZ182)</f>
        <v>8.526315789473685</v>
      </c>
      <c r="EA194" s="112">
        <f>DW194/(DT194-EA182)</f>
        <v>10.285714285714285</v>
      </c>
      <c r="EB194" s="112">
        <f>DW194/(DT194-EB182)</f>
        <v>11.368421052631579</v>
      </c>
      <c r="EC194" s="112">
        <f>DW194/(DT194-EC182)</f>
        <v>11.571428571428573</v>
      </c>
      <c r="ED194" s="102">
        <f t="shared" si="357"/>
        <v>50.751879699248121</v>
      </c>
      <c r="EE194" s="212">
        <v>12</v>
      </c>
      <c r="EF194" s="43">
        <f t="shared" si="358"/>
        <v>24.87916666666667</v>
      </c>
      <c r="EG194" s="70">
        <f t="shared" si="359"/>
        <v>25.594871794871796</v>
      </c>
      <c r="EH194" s="70">
        <f t="shared" si="360"/>
        <v>29.536936936936932</v>
      </c>
      <c r="EI194" s="70">
        <f t="shared" si="361"/>
        <v>30.975000000000001</v>
      </c>
      <c r="EJ194" s="71">
        <f t="shared" si="362"/>
        <v>33.518750000000004</v>
      </c>
    </row>
    <row r="195" spans="2:140" x14ac:dyDescent="0.2">
      <c r="N195" s="10"/>
      <c r="O195" s="90"/>
      <c r="P195" s="90"/>
      <c r="Q195" s="113"/>
      <c r="R195" s="113"/>
      <c r="S195" s="113"/>
      <c r="T195" s="113"/>
      <c r="U195" s="113"/>
      <c r="AP195" s="10"/>
      <c r="AQ195" s="90"/>
      <c r="AR195" s="90"/>
      <c r="AS195" s="113"/>
      <c r="AT195" s="113"/>
      <c r="AU195" s="113"/>
      <c r="AV195" s="113"/>
      <c r="AW195" s="113"/>
      <c r="BR195" s="10"/>
      <c r="BS195" s="90"/>
      <c r="BT195" s="90"/>
      <c r="BU195" s="113"/>
      <c r="BV195" s="113"/>
      <c r="BW195" s="113"/>
      <c r="BX195" s="113"/>
      <c r="BY195" s="113"/>
      <c r="CT195" s="10"/>
      <c r="CU195" s="90"/>
      <c r="CV195" s="90"/>
      <c r="CW195" s="113"/>
      <c r="CX195" s="113"/>
      <c r="CY195" s="113"/>
      <c r="CZ195" s="113"/>
      <c r="DA195" s="113"/>
      <c r="DV195" s="10"/>
      <c r="DW195" s="90"/>
      <c r="DX195" s="90"/>
      <c r="DY195" s="113"/>
      <c r="DZ195" s="113"/>
      <c r="EA195" s="113"/>
      <c r="EB195" s="113"/>
      <c r="EC195" s="113"/>
    </row>
    <row r="197" spans="2:140" x14ac:dyDescent="0.2">
      <c r="B197" s="5" t="s">
        <v>24</v>
      </c>
      <c r="C197" s="5" t="s">
        <v>24</v>
      </c>
      <c r="D197" s="5" t="s">
        <v>24</v>
      </c>
      <c r="E197" s="5" t="s">
        <v>24</v>
      </c>
      <c r="F197" s="5" t="s">
        <v>24</v>
      </c>
      <c r="G197" s="5" t="s">
        <v>24</v>
      </c>
      <c r="H197" s="5" t="s">
        <v>24</v>
      </c>
      <c r="I197" s="5" t="s">
        <v>24</v>
      </c>
      <c r="J197" s="5" t="s">
        <v>24</v>
      </c>
      <c r="K197" s="5" t="s">
        <v>24</v>
      </c>
      <c r="L197" s="5" t="s">
        <v>24</v>
      </c>
      <c r="M197" s="5" t="s">
        <v>24</v>
      </c>
      <c r="N197" s="5" t="s">
        <v>24</v>
      </c>
      <c r="O197" s="5" t="s">
        <v>24</v>
      </c>
      <c r="P197" s="5" t="s">
        <v>24</v>
      </c>
      <c r="Q197" s="5" t="s">
        <v>24</v>
      </c>
      <c r="R197" s="5" t="s">
        <v>24</v>
      </c>
      <c r="S197" s="5" t="s">
        <v>24</v>
      </c>
      <c r="T197" s="5" t="s">
        <v>24</v>
      </c>
      <c r="U197" s="5" t="s">
        <v>24</v>
      </c>
      <c r="V197" s="5" t="s">
        <v>24</v>
      </c>
      <c r="W197" s="5" t="s">
        <v>24</v>
      </c>
      <c r="X197" s="5" t="s">
        <v>24</v>
      </c>
      <c r="Y197" s="5" t="s">
        <v>24</v>
      </c>
      <c r="Z197" s="5" t="s">
        <v>24</v>
      </c>
      <c r="AA197" s="5" t="s">
        <v>24</v>
      </c>
      <c r="AB197" s="5" t="s">
        <v>24</v>
      </c>
      <c r="AD197" s="6" t="s">
        <v>25</v>
      </c>
      <c r="AE197" s="6" t="s">
        <v>25</v>
      </c>
      <c r="AF197" s="6" t="s">
        <v>25</v>
      </c>
      <c r="AG197" s="6" t="s">
        <v>25</v>
      </c>
      <c r="AH197" s="6" t="s">
        <v>25</v>
      </c>
      <c r="AI197" s="6" t="s">
        <v>25</v>
      </c>
      <c r="AJ197" s="6" t="s">
        <v>25</v>
      </c>
      <c r="AK197" s="6" t="s">
        <v>25</v>
      </c>
      <c r="AL197" s="6" t="s">
        <v>25</v>
      </c>
      <c r="AM197" s="6" t="s">
        <v>25</v>
      </c>
      <c r="AN197" s="6" t="s">
        <v>25</v>
      </c>
      <c r="AO197" s="6" t="s">
        <v>25</v>
      </c>
      <c r="AP197" s="6" t="s">
        <v>25</v>
      </c>
      <c r="AQ197" s="6" t="s">
        <v>25</v>
      </c>
      <c r="AR197" s="6" t="s">
        <v>25</v>
      </c>
      <c r="AS197" s="6" t="s">
        <v>25</v>
      </c>
      <c r="AT197" s="6" t="s">
        <v>25</v>
      </c>
      <c r="AU197" s="6" t="s">
        <v>25</v>
      </c>
      <c r="AV197" s="6" t="s">
        <v>25</v>
      </c>
      <c r="AW197" s="6" t="s">
        <v>25</v>
      </c>
      <c r="AX197" s="6" t="s">
        <v>25</v>
      </c>
      <c r="AY197" s="6" t="s">
        <v>25</v>
      </c>
      <c r="AZ197" s="6" t="s">
        <v>25</v>
      </c>
      <c r="BA197" s="6" t="s">
        <v>25</v>
      </c>
      <c r="BB197" s="6" t="s">
        <v>25</v>
      </c>
      <c r="BC197" s="6" t="s">
        <v>25</v>
      </c>
      <c r="BD197" s="6" t="s">
        <v>25</v>
      </c>
      <c r="BF197" s="6" t="s">
        <v>26</v>
      </c>
      <c r="BG197" s="6" t="s">
        <v>26</v>
      </c>
      <c r="BH197" s="6" t="s">
        <v>26</v>
      </c>
      <c r="BI197" s="6" t="s">
        <v>26</v>
      </c>
      <c r="BJ197" s="6" t="s">
        <v>26</v>
      </c>
      <c r="BK197" s="6" t="s">
        <v>26</v>
      </c>
      <c r="BL197" s="6" t="s">
        <v>26</v>
      </c>
      <c r="BM197" s="6" t="s">
        <v>26</v>
      </c>
      <c r="BN197" s="6" t="s">
        <v>26</v>
      </c>
      <c r="BO197" s="6" t="s">
        <v>26</v>
      </c>
      <c r="BP197" s="6" t="s">
        <v>26</v>
      </c>
      <c r="BQ197" s="6" t="s">
        <v>26</v>
      </c>
      <c r="BR197" s="6" t="s">
        <v>26</v>
      </c>
      <c r="BS197" s="6" t="s">
        <v>26</v>
      </c>
      <c r="BT197" s="6" t="s">
        <v>26</v>
      </c>
      <c r="BU197" s="6" t="s">
        <v>26</v>
      </c>
      <c r="BV197" s="6" t="s">
        <v>26</v>
      </c>
      <c r="BW197" s="6" t="s">
        <v>26</v>
      </c>
      <c r="BX197" s="6" t="s">
        <v>26</v>
      </c>
      <c r="BY197" s="6" t="s">
        <v>26</v>
      </c>
      <c r="BZ197" s="6" t="s">
        <v>26</v>
      </c>
      <c r="CA197" s="6" t="s">
        <v>26</v>
      </c>
      <c r="CB197" s="6" t="s">
        <v>26</v>
      </c>
      <c r="CC197" s="6" t="s">
        <v>26</v>
      </c>
      <c r="CD197" s="6" t="s">
        <v>26</v>
      </c>
      <c r="CE197" s="6" t="s">
        <v>26</v>
      </c>
      <c r="CF197" s="6" t="s">
        <v>26</v>
      </c>
      <c r="CH197" s="6" t="s">
        <v>27</v>
      </c>
      <c r="CI197" s="6" t="s">
        <v>27</v>
      </c>
      <c r="CJ197" s="6" t="s">
        <v>27</v>
      </c>
      <c r="CK197" s="6" t="s">
        <v>27</v>
      </c>
      <c r="CL197" s="6" t="s">
        <v>27</v>
      </c>
      <c r="CM197" s="6" t="s">
        <v>27</v>
      </c>
      <c r="CN197" s="6" t="s">
        <v>27</v>
      </c>
      <c r="CO197" s="6" t="s">
        <v>27</v>
      </c>
      <c r="CP197" s="6" t="s">
        <v>27</v>
      </c>
      <c r="CQ197" s="6" t="s">
        <v>27</v>
      </c>
      <c r="CR197" s="6" t="s">
        <v>27</v>
      </c>
      <c r="CS197" s="6" t="s">
        <v>27</v>
      </c>
      <c r="CT197" s="6" t="s">
        <v>27</v>
      </c>
      <c r="CU197" s="6" t="s">
        <v>27</v>
      </c>
      <c r="CV197" s="6" t="s">
        <v>27</v>
      </c>
      <c r="CW197" s="6" t="s">
        <v>27</v>
      </c>
      <c r="CX197" s="6" t="s">
        <v>27</v>
      </c>
      <c r="CY197" s="6" t="s">
        <v>27</v>
      </c>
      <c r="CZ197" s="6" t="s">
        <v>27</v>
      </c>
      <c r="DA197" s="6" t="s">
        <v>27</v>
      </c>
      <c r="DB197" s="6" t="s">
        <v>27</v>
      </c>
      <c r="DC197" s="6" t="s">
        <v>27</v>
      </c>
      <c r="DD197" s="6" t="s">
        <v>27</v>
      </c>
      <c r="DE197" s="6" t="s">
        <v>27</v>
      </c>
      <c r="DF197" s="6" t="s">
        <v>27</v>
      </c>
      <c r="DG197" s="6" t="s">
        <v>27</v>
      </c>
      <c r="DH197" s="6" t="s">
        <v>27</v>
      </c>
      <c r="DJ197" s="6" t="s">
        <v>28</v>
      </c>
      <c r="DK197" s="6" t="s">
        <v>28</v>
      </c>
      <c r="DL197" s="6" t="s">
        <v>28</v>
      </c>
      <c r="DM197" s="6" t="s">
        <v>28</v>
      </c>
      <c r="DN197" s="6" t="s">
        <v>28</v>
      </c>
      <c r="DO197" s="6" t="s">
        <v>28</v>
      </c>
      <c r="DP197" s="6" t="s">
        <v>28</v>
      </c>
      <c r="DQ197" s="6" t="s">
        <v>28</v>
      </c>
      <c r="DR197" s="6" t="s">
        <v>28</v>
      </c>
      <c r="DS197" s="6" t="s">
        <v>28</v>
      </c>
      <c r="DT197" s="6" t="s">
        <v>28</v>
      </c>
      <c r="DU197" s="6" t="s">
        <v>28</v>
      </c>
      <c r="DV197" s="6" t="s">
        <v>28</v>
      </c>
      <c r="DW197" s="6" t="s">
        <v>28</v>
      </c>
      <c r="DX197" s="6" t="s">
        <v>28</v>
      </c>
      <c r="DY197" s="6" t="s">
        <v>28</v>
      </c>
      <c r="DZ197" s="6" t="s">
        <v>28</v>
      </c>
      <c r="EA197" s="6" t="s">
        <v>28</v>
      </c>
      <c r="EB197" s="6" t="s">
        <v>28</v>
      </c>
      <c r="EC197" s="6" t="s">
        <v>28</v>
      </c>
      <c r="ED197" s="6" t="s">
        <v>28</v>
      </c>
      <c r="EE197" s="6" t="s">
        <v>28</v>
      </c>
      <c r="EF197" s="6" t="s">
        <v>28</v>
      </c>
      <c r="EG197" s="6" t="s">
        <v>28</v>
      </c>
      <c r="EH197" s="6" t="s">
        <v>28</v>
      </c>
      <c r="EI197" s="6" t="s">
        <v>28</v>
      </c>
      <c r="EJ197" s="6" t="s">
        <v>28</v>
      </c>
    </row>
    <row r="198" spans="2:140" ht="15" thickBot="1" x14ac:dyDescent="0.25"/>
    <row r="199" spans="2:140" ht="15" thickBot="1" x14ac:dyDescent="0.25">
      <c r="B199" s="7"/>
      <c r="C199" s="8" t="s">
        <v>6</v>
      </c>
      <c r="D199" s="8" t="s">
        <v>7</v>
      </c>
      <c r="E199" s="8" t="s">
        <v>8</v>
      </c>
      <c r="F199" s="8" t="s">
        <v>9</v>
      </c>
      <c r="G199" s="8" t="s">
        <v>10</v>
      </c>
      <c r="H199" s="9"/>
      <c r="I199" s="10"/>
      <c r="J199" s="11" t="s">
        <v>11</v>
      </c>
      <c r="K199" s="12" t="s">
        <v>6</v>
      </c>
      <c r="L199" s="12" t="s">
        <v>7</v>
      </c>
      <c r="M199" s="12" t="s">
        <v>8</v>
      </c>
      <c r="N199" s="12" t="s">
        <v>9</v>
      </c>
      <c r="O199" s="13" t="s">
        <v>10</v>
      </c>
      <c r="P199" s="10"/>
      <c r="W199" s="204" t="s">
        <v>37</v>
      </c>
      <c r="X199" s="835" t="s">
        <v>64</v>
      </c>
      <c r="Y199" s="836"/>
      <c r="Z199" s="836"/>
      <c r="AA199" s="836"/>
      <c r="AB199" s="837"/>
      <c r="AD199" s="7"/>
      <c r="AE199" s="8" t="s">
        <v>6</v>
      </c>
      <c r="AF199" s="8" t="s">
        <v>7</v>
      </c>
      <c r="AG199" s="8" t="s">
        <v>8</v>
      </c>
      <c r="AH199" s="8" t="s">
        <v>9</v>
      </c>
      <c r="AI199" s="8" t="s">
        <v>10</v>
      </c>
      <c r="AJ199" s="9"/>
      <c r="AK199" s="10"/>
      <c r="AL199" s="11" t="s">
        <v>11</v>
      </c>
      <c r="AM199" s="12" t="s">
        <v>6</v>
      </c>
      <c r="AN199" s="12" t="s">
        <v>7</v>
      </c>
      <c r="AO199" s="12" t="s">
        <v>8</v>
      </c>
      <c r="AP199" s="12" t="s">
        <v>9</v>
      </c>
      <c r="AQ199" s="13" t="s">
        <v>10</v>
      </c>
      <c r="AR199" s="10"/>
      <c r="AY199" s="204" t="s">
        <v>37</v>
      </c>
      <c r="AZ199" s="835" t="s">
        <v>76</v>
      </c>
      <c r="BA199" s="836"/>
      <c r="BB199" s="836"/>
      <c r="BC199" s="836"/>
      <c r="BD199" s="837"/>
      <c r="BF199" s="7"/>
      <c r="BG199" s="8" t="s">
        <v>6</v>
      </c>
      <c r="BH199" s="8" t="s">
        <v>7</v>
      </c>
      <c r="BI199" s="8" t="s">
        <v>8</v>
      </c>
      <c r="BJ199" s="8" t="s">
        <v>9</v>
      </c>
      <c r="BK199" s="8" t="s">
        <v>10</v>
      </c>
      <c r="BL199" s="9"/>
      <c r="BM199" s="10"/>
      <c r="BN199" s="11" t="s">
        <v>11</v>
      </c>
      <c r="BO199" s="12" t="s">
        <v>6</v>
      </c>
      <c r="BP199" s="12" t="s">
        <v>7</v>
      </c>
      <c r="BQ199" s="12" t="s">
        <v>8</v>
      </c>
      <c r="BR199" s="12" t="s">
        <v>9</v>
      </c>
      <c r="BS199" s="13" t="s">
        <v>10</v>
      </c>
      <c r="BT199" s="10"/>
      <c r="CA199" s="204" t="s">
        <v>37</v>
      </c>
      <c r="CB199" s="835" t="s">
        <v>94</v>
      </c>
      <c r="CC199" s="836"/>
      <c r="CD199" s="836"/>
      <c r="CE199" s="836"/>
      <c r="CF199" s="837"/>
      <c r="CH199" s="7"/>
      <c r="CI199" s="8" t="s">
        <v>6</v>
      </c>
      <c r="CJ199" s="8" t="s">
        <v>7</v>
      </c>
      <c r="CK199" s="8" t="s">
        <v>8</v>
      </c>
      <c r="CL199" s="8" t="s">
        <v>9</v>
      </c>
      <c r="CM199" s="8" t="s">
        <v>10</v>
      </c>
      <c r="CN199" s="9"/>
      <c r="CO199" s="10"/>
      <c r="CP199" s="11" t="s">
        <v>11</v>
      </c>
      <c r="CQ199" s="12" t="s">
        <v>6</v>
      </c>
      <c r="CR199" s="12" t="s">
        <v>7</v>
      </c>
      <c r="CS199" s="12" t="s">
        <v>8</v>
      </c>
      <c r="CT199" s="12" t="s">
        <v>9</v>
      </c>
      <c r="CU199" s="13" t="s">
        <v>10</v>
      </c>
      <c r="CV199" s="10"/>
      <c r="DC199" s="204" t="s">
        <v>37</v>
      </c>
      <c r="DD199" s="835" t="s">
        <v>109</v>
      </c>
      <c r="DE199" s="836"/>
      <c r="DF199" s="836"/>
      <c r="DG199" s="836"/>
      <c r="DH199" s="837"/>
      <c r="DJ199" s="7"/>
      <c r="DK199" s="8" t="s">
        <v>6</v>
      </c>
      <c r="DL199" s="8" t="s">
        <v>7</v>
      </c>
      <c r="DM199" s="8" t="s">
        <v>8</v>
      </c>
      <c r="DN199" s="8" t="s">
        <v>9</v>
      </c>
      <c r="DO199" s="8" t="s">
        <v>10</v>
      </c>
      <c r="DP199" s="9"/>
      <c r="DQ199" s="10"/>
      <c r="DR199" s="11" t="s">
        <v>11</v>
      </c>
      <c r="DS199" s="12" t="s">
        <v>6</v>
      </c>
      <c r="DT199" s="12" t="s">
        <v>7</v>
      </c>
      <c r="DU199" s="12" t="s">
        <v>8</v>
      </c>
      <c r="DV199" s="12" t="s">
        <v>9</v>
      </c>
      <c r="DW199" s="13" t="s">
        <v>10</v>
      </c>
      <c r="DX199" s="10"/>
      <c r="EE199" s="204" t="s">
        <v>37</v>
      </c>
      <c r="EF199" s="835" t="s">
        <v>124</v>
      </c>
      <c r="EG199" s="836"/>
      <c r="EH199" s="836"/>
      <c r="EI199" s="836"/>
      <c r="EJ199" s="837"/>
    </row>
    <row r="200" spans="2:140" x14ac:dyDescent="0.2">
      <c r="B200" s="14" t="s">
        <v>13</v>
      </c>
      <c r="C200" s="120">
        <f>K232</f>
        <v>9</v>
      </c>
      <c r="D200" s="16">
        <f>K238</f>
        <v>15</v>
      </c>
      <c r="E200" s="16">
        <f>K220</f>
        <v>22</v>
      </c>
      <c r="F200" s="16">
        <f>K233</f>
        <v>10</v>
      </c>
      <c r="G200" s="17">
        <f>K235</f>
        <v>12</v>
      </c>
      <c r="H200" s="18">
        <f>SUM(C200:G200)</f>
        <v>68</v>
      </c>
      <c r="I200" s="10"/>
      <c r="J200" s="19" t="s">
        <v>13</v>
      </c>
      <c r="K200" s="20">
        <f>C200/C205</f>
        <v>0.10112359550561797</v>
      </c>
      <c r="L200" s="21">
        <f>D200/D205</f>
        <v>0.26315789473684209</v>
      </c>
      <c r="M200" s="21">
        <f>E200/E205</f>
        <v>0.36065573770491804</v>
      </c>
      <c r="N200" s="21">
        <f>F200/F205</f>
        <v>0.15873015873015872</v>
      </c>
      <c r="O200" s="22">
        <f>G200/G205</f>
        <v>0.21818181818181817</v>
      </c>
      <c r="P200" s="23"/>
      <c r="W200" s="206">
        <v>1</v>
      </c>
      <c r="X200" s="24">
        <f t="shared" ref="X200:AB211" si="368">X216+X231</f>
        <v>56.639119132094521</v>
      </c>
      <c r="Y200" s="25">
        <f t="shared" si="368"/>
        <v>31.791701973341691</v>
      </c>
      <c r="Z200" s="25">
        <f t="shared" si="368"/>
        <v>32.482855910468317</v>
      </c>
      <c r="AA200" s="25">
        <f t="shared" si="368"/>
        <v>32.568425430615591</v>
      </c>
      <c r="AB200" s="26">
        <f t="shared" si="368"/>
        <v>34.138963270078136</v>
      </c>
      <c r="AD200" s="14" t="s">
        <v>13</v>
      </c>
      <c r="AE200" s="120">
        <f>AM232</f>
        <v>7</v>
      </c>
      <c r="AF200" s="16">
        <f>AM238</f>
        <v>13</v>
      </c>
      <c r="AG200" s="16">
        <f>AM220</f>
        <v>22</v>
      </c>
      <c r="AH200" s="16">
        <f>AM233</f>
        <v>8</v>
      </c>
      <c r="AI200" s="17">
        <f>AM235</f>
        <v>10</v>
      </c>
      <c r="AJ200" s="18">
        <f>SUM(AE200:AI200)</f>
        <v>60</v>
      </c>
      <c r="AK200" s="10"/>
      <c r="AL200" s="19" t="s">
        <v>13</v>
      </c>
      <c r="AM200" s="28">
        <f>AE200/AE205</f>
        <v>8.2352941176470587E-2</v>
      </c>
      <c r="AN200" s="29">
        <f>AF200/AF205</f>
        <v>0.18055555555555555</v>
      </c>
      <c r="AO200" s="21">
        <f>AG200/AG205</f>
        <v>0.38596491228070173</v>
      </c>
      <c r="AP200" s="21">
        <f>AH200/AH205</f>
        <v>0.14035087719298245</v>
      </c>
      <c r="AQ200" s="22">
        <f>AI200/AI205</f>
        <v>0.21276595744680851</v>
      </c>
      <c r="AR200" s="23"/>
      <c r="AY200" s="206">
        <v>1</v>
      </c>
      <c r="AZ200" s="24">
        <f t="shared" ref="AZ200:BD211" si="369">AZ216+AZ231</f>
        <v>49.008507333633169</v>
      </c>
      <c r="BA200" s="25">
        <f t="shared" si="369"/>
        <v>50.260899220353409</v>
      </c>
      <c r="BB200" s="25">
        <f t="shared" si="369"/>
        <v>35.659107396905597</v>
      </c>
      <c r="BC200" s="25">
        <f t="shared" si="369"/>
        <v>35.361068550029671</v>
      </c>
      <c r="BD200" s="26">
        <f t="shared" si="369"/>
        <v>37.146969214495655</v>
      </c>
      <c r="BF200" s="14" t="s">
        <v>13</v>
      </c>
      <c r="BG200" s="120">
        <f>BO232</f>
        <v>6</v>
      </c>
      <c r="BH200" s="16">
        <f>BO238</f>
        <v>12</v>
      </c>
      <c r="BI200" s="16">
        <f>BO220</f>
        <v>19</v>
      </c>
      <c r="BJ200" s="16">
        <f>BO233</f>
        <v>7</v>
      </c>
      <c r="BK200" s="17">
        <f>BO235</f>
        <v>9</v>
      </c>
      <c r="BL200" s="18">
        <f>SUM(BG200:BK200)</f>
        <v>53</v>
      </c>
      <c r="BM200" s="10"/>
      <c r="BN200" s="19" t="s">
        <v>13</v>
      </c>
      <c r="BO200" s="28">
        <f>BG200/BG205</f>
        <v>8.1081081081081086E-2</v>
      </c>
      <c r="BP200" s="21">
        <f>BH200/BH205</f>
        <v>0.17910447761194029</v>
      </c>
      <c r="BQ200" s="29">
        <f>BI200/BI205</f>
        <v>0.19791666666666666</v>
      </c>
      <c r="BR200" s="21">
        <f>BJ200/BJ205</f>
        <v>0.14583333333333334</v>
      </c>
      <c r="BS200" s="22">
        <f>BK200/BK205</f>
        <v>0.22500000000000001</v>
      </c>
      <c r="BT200" s="23"/>
      <c r="CA200" s="206">
        <v>1</v>
      </c>
      <c r="CB200" s="24">
        <f t="shared" ref="CB200:CF211" si="370">CB216+CB231</f>
        <v>39.802414220539653</v>
      </c>
      <c r="CC200" s="25">
        <f t="shared" si="370"/>
        <v>41.960152198467256</v>
      </c>
      <c r="CD200" s="25">
        <f t="shared" si="370"/>
        <v>42.796553837209665</v>
      </c>
      <c r="CE200" s="25">
        <f t="shared" si="370"/>
        <v>33.657071585514686</v>
      </c>
      <c r="CF200" s="26">
        <f t="shared" si="370"/>
        <v>35.231555485740849</v>
      </c>
      <c r="CH200" s="14" t="s">
        <v>13</v>
      </c>
      <c r="CI200" s="120">
        <f>CQ232</f>
        <v>5</v>
      </c>
      <c r="CJ200" s="16">
        <f>CQ238</f>
        <v>11</v>
      </c>
      <c r="CK200" s="16">
        <f>CQ220</f>
        <v>18</v>
      </c>
      <c r="CL200" s="16">
        <f>CQ233</f>
        <v>6</v>
      </c>
      <c r="CM200" s="17">
        <f>CQ235</f>
        <v>8</v>
      </c>
      <c r="CN200" s="18">
        <f>SUM(CI200:CM200)</f>
        <v>48</v>
      </c>
      <c r="CO200" s="10"/>
      <c r="CP200" s="19" t="s">
        <v>13</v>
      </c>
      <c r="CQ200" s="28">
        <f>CI200/CI205</f>
        <v>7.2463768115942032E-2</v>
      </c>
      <c r="CR200" s="21">
        <f>CJ200/CJ205</f>
        <v>0.17741935483870969</v>
      </c>
      <c r="CS200" s="21">
        <f>CK200/CK205</f>
        <v>0.19780219780219779</v>
      </c>
      <c r="CT200" s="29">
        <f>CL200/CL205</f>
        <v>8.8235294117647065E-2</v>
      </c>
      <c r="CU200" s="22">
        <f>CM200/CM205</f>
        <v>0.22857142857142856</v>
      </c>
      <c r="CV200" s="23"/>
      <c r="DC200" s="206">
        <v>1</v>
      </c>
      <c r="DD200" s="24">
        <f t="shared" ref="DD200:DH211" si="371">DD216+DD231</f>
        <v>45.490166243100418</v>
      </c>
      <c r="DE200" s="25">
        <f t="shared" si="371"/>
        <v>47.58853546932518</v>
      </c>
      <c r="DF200" s="25">
        <f t="shared" si="371"/>
        <v>48.370139843545957</v>
      </c>
      <c r="DG200" s="25">
        <f t="shared" si="371"/>
        <v>48.345197015647301</v>
      </c>
      <c r="DH200" s="26">
        <f t="shared" si="371"/>
        <v>41.414044022361978</v>
      </c>
      <c r="DJ200" s="14" t="s">
        <v>13</v>
      </c>
      <c r="DK200" s="120">
        <f>DS232</f>
        <v>4</v>
      </c>
      <c r="DL200" s="16">
        <f>DS238</f>
        <v>10</v>
      </c>
      <c r="DM200" s="16">
        <f>DS220</f>
        <v>17</v>
      </c>
      <c r="DN200" s="16">
        <f>DS233</f>
        <v>5</v>
      </c>
      <c r="DO200" s="17">
        <f>DS235</f>
        <v>7</v>
      </c>
      <c r="DP200" s="18">
        <f>SUM(DK200:DO200)</f>
        <v>43</v>
      </c>
      <c r="DQ200" s="10"/>
      <c r="DR200" s="19" t="s">
        <v>13</v>
      </c>
      <c r="DS200" s="28">
        <f>DK200/DK205</f>
        <v>6.25E-2</v>
      </c>
      <c r="DT200" s="21">
        <f>DL200/DL205</f>
        <v>0.17543859649122806</v>
      </c>
      <c r="DU200" s="21">
        <f>DM200/DM205</f>
        <v>0.19767441860465115</v>
      </c>
      <c r="DV200" s="21">
        <f>DN200/DN205</f>
        <v>7.9365079365079361E-2</v>
      </c>
      <c r="DW200" s="31">
        <f>DO200/DO205</f>
        <v>0.12727272727272726</v>
      </c>
      <c r="DX200" s="23"/>
      <c r="EE200" s="206">
        <v>1</v>
      </c>
      <c r="EF200" s="24">
        <f t="shared" ref="EF200:EJ211" si="372">EF216+EF231</f>
        <v>40.219562039420225</v>
      </c>
      <c r="EG200" s="25">
        <f t="shared" si="372"/>
        <v>42.090714070115212</v>
      </c>
      <c r="EH200" s="25">
        <f t="shared" si="372"/>
        <v>42.735133681745438</v>
      </c>
      <c r="EI200" s="25">
        <f t="shared" si="372"/>
        <v>42.499890152853148</v>
      </c>
      <c r="EJ200" s="26">
        <f t="shared" si="372"/>
        <v>44.365119661655271</v>
      </c>
    </row>
    <row r="201" spans="2:140" x14ac:dyDescent="0.2">
      <c r="B201" s="14" t="s">
        <v>3</v>
      </c>
      <c r="C201" s="32">
        <f>K216</f>
        <v>18</v>
      </c>
      <c r="D201" s="33">
        <f>K234</f>
        <v>11</v>
      </c>
      <c r="E201" s="33">
        <f>K219</f>
        <v>21</v>
      </c>
      <c r="F201" s="33">
        <f>K221</f>
        <v>23</v>
      </c>
      <c r="G201" s="34">
        <f>K222</f>
        <v>24</v>
      </c>
      <c r="H201" s="18">
        <f t="shared" ref="H201:H204" si="373">SUM(C201:G201)</f>
        <v>97</v>
      </c>
      <c r="I201" s="10"/>
      <c r="J201" s="19" t="s">
        <v>3</v>
      </c>
      <c r="K201" s="35">
        <f>C201/C205</f>
        <v>0.20224719101123595</v>
      </c>
      <c r="L201" s="36">
        <f>D201/D205</f>
        <v>0.19298245614035087</v>
      </c>
      <c r="M201" s="36">
        <f>E201/E205</f>
        <v>0.34426229508196721</v>
      </c>
      <c r="N201" s="36">
        <f>F201/F205</f>
        <v>0.36507936507936506</v>
      </c>
      <c r="O201" s="37">
        <f>G201/G205</f>
        <v>0.43636363636363634</v>
      </c>
      <c r="P201" s="23"/>
      <c r="W201" s="98">
        <v>2</v>
      </c>
      <c r="X201" s="32">
        <f t="shared" si="368"/>
        <v>67.150428655904051</v>
      </c>
      <c r="Y201" s="38">
        <f t="shared" si="368"/>
        <v>37.249051928931081</v>
      </c>
      <c r="Z201" s="38">
        <f t="shared" si="368"/>
        <v>38.064377649598754</v>
      </c>
      <c r="AA201" s="38">
        <f t="shared" si="368"/>
        <v>38.189060351250504</v>
      </c>
      <c r="AB201" s="39">
        <f t="shared" si="368"/>
        <v>40.012431407333032</v>
      </c>
      <c r="AD201" s="14" t="s">
        <v>3</v>
      </c>
      <c r="AE201" s="32">
        <f>AM216</f>
        <v>18</v>
      </c>
      <c r="AF201" s="33">
        <f>AM234</f>
        <v>9</v>
      </c>
      <c r="AG201" s="33">
        <f>AM219</f>
        <v>21</v>
      </c>
      <c r="AH201" s="33">
        <f>AM221</f>
        <v>23</v>
      </c>
      <c r="AI201" s="34">
        <f>AM222</f>
        <v>24</v>
      </c>
      <c r="AJ201" s="18">
        <f t="shared" ref="AJ201:AJ204" si="374">SUM(AE201:AI201)</f>
        <v>95</v>
      </c>
      <c r="AK201" s="10"/>
      <c r="AL201" s="19" t="s">
        <v>3</v>
      </c>
      <c r="AM201" s="40">
        <f>AE201/AE205</f>
        <v>0.21176470588235294</v>
      </c>
      <c r="AN201" s="41">
        <f>AF201/AF205</f>
        <v>0.125</v>
      </c>
      <c r="AO201" s="36">
        <f>AG201/AG205</f>
        <v>0.36842105263157893</v>
      </c>
      <c r="AP201" s="36">
        <f>AH201/AH205</f>
        <v>0.40350877192982454</v>
      </c>
      <c r="AQ201" s="37">
        <f>AI201/AI205</f>
        <v>0.51063829787234039</v>
      </c>
      <c r="AR201" s="23"/>
      <c r="AY201" s="98">
        <v>2</v>
      </c>
      <c r="AZ201" s="32">
        <f t="shared" si="369"/>
        <v>47.527014364236969</v>
      </c>
      <c r="BA201" s="38">
        <f t="shared" si="369"/>
        <v>48.95831937763154</v>
      </c>
      <c r="BB201" s="38">
        <f t="shared" si="369"/>
        <v>35.972102734900936</v>
      </c>
      <c r="BC201" s="38">
        <f t="shared" si="369"/>
        <v>35.542946856907982</v>
      </c>
      <c r="BD201" s="39">
        <f t="shared" si="369"/>
        <v>37.49209500065917</v>
      </c>
      <c r="BF201" s="14" t="s">
        <v>3</v>
      </c>
      <c r="BG201" s="32">
        <f>BO216</f>
        <v>15</v>
      </c>
      <c r="BH201" s="33">
        <f>BO234</f>
        <v>8</v>
      </c>
      <c r="BI201" s="33">
        <f>BO219</f>
        <v>18</v>
      </c>
      <c r="BJ201" s="33">
        <f>BO221</f>
        <v>20</v>
      </c>
      <c r="BK201" s="34">
        <f>BO222</f>
        <v>21</v>
      </c>
      <c r="BL201" s="18">
        <f t="shared" ref="BL201:BL204" si="375">SUM(BG201:BK201)</f>
        <v>82</v>
      </c>
      <c r="BM201" s="10"/>
      <c r="BN201" s="19" t="s">
        <v>3</v>
      </c>
      <c r="BO201" s="40">
        <f>BG201/BG205</f>
        <v>0.20270270270270271</v>
      </c>
      <c r="BP201" s="36">
        <f>BH201/BH205</f>
        <v>0.11940298507462686</v>
      </c>
      <c r="BQ201" s="41">
        <f>BI201/BI205</f>
        <v>0.1875</v>
      </c>
      <c r="BR201" s="36">
        <f>BJ201/BJ205</f>
        <v>0.41666666666666669</v>
      </c>
      <c r="BS201" s="37">
        <f>BK201/BK205</f>
        <v>0.52500000000000002</v>
      </c>
      <c r="BT201" s="23"/>
      <c r="CA201" s="98">
        <v>2</v>
      </c>
      <c r="CB201" s="32">
        <f t="shared" si="370"/>
        <v>50.470777719785502</v>
      </c>
      <c r="CC201" s="38">
        <f t="shared" si="370"/>
        <v>53.136056153269514</v>
      </c>
      <c r="CD201" s="38">
        <f t="shared" si="370"/>
        <v>54.197690607707337</v>
      </c>
      <c r="CE201" s="38">
        <f t="shared" si="370"/>
        <v>42.0142633663366</v>
      </c>
      <c r="CF201" s="39">
        <f t="shared" si="370"/>
        <v>43.862965742151104</v>
      </c>
      <c r="CH201" s="14" t="s">
        <v>3</v>
      </c>
      <c r="CI201" s="32">
        <f>CQ216</f>
        <v>14</v>
      </c>
      <c r="CJ201" s="33">
        <f>CQ234</f>
        <v>7</v>
      </c>
      <c r="CK201" s="33">
        <f>CQ219</f>
        <v>17</v>
      </c>
      <c r="CL201" s="33">
        <f>CQ221</f>
        <v>19</v>
      </c>
      <c r="CM201" s="34">
        <f>CQ222</f>
        <v>20</v>
      </c>
      <c r="CN201" s="18">
        <f t="shared" ref="CN201:CN204" si="376">SUM(CI201:CM201)</f>
        <v>77</v>
      </c>
      <c r="CO201" s="10"/>
      <c r="CP201" s="19" t="s">
        <v>3</v>
      </c>
      <c r="CQ201" s="40">
        <f>CI201/CI205</f>
        <v>0.20289855072463769</v>
      </c>
      <c r="CR201" s="36">
        <f>CJ201/CJ205</f>
        <v>0.11290322580645161</v>
      </c>
      <c r="CS201" s="36">
        <f>CK201/CK205</f>
        <v>0.18681318681318682</v>
      </c>
      <c r="CT201" s="41">
        <f>CL201/CL205</f>
        <v>0.27941176470588236</v>
      </c>
      <c r="CU201" s="37">
        <f>CM201/CM205</f>
        <v>0.5714285714285714</v>
      </c>
      <c r="CV201" s="23"/>
      <c r="DC201" s="98">
        <v>2</v>
      </c>
      <c r="DD201" s="32">
        <f t="shared" si="371"/>
        <v>43.746944211136942</v>
      </c>
      <c r="DE201" s="38">
        <f t="shared" si="371"/>
        <v>45.912916604621813</v>
      </c>
      <c r="DF201" s="38">
        <f t="shared" si="371"/>
        <v>46.685121874094023</v>
      </c>
      <c r="DG201" s="38">
        <f t="shared" si="371"/>
        <v>46.532050017717694</v>
      </c>
      <c r="DH201" s="39">
        <f t="shared" si="371"/>
        <v>40.860952624512514</v>
      </c>
      <c r="DJ201" s="14" t="s">
        <v>3</v>
      </c>
      <c r="DK201" s="32">
        <f>DS216</f>
        <v>13</v>
      </c>
      <c r="DL201" s="33">
        <f>DS234</f>
        <v>6</v>
      </c>
      <c r="DM201" s="33">
        <f>DS219</f>
        <v>16</v>
      </c>
      <c r="DN201" s="33">
        <f>DS221</f>
        <v>18</v>
      </c>
      <c r="DO201" s="34">
        <f>DS222</f>
        <v>19</v>
      </c>
      <c r="DP201" s="18">
        <f t="shared" ref="DP201:DP204" si="377">SUM(DK201:DO201)</f>
        <v>72</v>
      </c>
      <c r="DQ201" s="10"/>
      <c r="DR201" s="19" t="s">
        <v>3</v>
      </c>
      <c r="DS201" s="40">
        <f>DK201/DK205</f>
        <v>0.203125</v>
      </c>
      <c r="DT201" s="36">
        <f>DL201/DL205</f>
        <v>0.10526315789473684</v>
      </c>
      <c r="DU201" s="36">
        <f>DM201/DM205</f>
        <v>0.18604651162790697</v>
      </c>
      <c r="DV201" s="36">
        <f>DN201/DN205</f>
        <v>0.2857142857142857</v>
      </c>
      <c r="DW201" s="42">
        <f>DO201/DO205</f>
        <v>0.34545454545454546</v>
      </c>
      <c r="DX201" s="23"/>
      <c r="EE201" s="98">
        <v>2</v>
      </c>
      <c r="EF201" s="32">
        <f t="shared" si="372"/>
        <v>44.753427287647177</v>
      </c>
      <c r="EG201" s="38">
        <f t="shared" si="372"/>
        <v>46.865543567131411</v>
      </c>
      <c r="EH201" s="38">
        <f t="shared" si="372"/>
        <v>47.588417302886199</v>
      </c>
      <c r="EI201" s="38">
        <f t="shared" si="372"/>
        <v>47.305659383622384</v>
      </c>
      <c r="EJ201" s="39">
        <f t="shared" si="372"/>
        <v>49.423129535676381</v>
      </c>
    </row>
    <row r="202" spans="2:140" x14ac:dyDescent="0.2">
      <c r="B202" s="14" t="s">
        <v>14</v>
      </c>
      <c r="C202" s="123">
        <f>K218</f>
        <v>20</v>
      </c>
      <c r="D202" s="33">
        <f>K239</f>
        <v>16</v>
      </c>
      <c r="E202" s="33">
        <f>K237</f>
        <v>14</v>
      </c>
      <c r="F202" s="33">
        <f>K217</f>
        <v>19</v>
      </c>
      <c r="G202" s="34">
        <f>K229</f>
        <v>6</v>
      </c>
      <c r="H202" s="18">
        <f t="shared" si="373"/>
        <v>75</v>
      </c>
      <c r="I202" s="10"/>
      <c r="J202" s="19" t="s">
        <v>14</v>
      </c>
      <c r="K202" s="35">
        <f>C202/C205</f>
        <v>0.2247191011235955</v>
      </c>
      <c r="L202" s="36">
        <f>D202/D205</f>
        <v>0.2807017543859649</v>
      </c>
      <c r="M202" s="36">
        <f>E202/E205</f>
        <v>0.22950819672131148</v>
      </c>
      <c r="N202" s="36">
        <f>F202/F205</f>
        <v>0.30158730158730157</v>
      </c>
      <c r="O202" s="37">
        <f>G202/G205</f>
        <v>0.10909090909090909</v>
      </c>
      <c r="P202" s="23"/>
      <c r="W202" s="98">
        <v>3</v>
      </c>
      <c r="X202" s="32">
        <f t="shared" si="368"/>
        <v>63.73316675114215</v>
      </c>
      <c r="Y202" s="38">
        <f t="shared" si="368"/>
        <v>37.436131614250208</v>
      </c>
      <c r="Z202" s="38">
        <f t="shared" si="368"/>
        <v>38.22923272206252</v>
      </c>
      <c r="AA202" s="38">
        <f t="shared" si="368"/>
        <v>38.238266700456862</v>
      </c>
      <c r="AB202" s="39">
        <f t="shared" si="368"/>
        <v>40.150605426940878</v>
      </c>
      <c r="AD202" s="14" t="s">
        <v>14</v>
      </c>
      <c r="AE202" s="123">
        <f>AM218</f>
        <v>20</v>
      </c>
      <c r="AF202" s="33">
        <f>AM239</f>
        <v>14</v>
      </c>
      <c r="AG202" s="33">
        <f>AM237</f>
        <v>12</v>
      </c>
      <c r="AH202" s="33">
        <f>AM217</f>
        <v>19</v>
      </c>
      <c r="AI202" s="34">
        <f>AM229</f>
        <v>4</v>
      </c>
      <c r="AJ202" s="18">
        <f t="shared" si="374"/>
        <v>69</v>
      </c>
      <c r="AK202" s="10"/>
      <c r="AL202" s="19" t="s">
        <v>14</v>
      </c>
      <c r="AM202" s="40">
        <f>AE202/AE205</f>
        <v>0.23529411764705882</v>
      </c>
      <c r="AN202" s="41">
        <f>AF202/AF205</f>
        <v>0.19444444444444445</v>
      </c>
      <c r="AO202" s="36">
        <f>AG202/AG205</f>
        <v>0.21052631578947367</v>
      </c>
      <c r="AP202" s="36">
        <f>AH202/AH205</f>
        <v>0.33333333333333331</v>
      </c>
      <c r="AQ202" s="37">
        <f>AI202/AI205</f>
        <v>8.5106382978723402E-2</v>
      </c>
      <c r="AR202" s="23"/>
      <c r="AY202" s="98">
        <v>3</v>
      </c>
      <c r="AZ202" s="32">
        <f t="shared" si="369"/>
        <v>60.497134298066584</v>
      </c>
      <c r="BA202" s="38">
        <f t="shared" si="369"/>
        <v>62.107352438135472</v>
      </c>
      <c r="BB202" s="38">
        <f t="shared" si="369"/>
        <v>44.430552618350816</v>
      </c>
      <c r="BC202" s="38">
        <f t="shared" si="369"/>
        <v>44.021121460082583</v>
      </c>
      <c r="BD202" s="39">
        <f t="shared" si="369"/>
        <v>46.290050975501941</v>
      </c>
      <c r="BF202" s="14" t="s">
        <v>14</v>
      </c>
      <c r="BG202" s="123">
        <f>BO218</f>
        <v>17</v>
      </c>
      <c r="BH202" s="33">
        <f>BO239</f>
        <v>13</v>
      </c>
      <c r="BI202" s="33">
        <f>BO237</f>
        <v>11</v>
      </c>
      <c r="BJ202" s="33">
        <f>BO217</f>
        <v>16</v>
      </c>
      <c r="BK202" s="34">
        <f>BO229</f>
        <v>3</v>
      </c>
      <c r="BL202" s="18">
        <f t="shared" si="375"/>
        <v>60</v>
      </c>
      <c r="BM202" s="10"/>
      <c r="BN202" s="19" t="s">
        <v>14</v>
      </c>
      <c r="BO202" s="40">
        <f>BG202/BG205</f>
        <v>0.22972972972972974</v>
      </c>
      <c r="BP202" s="36">
        <f>BH202/BH205</f>
        <v>0.19402985074626866</v>
      </c>
      <c r="BQ202" s="41">
        <f>BI202/BI205</f>
        <v>0.11458333333333333</v>
      </c>
      <c r="BR202" s="36">
        <f>BJ202/BJ205</f>
        <v>0.33333333333333331</v>
      </c>
      <c r="BS202" s="37">
        <f>BK202/BK205</f>
        <v>7.4999999999999997E-2</v>
      </c>
      <c r="BT202" s="23"/>
      <c r="CA202" s="98">
        <v>3</v>
      </c>
      <c r="CB202" s="32">
        <f t="shared" si="370"/>
        <v>48.331448911339066</v>
      </c>
      <c r="CC202" s="38">
        <f t="shared" si="370"/>
        <v>50.99196010807178</v>
      </c>
      <c r="CD202" s="38">
        <f t="shared" si="370"/>
        <v>52.006990643511131</v>
      </c>
      <c r="CE202" s="38">
        <f t="shared" si="370"/>
        <v>41.248167475925641</v>
      </c>
      <c r="CF202" s="39">
        <f t="shared" si="370"/>
        <v>43.244375998561367</v>
      </c>
      <c r="CH202" s="14" t="s">
        <v>14</v>
      </c>
      <c r="CI202" s="123">
        <f>CQ218</f>
        <v>16</v>
      </c>
      <c r="CJ202" s="33">
        <f>CQ239</f>
        <v>12</v>
      </c>
      <c r="CK202" s="33">
        <f>CQ237</f>
        <v>10</v>
      </c>
      <c r="CL202" s="33">
        <f>CQ217</f>
        <v>15</v>
      </c>
      <c r="CM202" s="34">
        <f>CQ229</f>
        <v>2</v>
      </c>
      <c r="CN202" s="18">
        <f t="shared" si="376"/>
        <v>55</v>
      </c>
      <c r="CO202" s="10"/>
      <c r="CP202" s="19" t="s">
        <v>14</v>
      </c>
      <c r="CQ202" s="40">
        <f>CI202/CI205</f>
        <v>0.2318840579710145</v>
      </c>
      <c r="CR202" s="36">
        <f>CJ202/CJ205</f>
        <v>0.19354838709677419</v>
      </c>
      <c r="CS202" s="36">
        <f>CK202/CK205</f>
        <v>0.10989010989010989</v>
      </c>
      <c r="CT202" s="41">
        <f>CL202/CL205</f>
        <v>0.22058823529411764</v>
      </c>
      <c r="CU202" s="37">
        <f>CM202/CM205</f>
        <v>5.7142857142857141E-2</v>
      </c>
      <c r="CV202" s="23"/>
      <c r="DC202" s="98">
        <v>3</v>
      </c>
      <c r="DD202" s="32">
        <f t="shared" si="371"/>
        <v>48.442078343557043</v>
      </c>
      <c r="DE202" s="38">
        <f t="shared" si="371"/>
        <v>50.857016049777599</v>
      </c>
      <c r="DF202" s="38">
        <f t="shared" si="371"/>
        <v>51.714389618927811</v>
      </c>
      <c r="DG202" s="38">
        <f t="shared" si="371"/>
        <v>51.530497222686634</v>
      </c>
      <c r="DH202" s="39">
        <f t="shared" si="371"/>
        <v>45.361624667523266</v>
      </c>
      <c r="DJ202" s="14" t="s">
        <v>14</v>
      </c>
      <c r="DK202" s="123">
        <f>DS218</f>
        <v>15</v>
      </c>
      <c r="DL202" s="33">
        <f>DS239</f>
        <v>11</v>
      </c>
      <c r="DM202" s="33">
        <f>DS237</f>
        <v>9</v>
      </c>
      <c r="DN202" s="33">
        <f>DS217</f>
        <v>14</v>
      </c>
      <c r="DO202" s="34">
        <f>DS229</f>
        <v>1</v>
      </c>
      <c r="DP202" s="18">
        <f t="shared" si="377"/>
        <v>50</v>
      </c>
      <c r="DQ202" s="10"/>
      <c r="DR202" s="19" t="s">
        <v>14</v>
      </c>
      <c r="DS202" s="40">
        <f>DK202/DK205</f>
        <v>0.234375</v>
      </c>
      <c r="DT202" s="36">
        <f>DL202/DL205</f>
        <v>0.19298245614035087</v>
      </c>
      <c r="DU202" s="36">
        <f>DM202/DM205</f>
        <v>0.10465116279069768</v>
      </c>
      <c r="DV202" s="36">
        <f>DN202/DN205</f>
        <v>0.22222222222222221</v>
      </c>
      <c r="DW202" s="42">
        <f>DO202/DO205</f>
        <v>1.8181818181818181E-2</v>
      </c>
      <c r="DX202" s="23"/>
      <c r="EE202" s="98">
        <v>3</v>
      </c>
      <c r="EF202" s="32">
        <f t="shared" si="372"/>
        <v>39.585164876299658</v>
      </c>
      <c r="EG202" s="38">
        <f t="shared" si="372"/>
        <v>41.727329585886736</v>
      </c>
      <c r="EH202" s="38">
        <f t="shared" si="372"/>
        <v>42.419722902048946</v>
      </c>
      <c r="EI202" s="38">
        <f t="shared" si="372"/>
        <v>41.978095281058273</v>
      </c>
      <c r="EJ202" s="39">
        <f t="shared" si="372"/>
        <v>44.233948398461536</v>
      </c>
    </row>
    <row r="203" spans="2:140" x14ac:dyDescent="0.2">
      <c r="B203" s="14" t="s">
        <v>8</v>
      </c>
      <c r="C203" s="32">
        <f>K240</f>
        <v>17</v>
      </c>
      <c r="D203" s="33">
        <f>K236</f>
        <v>13</v>
      </c>
      <c r="E203" s="33">
        <f>K224</f>
        <v>1</v>
      </c>
      <c r="F203" s="33">
        <f>K230</f>
        <v>7</v>
      </c>
      <c r="G203" s="34">
        <f>K231</f>
        <v>8</v>
      </c>
      <c r="H203" s="18">
        <f t="shared" si="373"/>
        <v>46</v>
      </c>
      <c r="I203" s="10"/>
      <c r="J203" s="19" t="s">
        <v>8</v>
      </c>
      <c r="K203" s="35">
        <f>C203/C205</f>
        <v>0.19101123595505617</v>
      </c>
      <c r="L203" s="36">
        <f>D203/D205</f>
        <v>0.22807017543859648</v>
      </c>
      <c r="M203" s="36">
        <f>E203/E205</f>
        <v>1.6393442622950821E-2</v>
      </c>
      <c r="N203" s="36">
        <f>F203/F205</f>
        <v>0.1111111111111111</v>
      </c>
      <c r="O203" s="37">
        <f>G203/G205</f>
        <v>0.14545454545454545</v>
      </c>
      <c r="P203" s="23"/>
      <c r="W203" s="98">
        <v>4</v>
      </c>
      <c r="X203" s="32">
        <f t="shared" si="368"/>
        <v>80.447452465427858</v>
      </c>
      <c r="Y203" s="38">
        <f t="shared" si="368"/>
        <v>43.76045593857453</v>
      </c>
      <c r="Z203" s="38">
        <f t="shared" si="368"/>
        <v>44.72923272206252</v>
      </c>
      <c r="AA203" s="38">
        <f t="shared" si="368"/>
        <v>44.923980986171145</v>
      </c>
      <c r="AB203" s="39">
        <f t="shared" si="368"/>
        <v>47.032958368117349</v>
      </c>
      <c r="AD203" s="14" t="s">
        <v>8</v>
      </c>
      <c r="AE203" s="32">
        <f>AM240</f>
        <v>15</v>
      </c>
      <c r="AF203" s="33">
        <f>AM236</f>
        <v>11</v>
      </c>
      <c r="AG203" s="33">
        <f>AM224</f>
        <v>1</v>
      </c>
      <c r="AH203" s="33">
        <f>AM230</f>
        <v>5</v>
      </c>
      <c r="AI203" s="34">
        <f>AM231</f>
        <v>6</v>
      </c>
      <c r="AJ203" s="18">
        <f t="shared" si="374"/>
        <v>38</v>
      </c>
      <c r="AK203" s="10"/>
      <c r="AL203" s="19" t="s">
        <v>8</v>
      </c>
      <c r="AM203" s="40">
        <f>AE203/AE205</f>
        <v>0.17647058823529413</v>
      </c>
      <c r="AN203" s="41">
        <f>AF203/AF205</f>
        <v>0.15277777777777779</v>
      </c>
      <c r="AO203" s="36">
        <f>AG203/AG205</f>
        <v>1.7543859649122806E-2</v>
      </c>
      <c r="AP203" s="36">
        <f>AH203/AH205</f>
        <v>8.771929824561403E-2</v>
      </c>
      <c r="AQ203" s="37">
        <f>AI203/AI205</f>
        <v>0.1276595744680851</v>
      </c>
      <c r="AR203" s="23"/>
      <c r="AY203" s="98">
        <v>4</v>
      </c>
      <c r="AZ203" s="32">
        <f t="shared" si="369"/>
        <v>55.077779459356904</v>
      </c>
      <c r="BA203" s="38">
        <f t="shared" si="369"/>
        <v>56.687997599425785</v>
      </c>
      <c r="BB203" s="38">
        <f t="shared" si="369"/>
        <v>41.376007163805355</v>
      </c>
      <c r="BC203" s="38">
        <f t="shared" si="369"/>
        <v>40.910010348971475</v>
      </c>
      <c r="BD203" s="39">
        <f t="shared" si="369"/>
        <v>43.120239654747223</v>
      </c>
      <c r="BF203" s="14" t="s">
        <v>8</v>
      </c>
      <c r="BG203" s="32">
        <f>BO240</f>
        <v>14</v>
      </c>
      <c r="BH203" s="33">
        <f>BO236</f>
        <v>10</v>
      </c>
      <c r="BI203" s="33">
        <f>BO224</f>
        <v>23</v>
      </c>
      <c r="BJ203" s="33">
        <f>BO230</f>
        <v>4</v>
      </c>
      <c r="BK203" s="34">
        <f>BO231</f>
        <v>5</v>
      </c>
      <c r="BL203" s="18">
        <f t="shared" si="375"/>
        <v>56</v>
      </c>
      <c r="BM203" s="10"/>
      <c r="BN203" s="19" t="s">
        <v>8</v>
      </c>
      <c r="BO203" s="40">
        <f>BG203/BG205</f>
        <v>0.1891891891891892</v>
      </c>
      <c r="BP203" s="36">
        <f>BH203/BH205</f>
        <v>0.14925373134328357</v>
      </c>
      <c r="BQ203" s="41">
        <f>BI203/BI205</f>
        <v>0.23958333333333334</v>
      </c>
      <c r="BR203" s="36">
        <f>BJ203/BJ205</f>
        <v>8.3333333333333329E-2</v>
      </c>
      <c r="BS203" s="37">
        <f>BK203/BK205</f>
        <v>0.125</v>
      </c>
      <c r="BT203" s="23"/>
      <c r="CA203" s="98">
        <v>4</v>
      </c>
      <c r="CB203" s="32">
        <f t="shared" si="370"/>
        <v>51.177602757492899</v>
      </c>
      <c r="CC203" s="38">
        <f t="shared" si="370"/>
        <v>53.951960108071773</v>
      </c>
      <c r="CD203" s="38">
        <f t="shared" si="370"/>
        <v>55.027398806776439</v>
      </c>
      <c r="CE203" s="38">
        <f t="shared" si="370"/>
        <v>43.27556473619962</v>
      </c>
      <c r="CF203" s="39">
        <f t="shared" si="370"/>
        <v>45.299931554116917</v>
      </c>
      <c r="CH203" s="14" t="s">
        <v>8</v>
      </c>
      <c r="CI203" s="32">
        <f>CQ240</f>
        <v>13</v>
      </c>
      <c r="CJ203" s="33">
        <f>CQ236</f>
        <v>9</v>
      </c>
      <c r="CK203" s="33">
        <f>CQ224</f>
        <v>22</v>
      </c>
      <c r="CL203" s="33">
        <f>CQ230</f>
        <v>3</v>
      </c>
      <c r="CM203" s="34">
        <f>CQ231</f>
        <v>4</v>
      </c>
      <c r="CN203" s="18">
        <f t="shared" si="376"/>
        <v>51</v>
      </c>
      <c r="CO203" s="10"/>
      <c r="CP203" s="19" t="s">
        <v>8</v>
      </c>
      <c r="CQ203" s="40">
        <f>CI203/CI205</f>
        <v>0.18840579710144928</v>
      </c>
      <c r="CR203" s="36">
        <f>CJ203/CJ205</f>
        <v>0.14516129032258066</v>
      </c>
      <c r="CS203" s="36">
        <f>CK203/CK205</f>
        <v>0.24175824175824176</v>
      </c>
      <c r="CT203" s="41">
        <f>CL203/CL205</f>
        <v>4.4117647058823532E-2</v>
      </c>
      <c r="CU203" s="37">
        <f>CM203/CM205</f>
        <v>0.11428571428571428</v>
      </c>
      <c r="CV203" s="23"/>
      <c r="DC203" s="98">
        <v>4</v>
      </c>
      <c r="DD203" s="32">
        <f t="shared" si="371"/>
        <v>40.716050946296761</v>
      </c>
      <c r="DE203" s="38">
        <f t="shared" si="371"/>
        <v>42.913354077946614</v>
      </c>
      <c r="DF203" s="38">
        <f t="shared" si="371"/>
        <v>43.657246761784954</v>
      </c>
      <c r="DG203" s="38">
        <f t="shared" si="371"/>
        <v>43.356584179208383</v>
      </c>
      <c r="DH203" s="39">
        <f t="shared" si="371"/>
        <v>39.297108538491017</v>
      </c>
      <c r="DJ203" s="14" t="s">
        <v>8</v>
      </c>
      <c r="DK203" s="32">
        <f>DS240</f>
        <v>12</v>
      </c>
      <c r="DL203" s="33">
        <f>DS236</f>
        <v>8</v>
      </c>
      <c r="DM203" s="33">
        <f>DS224</f>
        <v>21</v>
      </c>
      <c r="DN203" s="33">
        <f>DS230</f>
        <v>2</v>
      </c>
      <c r="DO203" s="34">
        <f>DS231</f>
        <v>3</v>
      </c>
      <c r="DP203" s="18">
        <f t="shared" si="377"/>
        <v>46</v>
      </c>
      <c r="DQ203" s="10"/>
      <c r="DR203" s="19" t="s">
        <v>8</v>
      </c>
      <c r="DS203" s="40">
        <f>DK203/DK205</f>
        <v>0.1875</v>
      </c>
      <c r="DT203" s="36">
        <f>DL203/DL205</f>
        <v>0.14035087719298245</v>
      </c>
      <c r="DU203" s="36">
        <f>DM203/DM205</f>
        <v>0.2441860465116279</v>
      </c>
      <c r="DV203" s="36">
        <f>DN203/DN205</f>
        <v>3.1746031746031744E-2</v>
      </c>
      <c r="DW203" s="42">
        <f>DO203/DO205</f>
        <v>5.4545454545454543E-2</v>
      </c>
      <c r="DX203" s="23"/>
      <c r="EE203" s="98">
        <v>4</v>
      </c>
      <c r="EF203" s="32">
        <f t="shared" si="372"/>
        <v>43.223462748640088</v>
      </c>
      <c r="EG203" s="38">
        <f t="shared" si="372"/>
        <v>45.444720890234564</v>
      </c>
      <c r="EH203" s="38">
        <f t="shared" si="372"/>
        <v>46.177964660290705</v>
      </c>
      <c r="EI203" s="38">
        <f t="shared" si="372"/>
        <v>45.77809528105827</v>
      </c>
      <c r="EJ203" s="39">
        <f t="shared" si="372"/>
        <v>48.076645027675021</v>
      </c>
    </row>
    <row r="204" spans="2:140" ht="15" thickBot="1" x14ac:dyDescent="0.25">
      <c r="B204" s="14" t="s">
        <v>3</v>
      </c>
      <c r="C204" s="134">
        <f>K223</f>
        <v>25</v>
      </c>
      <c r="D204" s="44">
        <f>K225</f>
        <v>2</v>
      </c>
      <c r="E204" s="44">
        <f>K226</f>
        <v>3</v>
      </c>
      <c r="F204" s="44">
        <f>K227</f>
        <v>4</v>
      </c>
      <c r="G204" s="45">
        <f>K228</f>
        <v>5</v>
      </c>
      <c r="H204" s="18">
        <f t="shared" si="373"/>
        <v>39</v>
      </c>
      <c r="I204" s="10"/>
      <c r="J204" s="46" t="s">
        <v>3</v>
      </c>
      <c r="K204" s="47">
        <f>C204/C205</f>
        <v>0.2808988764044944</v>
      </c>
      <c r="L204" s="48">
        <f>D204/D205</f>
        <v>3.5087719298245612E-2</v>
      </c>
      <c r="M204" s="48">
        <f>E204/E205</f>
        <v>4.9180327868852458E-2</v>
      </c>
      <c r="N204" s="48">
        <f>F204/F205</f>
        <v>6.3492063492063489E-2</v>
      </c>
      <c r="O204" s="49">
        <f>G204/G205</f>
        <v>9.0909090909090912E-2</v>
      </c>
      <c r="P204" s="23"/>
      <c r="W204" s="98">
        <v>5</v>
      </c>
      <c r="X204" s="32">
        <f t="shared" si="368"/>
        <v>69.936142941618328</v>
      </c>
      <c r="Y204" s="38">
        <f t="shared" si="368"/>
        <v>38.30310598298513</v>
      </c>
      <c r="Z204" s="38">
        <f t="shared" si="368"/>
        <v>39.147710982932082</v>
      </c>
      <c r="AA204" s="38">
        <f t="shared" si="368"/>
        <v>39.303346065536218</v>
      </c>
      <c r="AB204" s="39">
        <f t="shared" si="368"/>
        <v>41.159490230862446</v>
      </c>
      <c r="AD204" s="14" t="s">
        <v>3</v>
      </c>
      <c r="AE204" s="43">
        <f>AM223</f>
        <v>25</v>
      </c>
      <c r="AF204" s="135">
        <f>AM225</f>
        <v>25</v>
      </c>
      <c r="AG204" s="44">
        <f>AM226</f>
        <v>1</v>
      </c>
      <c r="AH204" s="44">
        <f>AM227</f>
        <v>2</v>
      </c>
      <c r="AI204" s="45">
        <f>AM228</f>
        <v>3</v>
      </c>
      <c r="AJ204" s="18">
        <f t="shared" si="374"/>
        <v>56</v>
      </c>
      <c r="AK204" s="10"/>
      <c r="AL204" s="46" t="s">
        <v>3</v>
      </c>
      <c r="AM204" s="50">
        <f>AE204/AE205</f>
        <v>0.29411764705882354</v>
      </c>
      <c r="AN204" s="51">
        <f>AF204/AF205</f>
        <v>0.34722222222222221</v>
      </c>
      <c r="AO204" s="48">
        <f>AG204/AG205</f>
        <v>1.7543859649122806E-2</v>
      </c>
      <c r="AP204" s="48">
        <f>AH204/AH205</f>
        <v>3.5087719298245612E-2</v>
      </c>
      <c r="AQ204" s="49">
        <f>AI204/AI205</f>
        <v>6.3829787234042548E-2</v>
      </c>
      <c r="AR204" s="23"/>
      <c r="AY204" s="98">
        <v>5</v>
      </c>
      <c r="AZ204" s="32">
        <f t="shared" si="369"/>
        <v>56.559272428753097</v>
      </c>
      <c r="BA204" s="38">
        <f t="shared" si="369"/>
        <v>57.990577442147668</v>
      </c>
      <c r="BB204" s="38">
        <f t="shared" si="369"/>
        <v>41.063011825810023</v>
      </c>
      <c r="BC204" s="38">
        <f t="shared" si="369"/>
        <v>40.728132042093172</v>
      </c>
      <c r="BD204" s="39">
        <f t="shared" si="369"/>
        <v>42.775113868583702</v>
      </c>
      <c r="BF204" s="14" t="s">
        <v>3</v>
      </c>
      <c r="BG204" s="43">
        <f>BO223</f>
        <v>22</v>
      </c>
      <c r="BH204" s="70">
        <f>BO225</f>
        <v>24</v>
      </c>
      <c r="BI204" s="135">
        <f>BO226</f>
        <v>25</v>
      </c>
      <c r="BJ204" s="44">
        <f>BO227</f>
        <v>1</v>
      </c>
      <c r="BK204" s="45">
        <f>BO228</f>
        <v>2</v>
      </c>
      <c r="BL204" s="18">
        <f t="shared" si="375"/>
        <v>74</v>
      </c>
      <c r="BM204" s="10"/>
      <c r="BN204" s="46" t="s">
        <v>3</v>
      </c>
      <c r="BO204" s="50">
        <f>BG204/BG205</f>
        <v>0.29729729729729731</v>
      </c>
      <c r="BP204" s="48">
        <f>BH204/BH205</f>
        <v>0.35820895522388058</v>
      </c>
      <c r="BQ204" s="51">
        <f>BI204/BI205</f>
        <v>0.26041666666666669</v>
      </c>
      <c r="BR204" s="48">
        <f>BJ204/BJ205</f>
        <v>2.0833333333333332E-2</v>
      </c>
      <c r="BS204" s="49">
        <f>BK204/BK205</f>
        <v>0.05</v>
      </c>
      <c r="BT204" s="23"/>
      <c r="CA204" s="98">
        <v>5</v>
      </c>
      <c r="CB204" s="32">
        <f t="shared" si="370"/>
        <v>40.50923925824705</v>
      </c>
      <c r="CC204" s="38">
        <f t="shared" si="370"/>
        <v>42.776056153269515</v>
      </c>
      <c r="CD204" s="38">
        <f t="shared" si="370"/>
        <v>43.626262036278767</v>
      </c>
      <c r="CE204" s="38">
        <f t="shared" si="370"/>
        <v>34.918372955377691</v>
      </c>
      <c r="CF204" s="39">
        <f t="shared" si="370"/>
        <v>36.668521297706661</v>
      </c>
      <c r="CH204" s="14" t="s">
        <v>3</v>
      </c>
      <c r="CI204" s="43">
        <f>CQ223</f>
        <v>21</v>
      </c>
      <c r="CJ204" s="70">
        <f>CQ225</f>
        <v>23</v>
      </c>
      <c r="CK204" s="70">
        <f>CQ226</f>
        <v>24</v>
      </c>
      <c r="CL204" s="135">
        <f>CQ227</f>
        <v>25</v>
      </c>
      <c r="CM204" s="45">
        <f>CQ228</f>
        <v>1</v>
      </c>
      <c r="CN204" s="18">
        <f t="shared" si="376"/>
        <v>94</v>
      </c>
      <c r="CO204" s="10"/>
      <c r="CP204" s="46" t="s">
        <v>3</v>
      </c>
      <c r="CQ204" s="50">
        <f>CI204/CI205</f>
        <v>0.30434782608695654</v>
      </c>
      <c r="CR204" s="48">
        <f>CJ204/CJ205</f>
        <v>0.37096774193548387</v>
      </c>
      <c r="CS204" s="48">
        <f>CK204/CK205</f>
        <v>0.26373626373626374</v>
      </c>
      <c r="CT204" s="51">
        <f>CL204/CL205</f>
        <v>0.36764705882352944</v>
      </c>
      <c r="CU204" s="49">
        <f>CM204/CM205</f>
        <v>2.8571428571428571E-2</v>
      </c>
      <c r="CV204" s="23"/>
      <c r="DC204" s="98">
        <v>5</v>
      </c>
      <c r="DD204" s="32">
        <f t="shared" si="371"/>
        <v>42.459272978260231</v>
      </c>
      <c r="DE204" s="38">
        <f t="shared" si="371"/>
        <v>44.588972942649981</v>
      </c>
      <c r="DF204" s="38">
        <f t="shared" si="371"/>
        <v>45.342264731236895</v>
      </c>
      <c r="DG204" s="38">
        <f t="shared" si="371"/>
        <v>45.169731177137983</v>
      </c>
      <c r="DH204" s="39">
        <f t="shared" si="371"/>
        <v>39.850199936340474</v>
      </c>
      <c r="DJ204" s="14" t="s">
        <v>3</v>
      </c>
      <c r="DK204" s="43">
        <f>DS223</f>
        <v>20</v>
      </c>
      <c r="DL204" s="70">
        <f>DS225</f>
        <v>22</v>
      </c>
      <c r="DM204" s="70">
        <f>DS226</f>
        <v>23</v>
      </c>
      <c r="DN204" s="70">
        <f>DS227</f>
        <v>24</v>
      </c>
      <c r="DO204" s="133">
        <f>DS228</f>
        <v>25</v>
      </c>
      <c r="DP204" s="18">
        <f t="shared" si="377"/>
        <v>114</v>
      </c>
      <c r="DQ204" s="10"/>
      <c r="DR204" s="46" t="s">
        <v>3</v>
      </c>
      <c r="DS204" s="50">
        <f>DK204/DK205</f>
        <v>0.3125</v>
      </c>
      <c r="DT204" s="48">
        <f>DL204/DL205</f>
        <v>0.38596491228070173</v>
      </c>
      <c r="DU204" s="48">
        <f>DM204/DM205</f>
        <v>0.26744186046511625</v>
      </c>
      <c r="DV204" s="48">
        <f>DN204/DN205</f>
        <v>0.38095238095238093</v>
      </c>
      <c r="DW204" s="52">
        <f>DO204/DO205</f>
        <v>0.45454545454545453</v>
      </c>
      <c r="DX204" s="23"/>
      <c r="EE204" s="98">
        <v>5</v>
      </c>
      <c r="EF204" s="32">
        <f t="shared" si="372"/>
        <v>38.689597500413129</v>
      </c>
      <c r="EG204" s="38">
        <f t="shared" si="372"/>
        <v>40.669891393218364</v>
      </c>
      <c r="EH204" s="38">
        <f t="shared" si="372"/>
        <v>41.324681039149937</v>
      </c>
      <c r="EI204" s="38">
        <f t="shared" si="372"/>
        <v>40.972326050289041</v>
      </c>
      <c r="EJ204" s="39">
        <f t="shared" si="372"/>
        <v>43.018635153653911</v>
      </c>
    </row>
    <row r="205" spans="2:140" ht="15" thickBot="1" x14ac:dyDescent="0.25">
      <c r="B205" s="53"/>
      <c r="C205" s="55">
        <f>SUM(C200:C204)</f>
        <v>89</v>
      </c>
      <c r="D205" s="55">
        <f t="shared" ref="D205:G205" si="378">SUM(D200:D204)</f>
        <v>57</v>
      </c>
      <c r="E205" s="55">
        <f t="shared" si="378"/>
        <v>61</v>
      </c>
      <c r="F205" s="55">
        <f t="shared" si="378"/>
        <v>63</v>
      </c>
      <c r="G205" s="55">
        <f t="shared" si="378"/>
        <v>55</v>
      </c>
      <c r="H205" s="56"/>
      <c r="I205" s="10"/>
      <c r="K205" s="57"/>
      <c r="L205" s="57"/>
      <c r="M205" s="57"/>
      <c r="N205" s="57"/>
      <c r="O205" s="57"/>
      <c r="P205" s="57"/>
      <c r="W205" s="98">
        <v>6</v>
      </c>
      <c r="X205" s="32">
        <f t="shared" si="368"/>
        <v>73.353404846380243</v>
      </c>
      <c r="Y205" s="38">
        <f t="shared" si="368"/>
        <v>38.116026297666011</v>
      </c>
      <c r="Z205" s="38">
        <f t="shared" si="368"/>
        <v>38.982855910468317</v>
      </c>
      <c r="AA205" s="38">
        <f t="shared" si="368"/>
        <v>39.254139716329874</v>
      </c>
      <c r="AB205" s="39">
        <f t="shared" si="368"/>
        <v>41.0213162112546</v>
      </c>
      <c r="AD205" s="53"/>
      <c r="AE205" s="55">
        <f>SUM(AE200:AE204)</f>
        <v>85</v>
      </c>
      <c r="AF205" s="55">
        <f t="shared" ref="AF205:AI205" si="379">SUM(AF200:AF204)</f>
        <v>72</v>
      </c>
      <c r="AG205" s="55">
        <f t="shared" si="379"/>
        <v>57</v>
      </c>
      <c r="AH205" s="55">
        <f t="shared" si="379"/>
        <v>57</v>
      </c>
      <c r="AI205" s="55">
        <f t="shared" si="379"/>
        <v>47</v>
      </c>
      <c r="AJ205" s="56"/>
      <c r="AK205" s="10"/>
      <c r="AM205" s="57"/>
      <c r="AN205" s="57"/>
      <c r="AO205" s="57"/>
      <c r="AP205" s="57"/>
      <c r="AQ205" s="57"/>
      <c r="AR205" s="57"/>
      <c r="AY205" s="98">
        <v>6</v>
      </c>
      <c r="AZ205" s="32">
        <f t="shared" si="369"/>
        <v>43.589152494923496</v>
      </c>
      <c r="BA205" s="38">
        <f t="shared" si="369"/>
        <v>44.841544381643729</v>
      </c>
      <c r="BB205" s="38">
        <f t="shared" si="369"/>
        <v>32.604561942360142</v>
      </c>
      <c r="BC205" s="38">
        <f t="shared" si="369"/>
        <v>32.249957438918564</v>
      </c>
      <c r="BD205" s="39">
        <f t="shared" si="369"/>
        <v>33.977157893740937</v>
      </c>
      <c r="BF205" s="53"/>
      <c r="BG205" s="55">
        <f>SUM(BG200:BG204)</f>
        <v>74</v>
      </c>
      <c r="BH205" s="55">
        <f t="shared" ref="BH205:BK205" si="380">SUM(BH200:BH204)</f>
        <v>67</v>
      </c>
      <c r="BI205" s="55">
        <f t="shared" si="380"/>
        <v>96</v>
      </c>
      <c r="BJ205" s="55">
        <f t="shared" si="380"/>
        <v>48</v>
      </c>
      <c r="BK205" s="55">
        <f t="shared" si="380"/>
        <v>40</v>
      </c>
      <c r="BL205" s="56"/>
      <c r="BM205" s="10"/>
      <c r="BO205" s="57"/>
      <c r="BP205" s="57"/>
      <c r="BQ205" s="57"/>
      <c r="BR205" s="57"/>
      <c r="BS205" s="57"/>
      <c r="BT205" s="57"/>
      <c r="CA205" s="98">
        <v>6</v>
      </c>
      <c r="CB205" s="32">
        <f t="shared" si="370"/>
        <v>42.6485680666935</v>
      </c>
      <c r="CC205" s="38">
        <f t="shared" si="370"/>
        <v>44.920152198467257</v>
      </c>
      <c r="CD205" s="38">
        <f t="shared" si="370"/>
        <v>45.816962000474973</v>
      </c>
      <c r="CE205" s="38">
        <f t="shared" si="370"/>
        <v>35.684468845788658</v>
      </c>
      <c r="CF205" s="39">
        <f t="shared" si="370"/>
        <v>37.287111041296406</v>
      </c>
      <c r="CH205" s="53"/>
      <c r="CI205" s="55">
        <f>SUM(CI200:CI204)</f>
        <v>69</v>
      </c>
      <c r="CJ205" s="55">
        <f t="shared" ref="CJ205:CM205" si="381">SUM(CJ200:CJ204)</f>
        <v>62</v>
      </c>
      <c r="CK205" s="55">
        <f t="shared" si="381"/>
        <v>91</v>
      </c>
      <c r="CL205" s="55">
        <f t="shared" si="381"/>
        <v>68</v>
      </c>
      <c r="CM205" s="55">
        <f t="shared" si="381"/>
        <v>35</v>
      </c>
      <c r="CN205" s="56"/>
      <c r="CO205" s="10"/>
      <c r="CQ205" s="57"/>
      <c r="CR205" s="57"/>
      <c r="CS205" s="57"/>
      <c r="CT205" s="57"/>
      <c r="CU205" s="57"/>
      <c r="CV205" s="57"/>
      <c r="DC205" s="98">
        <v>6</v>
      </c>
      <c r="DD205" s="32">
        <f t="shared" si="371"/>
        <v>37.764138845840144</v>
      </c>
      <c r="DE205" s="38">
        <f t="shared" si="371"/>
        <v>39.644873497494203</v>
      </c>
      <c r="DF205" s="38">
        <f t="shared" si="371"/>
        <v>40.312996986403107</v>
      </c>
      <c r="DG205" s="38">
        <f t="shared" si="371"/>
        <v>40.171283972169043</v>
      </c>
      <c r="DH205" s="39">
        <f t="shared" si="371"/>
        <v>35.349527893329721</v>
      </c>
      <c r="DJ205" s="53"/>
      <c r="DK205" s="55">
        <f>SUM(DK200:DK204)</f>
        <v>64</v>
      </c>
      <c r="DL205" s="55">
        <f t="shared" ref="DL205:DO205" si="382">SUM(DL200:DL204)</f>
        <v>57</v>
      </c>
      <c r="DM205" s="55">
        <f t="shared" si="382"/>
        <v>86</v>
      </c>
      <c r="DN205" s="55">
        <f t="shared" si="382"/>
        <v>63</v>
      </c>
      <c r="DO205" s="55">
        <f t="shared" si="382"/>
        <v>55</v>
      </c>
      <c r="DP205" s="56"/>
      <c r="DQ205" s="10"/>
      <c r="DS205" s="57"/>
      <c r="DT205" s="57"/>
      <c r="DU205" s="57"/>
      <c r="DV205" s="57"/>
      <c r="DW205" s="57"/>
      <c r="DX205" s="57"/>
      <c r="EE205" s="98">
        <v>6</v>
      </c>
      <c r="EF205" s="32">
        <f t="shared" si="372"/>
        <v>43.857859911760656</v>
      </c>
      <c r="EG205" s="38">
        <f t="shared" si="372"/>
        <v>45.80810537446304</v>
      </c>
      <c r="EH205" s="38">
        <f t="shared" si="372"/>
        <v>46.49337543998719</v>
      </c>
      <c r="EI205" s="38">
        <f t="shared" si="372"/>
        <v>46.299890152853145</v>
      </c>
      <c r="EJ205" s="39">
        <f t="shared" si="372"/>
        <v>48.207816290868756</v>
      </c>
    </row>
    <row r="206" spans="2:140" ht="15" thickBot="1" x14ac:dyDescent="0.25">
      <c r="B206" s="10"/>
      <c r="H206" s="10"/>
      <c r="I206" s="10"/>
      <c r="K206" s="57"/>
      <c r="L206" s="57"/>
      <c r="M206" s="57"/>
      <c r="N206" s="57"/>
      <c r="O206" s="57"/>
      <c r="P206" s="57"/>
      <c r="W206" s="98">
        <v>7</v>
      </c>
      <c r="X206" s="32">
        <f t="shared" si="368"/>
        <v>56.639119132094521</v>
      </c>
      <c r="Y206" s="38">
        <f t="shared" si="368"/>
        <v>31.791701973341691</v>
      </c>
      <c r="Z206" s="38">
        <f t="shared" si="368"/>
        <v>32.482855910468317</v>
      </c>
      <c r="AA206" s="38">
        <f t="shared" si="368"/>
        <v>32.568425430615591</v>
      </c>
      <c r="AB206" s="39">
        <f t="shared" si="368"/>
        <v>34.138963270078136</v>
      </c>
      <c r="AD206" s="10"/>
      <c r="AJ206" s="10"/>
      <c r="AK206" s="10"/>
      <c r="AM206" s="57"/>
      <c r="AN206" s="57"/>
      <c r="AO206" s="57"/>
      <c r="AP206" s="57"/>
      <c r="AQ206" s="57"/>
      <c r="AR206" s="57"/>
      <c r="AY206" s="98">
        <v>7</v>
      </c>
      <c r="AZ206" s="32">
        <f t="shared" si="369"/>
        <v>49.008507333633169</v>
      </c>
      <c r="BA206" s="38">
        <f t="shared" si="369"/>
        <v>50.260899220353409</v>
      </c>
      <c r="BB206" s="38">
        <f t="shared" si="369"/>
        <v>35.659107396905597</v>
      </c>
      <c r="BC206" s="38">
        <f t="shared" si="369"/>
        <v>35.361068550029671</v>
      </c>
      <c r="BD206" s="39">
        <f t="shared" si="369"/>
        <v>37.146969214495655</v>
      </c>
      <c r="BF206" s="10"/>
      <c r="BL206" s="10"/>
      <c r="BM206" s="10"/>
      <c r="BO206" s="57"/>
      <c r="BP206" s="57"/>
      <c r="BQ206" s="57"/>
      <c r="BR206" s="57"/>
      <c r="BS206" s="57"/>
      <c r="BT206" s="57"/>
      <c r="CA206" s="98">
        <v>7</v>
      </c>
      <c r="CB206" s="32">
        <f t="shared" si="370"/>
        <v>39.802414220539653</v>
      </c>
      <c r="CC206" s="38">
        <f t="shared" si="370"/>
        <v>41.960152198467256</v>
      </c>
      <c r="CD206" s="38">
        <f t="shared" si="370"/>
        <v>42.796553837209665</v>
      </c>
      <c r="CE206" s="38">
        <f t="shared" si="370"/>
        <v>33.657071585514686</v>
      </c>
      <c r="CF206" s="39">
        <f t="shared" si="370"/>
        <v>35.231555485740849</v>
      </c>
      <c r="CH206" s="10"/>
      <c r="CN206" s="10"/>
      <c r="CO206" s="10"/>
      <c r="CQ206" s="57"/>
      <c r="CR206" s="57"/>
      <c r="CS206" s="57"/>
      <c r="CT206" s="57"/>
      <c r="CU206" s="57"/>
      <c r="CV206" s="57"/>
      <c r="DC206" s="98">
        <v>7</v>
      </c>
      <c r="DD206" s="32">
        <f t="shared" si="371"/>
        <v>45.490166243100418</v>
      </c>
      <c r="DE206" s="38">
        <f t="shared" si="371"/>
        <v>47.58853546932518</v>
      </c>
      <c r="DF206" s="38">
        <f t="shared" si="371"/>
        <v>48.370139843545957</v>
      </c>
      <c r="DG206" s="38">
        <f t="shared" si="371"/>
        <v>48.345197015647301</v>
      </c>
      <c r="DH206" s="39">
        <f t="shared" si="371"/>
        <v>41.414044022361978</v>
      </c>
      <c r="DJ206" s="10"/>
      <c r="DP206" s="10"/>
      <c r="DQ206" s="10"/>
      <c r="DS206" s="57"/>
      <c r="DT206" s="57"/>
      <c r="DU206" s="57"/>
      <c r="DV206" s="57"/>
      <c r="DW206" s="57"/>
      <c r="DX206" s="57"/>
      <c r="EE206" s="98">
        <v>7</v>
      </c>
      <c r="EF206" s="32">
        <f t="shared" si="372"/>
        <v>40.219562039420225</v>
      </c>
      <c r="EG206" s="38">
        <f t="shared" si="372"/>
        <v>42.090714070115212</v>
      </c>
      <c r="EH206" s="38">
        <f t="shared" si="372"/>
        <v>42.735133681745438</v>
      </c>
      <c r="EI206" s="38">
        <f t="shared" si="372"/>
        <v>42.499890152853148</v>
      </c>
      <c r="EJ206" s="39">
        <f t="shared" si="372"/>
        <v>44.365119661655271</v>
      </c>
    </row>
    <row r="207" spans="2:140" ht="15" thickBot="1" x14ac:dyDescent="0.25">
      <c r="B207" s="58"/>
      <c r="C207" s="60" t="s">
        <v>6</v>
      </c>
      <c r="D207" s="60" t="s">
        <v>7</v>
      </c>
      <c r="E207" s="60" t="s">
        <v>8</v>
      </c>
      <c r="F207" s="60" t="s">
        <v>9</v>
      </c>
      <c r="G207" s="60" t="s">
        <v>10</v>
      </c>
      <c r="H207" s="61"/>
      <c r="I207" s="10"/>
      <c r="J207" s="11" t="s">
        <v>15</v>
      </c>
      <c r="K207" s="62" t="s">
        <v>6</v>
      </c>
      <c r="L207" s="62" t="s">
        <v>7</v>
      </c>
      <c r="M207" s="62" t="s">
        <v>8</v>
      </c>
      <c r="N207" s="62" t="s">
        <v>9</v>
      </c>
      <c r="O207" s="63" t="s">
        <v>10</v>
      </c>
      <c r="P207" s="23"/>
      <c r="W207" s="98">
        <v>8</v>
      </c>
      <c r="X207" s="32">
        <f t="shared" si="368"/>
        <v>67.150428655904051</v>
      </c>
      <c r="Y207" s="38">
        <f t="shared" si="368"/>
        <v>37.249051928931081</v>
      </c>
      <c r="Z207" s="38">
        <f t="shared" si="368"/>
        <v>38.064377649598754</v>
      </c>
      <c r="AA207" s="38">
        <f t="shared" si="368"/>
        <v>38.189060351250504</v>
      </c>
      <c r="AB207" s="39">
        <f t="shared" si="368"/>
        <v>40.012431407333032</v>
      </c>
      <c r="AD207" s="58"/>
      <c r="AE207" s="60" t="s">
        <v>6</v>
      </c>
      <c r="AF207" s="60" t="s">
        <v>7</v>
      </c>
      <c r="AG207" s="60" t="s">
        <v>8</v>
      </c>
      <c r="AH207" s="60" t="s">
        <v>9</v>
      </c>
      <c r="AI207" s="60" t="s">
        <v>10</v>
      </c>
      <c r="AJ207" s="61"/>
      <c r="AK207" s="10"/>
      <c r="AL207" s="11" t="s">
        <v>15</v>
      </c>
      <c r="AM207" s="62" t="s">
        <v>6</v>
      </c>
      <c r="AN207" s="62" t="s">
        <v>7</v>
      </c>
      <c r="AO207" s="62" t="s">
        <v>8</v>
      </c>
      <c r="AP207" s="62" t="s">
        <v>9</v>
      </c>
      <c r="AQ207" s="63" t="s">
        <v>10</v>
      </c>
      <c r="AR207" s="23"/>
      <c r="AY207" s="98">
        <v>8</v>
      </c>
      <c r="AZ207" s="32">
        <f t="shared" si="369"/>
        <v>47.527014364236969</v>
      </c>
      <c r="BA207" s="38">
        <f t="shared" si="369"/>
        <v>48.95831937763154</v>
      </c>
      <c r="BB207" s="38">
        <f t="shared" si="369"/>
        <v>35.972102734900936</v>
      </c>
      <c r="BC207" s="38">
        <f t="shared" si="369"/>
        <v>35.542946856907982</v>
      </c>
      <c r="BD207" s="39">
        <f t="shared" si="369"/>
        <v>37.49209500065917</v>
      </c>
      <c r="BF207" s="58"/>
      <c r="BG207" s="60" t="s">
        <v>6</v>
      </c>
      <c r="BH207" s="60" t="s">
        <v>7</v>
      </c>
      <c r="BI207" s="60" t="s">
        <v>8</v>
      </c>
      <c r="BJ207" s="60" t="s">
        <v>9</v>
      </c>
      <c r="BK207" s="60" t="s">
        <v>10</v>
      </c>
      <c r="BL207" s="61"/>
      <c r="BM207" s="10"/>
      <c r="BN207" s="11" t="s">
        <v>15</v>
      </c>
      <c r="BO207" s="62" t="s">
        <v>6</v>
      </c>
      <c r="BP207" s="62" t="s">
        <v>7</v>
      </c>
      <c r="BQ207" s="62" t="s">
        <v>8</v>
      </c>
      <c r="BR207" s="62" t="s">
        <v>9</v>
      </c>
      <c r="BS207" s="63" t="s">
        <v>10</v>
      </c>
      <c r="BT207" s="23"/>
      <c r="CA207" s="98">
        <v>8</v>
      </c>
      <c r="CB207" s="32">
        <f t="shared" si="370"/>
        <v>50.470777719785502</v>
      </c>
      <c r="CC207" s="38">
        <f t="shared" si="370"/>
        <v>53.136056153269514</v>
      </c>
      <c r="CD207" s="38">
        <f t="shared" si="370"/>
        <v>54.197690607707337</v>
      </c>
      <c r="CE207" s="38">
        <f t="shared" si="370"/>
        <v>42.0142633663366</v>
      </c>
      <c r="CF207" s="39">
        <f t="shared" si="370"/>
        <v>43.862965742151104</v>
      </c>
      <c r="CH207" s="58"/>
      <c r="CI207" s="60" t="s">
        <v>6</v>
      </c>
      <c r="CJ207" s="60" t="s">
        <v>7</v>
      </c>
      <c r="CK207" s="60" t="s">
        <v>8</v>
      </c>
      <c r="CL207" s="60" t="s">
        <v>9</v>
      </c>
      <c r="CM207" s="60" t="s">
        <v>10</v>
      </c>
      <c r="CN207" s="61"/>
      <c r="CO207" s="10"/>
      <c r="CP207" s="11" t="s">
        <v>15</v>
      </c>
      <c r="CQ207" s="62" t="s">
        <v>6</v>
      </c>
      <c r="CR207" s="62" t="s">
        <v>7</v>
      </c>
      <c r="CS207" s="62" t="s">
        <v>8</v>
      </c>
      <c r="CT207" s="62" t="s">
        <v>9</v>
      </c>
      <c r="CU207" s="63" t="s">
        <v>10</v>
      </c>
      <c r="CV207" s="23"/>
      <c r="DC207" s="98">
        <v>8</v>
      </c>
      <c r="DD207" s="32">
        <f t="shared" si="371"/>
        <v>43.746944211136942</v>
      </c>
      <c r="DE207" s="38">
        <f t="shared" si="371"/>
        <v>45.912916604621813</v>
      </c>
      <c r="DF207" s="38">
        <f t="shared" si="371"/>
        <v>46.685121874094023</v>
      </c>
      <c r="DG207" s="38">
        <f t="shared" si="371"/>
        <v>46.532050017717694</v>
      </c>
      <c r="DH207" s="39">
        <f t="shared" si="371"/>
        <v>40.860952624512514</v>
      </c>
      <c r="DJ207" s="58"/>
      <c r="DK207" s="60" t="s">
        <v>6</v>
      </c>
      <c r="DL207" s="60" t="s">
        <v>7</v>
      </c>
      <c r="DM207" s="60" t="s">
        <v>8</v>
      </c>
      <c r="DN207" s="60" t="s">
        <v>9</v>
      </c>
      <c r="DO207" s="60" t="s">
        <v>10</v>
      </c>
      <c r="DP207" s="61"/>
      <c r="DQ207" s="10"/>
      <c r="DR207" s="11" t="s">
        <v>15</v>
      </c>
      <c r="DS207" s="62" t="s">
        <v>6</v>
      </c>
      <c r="DT207" s="62" t="s">
        <v>7</v>
      </c>
      <c r="DU207" s="62" t="s">
        <v>8</v>
      </c>
      <c r="DV207" s="62" t="s">
        <v>9</v>
      </c>
      <c r="DW207" s="63" t="s">
        <v>10</v>
      </c>
      <c r="DX207" s="23"/>
      <c r="EE207" s="98">
        <v>8</v>
      </c>
      <c r="EF207" s="32">
        <f t="shared" si="372"/>
        <v>44.753427287647177</v>
      </c>
      <c r="EG207" s="38">
        <f t="shared" si="372"/>
        <v>46.865543567131411</v>
      </c>
      <c r="EH207" s="38">
        <f t="shared" si="372"/>
        <v>47.588417302886199</v>
      </c>
      <c r="EI207" s="38">
        <f t="shared" si="372"/>
        <v>47.305659383622384</v>
      </c>
      <c r="EJ207" s="39">
        <f t="shared" si="372"/>
        <v>49.423129535676381</v>
      </c>
    </row>
    <row r="208" spans="2:140" x14ac:dyDescent="0.2">
      <c r="B208" s="64" t="s">
        <v>13</v>
      </c>
      <c r="C208" s="24" t="s">
        <v>1</v>
      </c>
      <c r="D208" s="25" t="s">
        <v>2</v>
      </c>
      <c r="E208" s="25" t="s">
        <v>3</v>
      </c>
      <c r="F208" s="25" t="s">
        <v>4</v>
      </c>
      <c r="G208" s="26" t="s">
        <v>5</v>
      </c>
      <c r="H208" s="65"/>
      <c r="I208" s="10"/>
      <c r="J208" s="66" t="s">
        <v>13</v>
      </c>
      <c r="K208" s="125">
        <f>C200/H200</f>
        <v>0.13235294117647059</v>
      </c>
      <c r="L208" s="126">
        <f>D200/H200</f>
        <v>0.22058823529411764</v>
      </c>
      <c r="M208" s="126">
        <f>E200/H200</f>
        <v>0.3235294117647059</v>
      </c>
      <c r="N208" s="126">
        <f>F200/H200</f>
        <v>0.14705882352941177</v>
      </c>
      <c r="O208" s="127">
        <f>G200/H200</f>
        <v>0.17647058823529413</v>
      </c>
      <c r="P208" s="23"/>
      <c r="W208" s="98">
        <v>9</v>
      </c>
      <c r="X208" s="32">
        <f t="shared" si="368"/>
        <v>63.73316675114215</v>
      </c>
      <c r="Y208" s="38">
        <f t="shared" si="368"/>
        <v>37.436131614250208</v>
      </c>
      <c r="Z208" s="38">
        <f t="shared" si="368"/>
        <v>38.22923272206252</v>
      </c>
      <c r="AA208" s="38">
        <f t="shared" si="368"/>
        <v>38.238266700456862</v>
      </c>
      <c r="AB208" s="39">
        <f t="shared" si="368"/>
        <v>40.150605426940878</v>
      </c>
      <c r="AD208" s="64" t="s">
        <v>13</v>
      </c>
      <c r="AE208" s="24" t="s">
        <v>1</v>
      </c>
      <c r="AF208" s="25" t="s">
        <v>2</v>
      </c>
      <c r="AG208" s="25" t="s">
        <v>3</v>
      </c>
      <c r="AH208" s="25" t="s">
        <v>4</v>
      </c>
      <c r="AI208" s="26" t="s">
        <v>5</v>
      </c>
      <c r="AJ208" s="65"/>
      <c r="AK208" s="10"/>
      <c r="AL208" s="66" t="s">
        <v>13</v>
      </c>
      <c r="AM208" s="125">
        <f>AE200/AJ200</f>
        <v>0.11666666666666667</v>
      </c>
      <c r="AN208" s="126">
        <f>AF200/AJ200</f>
        <v>0.21666666666666667</v>
      </c>
      <c r="AO208" s="126">
        <f>AG200/AJ200</f>
        <v>0.36666666666666664</v>
      </c>
      <c r="AP208" s="126">
        <f>AH200/AJ200</f>
        <v>0.13333333333333333</v>
      </c>
      <c r="AQ208" s="127">
        <f>AI200/AJ200</f>
        <v>0.16666666666666666</v>
      </c>
      <c r="AR208" s="23"/>
      <c r="AY208" s="98">
        <v>9</v>
      </c>
      <c r="AZ208" s="32">
        <f t="shared" si="369"/>
        <v>60.497134298066584</v>
      </c>
      <c r="BA208" s="38">
        <f t="shared" si="369"/>
        <v>62.107352438135472</v>
      </c>
      <c r="BB208" s="38">
        <f t="shared" si="369"/>
        <v>44.430552618350816</v>
      </c>
      <c r="BC208" s="38">
        <f t="shared" si="369"/>
        <v>44.021121460082583</v>
      </c>
      <c r="BD208" s="39">
        <f t="shared" si="369"/>
        <v>46.290050975501941</v>
      </c>
      <c r="BF208" s="64" t="s">
        <v>13</v>
      </c>
      <c r="BG208" s="24" t="s">
        <v>1</v>
      </c>
      <c r="BH208" s="25" t="s">
        <v>2</v>
      </c>
      <c r="BI208" s="25" t="s">
        <v>3</v>
      </c>
      <c r="BJ208" s="25" t="s">
        <v>4</v>
      </c>
      <c r="BK208" s="26" t="s">
        <v>5</v>
      </c>
      <c r="BL208" s="65"/>
      <c r="BM208" s="10"/>
      <c r="BN208" s="66" t="s">
        <v>13</v>
      </c>
      <c r="BO208" s="125">
        <f>BG200/BL200</f>
        <v>0.11320754716981132</v>
      </c>
      <c r="BP208" s="126">
        <f>BH200/BL200</f>
        <v>0.22641509433962265</v>
      </c>
      <c r="BQ208" s="126">
        <f>BI200/BL200</f>
        <v>0.35849056603773582</v>
      </c>
      <c r="BR208" s="126">
        <f>BJ200/BL200</f>
        <v>0.13207547169811321</v>
      </c>
      <c r="BS208" s="127">
        <f>BK200/BL200</f>
        <v>0.16981132075471697</v>
      </c>
      <c r="BT208" s="23"/>
      <c r="CA208" s="98">
        <v>9</v>
      </c>
      <c r="CB208" s="32">
        <f t="shared" si="370"/>
        <v>48.331448911339066</v>
      </c>
      <c r="CC208" s="38">
        <f t="shared" si="370"/>
        <v>50.99196010807178</v>
      </c>
      <c r="CD208" s="38">
        <f t="shared" si="370"/>
        <v>52.006990643511131</v>
      </c>
      <c r="CE208" s="38">
        <f t="shared" si="370"/>
        <v>41.248167475925641</v>
      </c>
      <c r="CF208" s="39">
        <f t="shared" si="370"/>
        <v>43.244375998561367</v>
      </c>
      <c r="CH208" s="64" t="s">
        <v>13</v>
      </c>
      <c r="CI208" s="24" t="s">
        <v>1</v>
      </c>
      <c r="CJ208" s="25" t="s">
        <v>2</v>
      </c>
      <c r="CK208" s="25" t="s">
        <v>3</v>
      </c>
      <c r="CL208" s="25" t="s">
        <v>4</v>
      </c>
      <c r="CM208" s="26" t="s">
        <v>5</v>
      </c>
      <c r="CN208" s="65"/>
      <c r="CO208" s="10"/>
      <c r="CP208" s="66" t="s">
        <v>13</v>
      </c>
      <c r="CQ208" s="125">
        <f>CI200/CN200</f>
        <v>0.10416666666666667</v>
      </c>
      <c r="CR208" s="126">
        <f>CJ200/CN200</f>
        <v>0.22916666666666666</v>
      </c>
      <c r="CS208" s="126">
        <f>CK200/CN200</f>
        <v>0.375</v>
      </c>
      <c r="CT208" s="126">
        <f>CL200/CN200</f>
        <v>0.125</v>
      </c>
      <c r="CU208" s="127">
        <f>CM200/CN200</f>
        <v>0.16666666666666666</v>
      </c>
      <c r="CV208" s="23"/>
      <c r="DC208" s="98">
        <v>9</v>
      </c>
      <c r="DD208" s="32">
        <f t="shared" si="371"/>
        <v>48.442078343557043</v>
      </c>
      <c r="DE208" s="38">
        <f t="shared" si="371"/>
        <v>50.857016049777599</v>
      </c>
      <c r="DF208" s="38">
        <f t="shared" si="371"/>
        <v>51.714389618927811</v>
      </c>
      <c r="DG208" s="38">
        <f t="shared" si="371"/>
        <v>51.530497222686634</v>
      </c>
      <c r="DH208" s="39">
        <f t="shared" si="371"/>
        <v>45.361624667523266</v>
      </c>
      <c r="DJ208" s="64" t="s">
        <v>13</v>
      </c>
      <c r="DK208" s="24" t="s">
        <v>1</v>
      </c>
      <c r="DL208" s="25" t="s">
        <v>2</v>
      </c>
      <c r="DM208" s="25" t="s">
        <v>3</v>
      </c>
      <c r="DN208" s="25" t="s">
        <v>4</v>
      </c>
      <c r="DO208" s="26" t="s">
        <v>5</v>
      </c>
      <c r="DP208" s="65"/>
      <c r="DQ208" s="10"/>
      <c r="DR208" s="66" t="s">
        <v>13</v>
      </c>
      <c r="DS208" s="125">
        <f>DK200/DP200</f>
        <v>9.3023255813953487E-2</v>
      </c>
      <c r="DT208" s="126">
        <f>DL200/DP200</f>
        <v>0.23255813953488372</v>
      </c>
      <c r="DU208" s="126">
        <f>DM200/DP200</f>
        <v>0.39534883720930231</v>
      </c>
      <c r="DV208" s="126">
        <f>DN200/DP200</f>
        <v>0.11627906976744186</v>
      </c>
      <c r="DW208" s="127">
        <f>DO200/DP200</f>
        <v>0.16279069767441862</v>
      </c>
      <c r="DX208" s="23"/>
      <c r="EE208" s="98">
        <v>9</v>
      </c>
      <c r="EF208" s="32">
        <f t="shared" si="372"/>
        <v>39.585164876299658</v>
      </c>
      <c r="EG208" s="38">
        <f t="shared" si="372"/>
        <v>41.727329585886736</v>
      </c>
      <c r="EH208" s="38">
        <f t="shared" si="372"/>
        <v>42.419722902048946</v>
      </c>
      <c r="EI208" s="38">
        <f t="shared" si="372"/>
        <v>41.978095281058273</v>
      </c>
      <c r="EJ208" s="39">
        <f t="shared" si="372"/>
        <v>44.233948398461536</v>
      </c>
    </row>
    <row r="209" spans="2:140" x14ac:dyDescent="0.2">
      <c r="B209" s="64" t="s">
        <v>3</v>
      </c>
      <c r="C209" s="32" t="s">
        <v>14</v>
      </c>
      <c r="D209" s="38" t="s">
        <v>10</v>
      </c>
      <c r="E209" s="38" t="s">
        <v>16</v>
      </c>
      <c r="F209" s="38" t="s">
        <v>6</v>
      </c>
      <c r="G209" s="39" t="s">
        <v>17</v>
      </c>
      <c r="H209" s="65"/>
      <c r="I209" s="10"/>
      <c r="J209" s="66" t="s">
        <v>3</v>
      </c>
      <c r="K209" s="40">
        <f>C201/H201</f>
        <v>0.18556701030927836</v>
      </c>
      <c r="L209" s="36">
        <f>D201/H201</f>
        <v>0.1134020618556701</v>
      </c>
      <c r="M209" s="36">
        <f>E201/H201</f>
        <v>0.21649484536082475</v>
      </c>
      <c r="N209" s="36">
        <f>F201/H201</f>
        <v>0.23711340206185566</v>
      </c>
      <c r="O209" s="37">
        <f>G201/H201</f>
        <v>0.24742268041237114</v>
      </c>
      <c r="P209" s="23"/>
      <c r="W209" s="98">
        <v>10</v>
      </c>
      <c r="X209" s="32">
        <f t="shared" si="368"/>
        <v>80.447452465427858</v>
      </c>
      <c r="Y209" s="38">
        <f t="shared" si="368"/>
        <v>43.76045593857453</v>
      </c>
      <c r="Z209" s="38">
        <f t="shared" si="368"/>
        <v>44.72923272206252</v>
      </c>
      <c r="AA209" s="38">
        <f t="shared" si="368"/>
        <v>44.923980986171145</v>
      </c>
      <c r="AB209" s="39">
        <f t="shared" si="368"/>
        <v>47.032958368117349</v>
      </c>
      <c r="AD209" s="64" t="s">
        <v>3</v>
      </c>
      <c r="AE209" s="32" t="s">
        <v>14</v>
      </c>
      <c r="AF209" s="38" t="s">
        <v>10</v>
      </c>
      <c r="AG209" s="38" t="s">
        <v>16</v>
      </c>
      <c r="AH209" s="38" t="s">
        <v>6</v>
      </c>
      <c r="AI209" s="39" t="s">
        <v>17</v>
      </c>
      <c r="AJ209" s="65"/>
      <c r="AK209" s="10"/>
      <c r="AL209" s="66" t="s">
        <v>3</v>
      </c>
      <c r="AM209" s="40">
        <f>AE201/AJ201</f>
        <v>0.18947368421052632</v>
      </c>
      <c r="AN209" s="36">
        <f>AF201/AJ201</f>
        <v>9.4736842105263161E-2</v>
      </c>
      <c r="AO209" s="36">
        <f>AG201/AJ201</f>
        <v>0.22105263157894736</v>
      </c>
      <c r="AP209" s="36">
        <f>AH201/AJ201</f>
        <v>0.24210526315789474</v>
      </c>
      <c r="AQ209" s="37">
        <f>AI201/AJ201</f>
        <v>0.25263157894736843</v>
      </c>
      <c r="AR209" s="23"/>
      <c r="AY209" s="98">
        <v>10</v>
      </c>
      <c r="AZ209" s="32">
        <f t="shared" si="369"/>
        <v>55.077779459356904</v>
      </c>
      <c r="BA209" s="38">
        <f t="shared" si="369"/>
        <v>56.687997599425785</v>
      </c>
      <c r="BB209" s="38">
        <f t="shared" si="369"/>
        <v>41.376007163805355</v>
      </c>
      <c r="BC209" s="38">
        <f t="shared" si="369"/>
        <v>40.910010348971475</v>
      </c>
      <c r="BD209" s="39">
        <f t="shared" si="369"/>
        <v>43.120239654747223</v>
      </c>
      <c r="BF209" s="64" t="s">
        <v>3</v>
      </c>
      <c r="BG209" s="32" t="s">
        <v>14</v>
      </c>
      <c r="BH209" s="38" t="s">
        <v>10</v>
      </c>
      <c r="BI209" s="38" t="s">
        <v>16</v>
      </c>
      <c r="BJ209" s="38" t="s">
        <v>6</v>
      </c>
      <c r="BK209" s="39" t="s">
        <v>17</v>
      </c>
      <c r="BL209" s="65"/>
      <c r="BM209" s="10"/>
      <c r="BN209" s="66" t="s">
        <v>3</v>
      </c>
      <c r="BO209" s="40">
        <f>BG201/BL201</f>
        <v>0.18292682926829268</v>
      </c>
      <c r="BP209" s="36">
        <f>BH201/BL201</f>
        <v>9.7560975609756101E-2</v>
      </c>
      <c r="BQ209" s="36">
        <f>BI201/BL201</f>
        <v>0.21951219512195122</v>
      </c>
      <c r="BR209" s="36">
        <f>BJ201/BL201</f>
        <v>0.24390243902439024</v>
      </c>
      <c r="BS209" s="37">
        <f>BK201/BL201</f>
        <v>0.25609756097560976</v>
      </c>
      <c r="BT209" s="23"/>
      <c r="CA209" s="98">
        <v>10</v>
      </c>
      <c r="CB209" s="32">
        <f t="shared" si="370"/>
        <v>51.177602757492899</v>
      </c>
      <c r="CC209" s="38">
        <f t="shared" si="370"/>
        <v>53.951960108071773</v>
      </c>
      <c r="CD209" s="38">
        <f t="shared" si="370"/>
        <v>55.027398806776439</v>
      </c>
      <c r="CE209" s="38">
        <f t="shared" si="370"/>
        <v>43.27556473619962</v>
      </c>
      <c r="CF209" s="39">
        <f t="shared" si="370"/>
        <v>45.299931554116917</v>
      </c>
      <c r="CH209" s="64" t="s">
        <v>3</v>
      </c>
      <c r="CI209" s="32" t="s">
        <v>14</v>
      </c>
      <c r="CJ209" s="38" t="s">
        <v>10</v>
      </c>
      <c r="CK209" s="38" t="s">
        <v>16</v>
      </c>
      <c r="CL209" s="38" t="s">
        <v>6</v>
      </c>
      <c r="CM209" s="39" t="s">
        <v>17</v>
      </c>
      <c r="CN209" s="65"/>
      <c r="CO209" s="10"/>
      <c r="CP209" s="66" t="s">
        <v>3</v>
      </c>
      <c r="CQ209" s="40">
        <f>CI201/CN201</f>
        <v>0.18181818181818182</v>
      </c>
      <c r="CR209" s="36">
        <f>CJ201/CN201</f>
        <v>9.0909090909090912E-2</v>
      </c>
      <c r="CS209" s="36">
        <f>CK201/CN201</f>
        <v>0.22077922077922077</v>
      </c>
      <c r="CT209" s="36">
        <f>CL201/CN201</f>
        <v>0.24675324675324675</v>
      </c>
      <c r="CU209" s="37">
        <f>CM201/CN201</f>
        <v>0.25974025974025972</v>
      </c>
      <c r="CV209" s="23"/>
      <c r="DC209" s="98">
        <v>10</v>
      </c>
      <c r="DD209" s="32">
        <f t="shared" si="371"/>
        <v>40.716050946296761</v>
      </c>
      <c r="DE209" s="38">
        <f t="shared" si="371"/>
        <v>42.913354077946614</v>
      </c>
      <c r="DF209" s="38">
        <f t="shared" si="371"/>
        <v>43.657246761784954</v>
      </c>
      <c r="DG209" s="38">
        <f t="shared" si="371"/>
        <v>43.356584179208383</v>
      </c>
      <c r="DH209" s="39">
        <f t="shared" si="371"/>
        <v>39.297108538491017</v>
      </c>
      <c r="DJ209" s="64" t="s">
        <v>3</v>
      </c>
      <c r="DK209" s="32" t="s">
        <v>14</v>
      </c>
      <c r="DL209" s="38" t="s">
        <v>10</v>
      </c>
      <c r="DM209" s="38" t="s">
        <v>16</v>
      </c>
      <c r="DN209" s="38" t="s">
        <v>6</v>
      </c>
      <c r="DO209" s="39" t="s">
        <v>17</v>
      </c>
      <c r="DP209" s="65"/>
      <c r="DQ209" s="10"/>
      <c r="DR209" s="66" t="s">
        <v>3</v>
      </c>
      <c r="DS209" s="40">
        <f>DK201/DP201</f>
        <v>0.18055555555555555</v>
      </c>
      <c r="DT209" s="36">
        <f>DL201/DP201</f>
        <v>8.3333333333333329E-2</v>
      </c>
      <c r="DU209" s="36">
        <f>DM201/DP201</f>
        <v>0.22222222222222221</v>
      </c>
      <c r="DV209" s="36">
        <f>DN201/DP201</f>
        <v>0.25</v>
      </c>
      <c r="DW209" s="37">
        <f>DO201/DP201</f>
        <v>0.2638888888888889</v>
      </c>
      <c r="DX209" s="23"/>
      <c r="EE209" s="98">
        <v>10</v>
      </c>
      <c r="EF209" s="32">
        <f t="shared" si="372"/>
        <v>43.223462748640088</v>
      </c>
      <c r="EG209" s="38">
        <f t="shared" si="372"/>
        <v>45.444720890234564</v>
      </c>
      <c r="EH209" s="38">
        <f t="shared" si="372"/>
        <v>46.177964660290705</v>
      </c>
      <c r="EI209" s="38">
        <f t="shared" si="372"/>
        <v>45.77809528105827</v>
      </c>
      <c r="EJ209" s="39">
        <f t="shared" si="372"/>
        <v>48.076645027675021</v>
      </c>
    </row>
    <row r="210" spans="2:140" x14ac:dyDescent="0.2">
      <c r="B210" s="64" t="s">
        <v>14</v>
      </c>
      <c r="C210" s="32" t="s">
        <v>8</v>
      </c>
      <c r="D210" s="38" t="s">
        <v>18</v>
      </c>
      <c r="E210" s="38" t="s">
        <v>19</v>
      </c>
      <c r="F210" s="38" t="s">
        <v>20</v>
      </c>
      <c r="G210" s="39" t="s">
        <v>21</v>
      </c>
      <c r="H210" s="65"/>
      <c r="I210" s="10"/>
      <c r="J210" s="66" t="s">
        <v>14</v>
      </c>
      <c r="K210" s="40">
        <f>C202/H202</f>
        <v>0.26666666666666666</v>
      </c>
      <c r="L210" s="36">
        <f>D202/H202</f>
        <v>0.21333333333333335</v>
      </c>
      <c r="M210" s="36">
        <f>E202/H202</f>
        <v>0.18666666666666668</v>
      </c>
      <c r="N210" s="36">
        <f>F202/H202</f>
        <v>0.25333333333333335</v>
      </c>
      <c r="O210" s="37">
        <f>G202/H202</f>
        <v>0.08</v>
      </c>
      <c r="P210" s="23"/>
      <c r="W210" s="98">
        <v>11</v>
      </c>
      <c r="X210" s="32">
        <f t="shared" si="368"/>
        <v>69.936142941618328</v>
      </c>
      <c r="Y210" s="38">
        <f t="shared" si="368"/>
        <v>38.30310598298513</v>
      </c>
      <c r="Z210" s="38">
        <f t="shared" si="368"/>
        <v>39.147710982932082</v>
      </c>
      <c r="AA210" s="38">
        <f t="shared" si="368"/>
        <v>39.303346065536218</v>
      </c>
      <c r="AB210" s="39">
        <f t="shared" si="368"/>
        <v>41.159490230862446</v>
      </c>
      <c r="AD210" s="64" t="s">
        <v>14</v>
      </c>
      <c r="AE210" s="32" t="s">
        <v>8</v>
      </c>
      <c r="AF210" s="38" t="s">
        <v>18</v>
      </c>
      <c r="AG210" s="38" t="s">
        <v>19</v>
      </c>
      <c r="AH210" s="38" t="s">
        <v>20</v>
      </c>
      <c r="AI210" s="39" t="s">
        <v>21</v>
      </c>
      <c r="AJ210" s="65"/>
      <c r="AK210" s="10"/>
      <c r="AL210" s="66" t="s">
        <v>14</v>
      </c>
      <c r="AM210" s="40">
        <f>AE202/AJ202</f>
        <v>0.28985507246376813</v>
      </c>
      <c r="AN210" s="36">
        <f>AF202/AJ202</f>
        <v>0.20289855072463769</v>
      </c>
      <c r="AO210" s="36">
        <f>AG202/AJ202</f>
        <v>0.17391304347826086</v>
      </c>
      <c r="AP210" s="36">
        <f>AH202/AJ202</f>
        <v>0.27536231884057971</v>
      </c>
      <c r="AQ210" s="37">
        <f>AI202/AJ202</f>
        <v>5.7971014492753624E-2</v>
      </c>
      <c r="AR210" s="23"/>
      <c r="AY210" s="98">
        <v>11</v>
      </c>
      <c r="AZ210" s="32">
        <f t="shared" si="369"/>
        <v>56.559272428753097</v>
      </c>
      <c r="BA210" s="38">
        <f t="shared" si="369"/>
        <v>57.990577442147668</v>
      </c>
      <c r="BB210" s="38">
        <f t="shared" si="369"/>
        <v>41.063011825810023</v>
      </c>
      <c r="BC210" s="38">
        <f t="shared" si="369"/>
        <v>40.728132042093172</v>
      </c>
      <c r="BD210" s="39">
        <f t="shared" si="369"/>
        <v>42.775113868583702</v>
      </c>
      <c r="BF210" s="64" t="s">
        <v>14</v>
      </c>
      <c r="BG210" s="32" t="s">
        <v>8</v>
      </c>
      <c r="BH210" s="38" t="s">
        <v>18</v>
      </c>
      <c r="BI210" s="38" t="s">
        <v>19</v>
      </c>
      <c r="BJ210" s="38" t="s">
        <v>20</v>
      </c>
      <c r="BK210" s="39" t="s">
        <v>21</v>
      </c>
      <c r="BL210" s="65"/>
      <c r="BM210" s="10"/>
      <c r="BN210" s="66" t="s">
        <v>14</v>
      </c>
      <c r="BO210" s="40">
        <f>BG202/BL202</f>
        <v>0.28333333333333333</v>
      </c>
      <c r="BP210" s="36">
        <f>BH202/BL202</f>
        <v>0.21666666666666667</v>
      </c>
      <c r="BQ210" s="36">
        <f>BI202/BL202</f>
        <v>0.18333333333333332</v>
      </c>
      <c r="BR210" s="36">
        <f>BJ202/BL202</f>
        <v>0.26666666666666666</v>
      </c>
      <c r="BS210" s="37">
        <f>BK202/BL202</f>
        <v>0.05</v>
      </c>
      <c r="BT210" s="23"/>
      <c r="CA210" s="98">
        <v>11</v>
      </c>
      <c r="CB210" s="32">
        <f t="shared" si="370"/>
        <v>40.50923925824705</v>
      </c>
      <c r="CC210" s="38">
        <f t="shared" si="370"/>
        <v>42.776056153269515</v>
      </c>
      <c r="CD210" s="38">
        <f t="shared" si="370"/>
        <v>43.626262036278767</v>
      </c>
      <c r="CE210" s="38">
        <f t="shared" si="370"/>
        <v>34.918372955377691</v>
      </c>
      <c r="CF210" s="39">
        <f t="shared" si="370"/>
        <v>36.668521297706661</v>
      </c>
      <c r="CH210" s="64" t="s">
        <v>14</v>
      </c>
      <c r="CI210" s="32" t="s">
        <v>8</v>
      </c>
      <c r="CJ210" s="38" t="s">
        <v>18</v>
      </c>
      <c r="CK210" s="38" t="s">
        <v>19</v>
      </c>
      <c r="CL210" s="38" t="s">
        <v>20</v>
      </c>
      <c r="CM210" s="39" t="s">
        <v>21</v>
      </c>
      <c r="CN210" s="65"/>
      <c r="CO210" s="10"/>
      <c r="CP210" s="66" t="s">
        <v>14</v>
      </c>
      <c r="CQ210" s="40">
        <f>CI202/CN202</f>
        <v>0.29090909090909089</v>
      </c>
      <c r="CR210" s="36">
        <f>CJ202/CN202</f>
        <v>0.21818181818181817</v>
      </c>
      <c r="CS210" s="36">
        <f>CK202/CN202</f>
        <v>0.18181818181818182</v>
      </c>
      <c r="CT210" s="36">
        <f>CL202/CN202</f>
        <v>0.27272727272727271</v>
      </c>
      <c r="CU210" s="37">
        <f>CM202/CN202</f>
        <v>3.6363636363636362E-2</v>
      </c>
      <c r="CV210" s="23"/>
      <c r="DC210" s="98">
        <v>11</v>
      </c>
      <c r="DD210" s="32">
        <f t="shared" si="371"/>
        <v>42.459272978260231</v>
      </c>
      <c r="DE210" s="38">
        <f t="shared" si="371"/>
        <v>44.588972942649981</v>
      </c>
      <c r="DF210" s="38">
        <f t="shared" si="371"/>
        <v>45.342264731236895</v>
      </c>
      <c r="DG210" s="38">
        <f t="shared" si="371"/>
        <v>45.169731177137983</v>
      </c>
      <c r="DH210" s="39">
        <f t="shared" si="371"/>
        <v>39.850199936340474</v>
      </c>
      <c r="DJ210" s="64" t="s">
        <v>14</v>
      </c>
      <c r="DK210" s="32" t="s">
        <v>8</v>
      </c>
      <c r="DL210" s="38" t="s">
        <v>18</v>
      </c>
      <c r="DM210" s="38" t="s">
        <v>19</v>
      </c>
      <c r="DN210" s="38" t="s">
        <v>20</v>
      </c>
      <c r="DO210" s="39" t="s">
        <v>21</v>
      </c>
      <c r="DP210" s="65"/>
      <c r="DQ210" s="10"/>
      <c r="DR210" s="66" t="s">
        <v>14</v>
      </c>
      <c r="DS210" s="40">
        <f>DK202/DP202</f>
        <v>0.3</v>
      </c>
      <c r="DT210" s="36">
        <f>DL202/DP202</f>
        <v>0.22</v>
      </c>
      <c r="DU210" s="36">
        <f>DM202/DP202</f>
        <v>0.18</v>
      </c>
      <c r="DV210" s="36">
        <f>DN202/DP202</f>
        <v>0.28000000000000003</v>
      </c>
      <c r="DW210" s="37">
        <f>DO202/DP202</f>
        <v>0.02</v>
      </c>
      <c r="DX210" s="23"/>
      <c r="EE210" s="98">
        <v>11</v>
      </c>
      <c r="EF210" s="32">
        <f t="shared" si="372"/>
        <v>38.689597500413129</v>
      </c>
      <c r="EG210" s="38">
        <f t="shared" si="372"/>
        <v>40.669891393218364</v>
      </c>
      <c r="EH210" s="38">
        <f t="shared" si="372"/>
        <v>41.324681039149937</v>
      </c>
      <c r="EI210" s="38">
        <f t="shared" si="372"/>
        <v>40.972326050289041</v>
      </c>
      <c r="EJ210" s="39">
        <f t="shared" si="372"/>
        <v>43.018635153653911</v>
      </c>
    </row>
    <row r="211" spans="2:140" ht="15" thickBot="1" x14ac:dyDescent="0.25">
      <c r="B211" s="64" t="s">
        <v>8</v>
      </c>
      <c r="C211" s="32" t="s">
        <v>22</v>
      </c>
      <c r="D211" s="38" t="s">
        <v>9</v>
      </c>
      <c r="E211" s="38" t="s">
        <v>23</v>
      </c>
      <c r="F211" s="38" t="s">
        <v>7</v>
      </c>
      <c r="G211" s="39" t="s">
        <v>13</v>
      </c>
      <c r="H211" s="65"/>
      <c r="I211" s="10"/>
      <c r="J211" s="66" t="s">
        <v>8</v>
      </c>
      <c r="K211" s="40">
        <f>C203/H203</f>
        <v>0.36956521739130432</v>
      </c>
      <c r="L211" s="36">
        <f>D203/H203</f>
        <v>0.28260869565217389</v>
      </c>
      <c r="M211" s="36">
        <f>E203/H203</f>
        <v>2.1739130434782608E-2</v>
      </c>
      <c r="N211" s="36">
        <f>F203/H203</f>
        <v>0.15217391304347827</v>
      </c>
      <c r="O211" s="37">
        <f>G203/H203</f>
        <v>0.17391304347826086</v>
      </c>
      <c r="P211" s="23"/>
      <c r="W211" s="108">
        <v>12</v>
      </c>
      <c r="X211" s="43">
        <f t="shared" si="368"/>
        <v>73.353404846380243</v>
      </c>
      <c r="Y211" s="70">
        <f t="shared" si="368"/>
        <v>38.116026297666011</v>
      </c>
      <c r="Z211" s="70">
        <f t="shared" si="368"/>
        <v>38.982855910468317</v>
      </c>
      <c r="AA211" s="70">
        <f t="shared" si="368"/>
        <v>39.254139716329874</v>
      </c>
      <c r="AB211" s="71">
        <f t="shared" si="368"/>
        <v>41.0213162112546</v>
      </c>
      <c r="AD211" s="64" t="s">
        <v>8</v>
      </c>
      <c r="AE211" s="32" t="s">
        <v>22</v>
      </c>
      <c r="AF211" s="38" t="s">
        <v>9</v>
      </c>
      <c r="AG211" s="38" t="s">
        <v>23</v>
      </c>
      <c r="AH211" s="38" t="s">
        <v>7</v>
      </c>
      <c r="AI211" s="39" t="s">
        <v>13</v>
      </c>
      <c r="AJ211" s="65"/>
      <c r="AK211" s="10"/>
      <c r="AL211" s="66" t="s">
        <v>8</v>
      </c>
      <c r="AM211" s="40">
        <f>AE203/AJ203</f>
        <v>0.39473684210526316</v>
      </c>
      <c r="AN211" s="36">
        <f>AF203/AJ203</f>
        <v>0.28947368421052633</v>
      </c>
      <c r="AO211" s="36">
        <f>AG203/AJ203</f>
        <v>2.6315789473684209E-2</v>
      </c>
      <c r="AP211" s="36">
        <f>AH203/AJ203</f>
        <v>0.13157894736842105</v>
      </c>
      <c r="AQ211" s="37">
        <f>AI203/AJ203</f>
        <v>0.15789473684210525</v>
      </c>
      <c r="AR211" s="23"/>
      <c r="AY211" s="108">
        <v>12</v>
      </c>
      <c r="AZ211" s="43">
        <f t="shared" si="369"/>
        <v>43.589152494923496</v>
      </c>
      <c r="BA211" s="70">
        <f t="shared" si="369"/>
        <v>44.841544381643729</v>
      </c>
      <c r="BB211" s="70">
        <f t="shared" si="369"/>
        <v>32.604561942360142</v>
      </c>
      <c r="BC211" s="70">
        <f t="shared" si="369"/>
        <v>32.249957438918564</v>
      </c>
      <c r="BD211" s="71">
        <f t="shared" si="369"/>
        <v>33.977157893740937</v>
      </c>
      <c r="BF211" s="64" t="s">
        <v>8</v>
      </c>
      <c r="BG211" s="32" t="s">
        <v>22</v>
      </c>
      <c r="BH211" s="38" t="s">
        <v>9</v>
      </c>
      <c r="BI211" s="38" t="s">
        <v>23</v>
      </c>
      <c r="BJ211" s="38" t="s">
        <v>7</v>
      </c>
      <c r="BK211" s="39" t="s">
        <v>13</v>
      </c>
      <c r="BL211" s="65"/>
      <c r="BM211" s="10"/>
      <c r="BN211" s="66" t="s">
        <v>8</v>
      </c>
      <c r="BO211" s="40">
        <f>BG203/BL203</f>
        <v>0.25</v>
      </c>
      <c r="BP211" s="36">
        <f>BH203/BL203</f>
        <v>0.17857142857142858</v>
      </c>
      <c r="BQ211" s="36">
        <f>BI203/BL203</f>
        <v>0.4107142857142857</v>
      </c>
      <c r="BR211" s="36">
        <f>BJ203/BL203</f>
        <v>7.1428571428571425E-2</v>
      </c>
      <c r="BS211" s="37">
        <f>BK203/BL203</f>
        <v>8.9285714285714288E-2</v>
      </c>
      <c r="BT211" s="23"/>
      <c r="CA211" s="108">
        <v>12</v>
      </c>
      <c r="CB211" s="43">
        <f t="shared" si="370"/>
        <v>42.6485680666935</v>
      </c>
      <c r="CC211" s="70">
        <f t="shared" si="370"/>
        <v>44.920152198467257</v>
      </c>
      <c r="CD211" s="70">
        <f t="shared" si="370"/>
        <v>45.816962000474973</v>
      </c>
      <c r="CE211" s="70">
        <f t="shared" si="370"/>
        <v>35.684468845788658</v>
      </c>
      <c r="CF211" s="71">
        <f t="shared" si="370"/>
        <v>37.287111041296406</v>
      </c>
      <c r="CH211" s="64" t="s">
        <v>8</v>
      </c>
      <c r="CI211" s="32" t="s">
        <v>22</v>
      </c>
      <c r="CJ211" s="38" t="s">
        <v>9</v>
      </c>
      <c r="CK211" s="38" t="s">
        <v>23</v>
      </c>
      <c r="CL211" s="38" t="s">
        <v>7</v>
      </c>
      <c r="CM211" s="39" t="s">
        <v>13</v>
      </c>
      <c r="CN211" s="65"/>
      <c r="CO211" s="10"/>
      <c r="CP211" s="66" t="s">
        <v>8</v>
      </c>
      <c r="CQ211" s="40">
        <f>CI203/CN203</f>
        <v>0.25490196078431371</v>
      </c>
      <c r="CR211" s="36">
        <f>CJ203/CN203</f>
        <v>0.17647058823529413</v>
      </c>
      <c r="CS211" s="36">
        <f>CK203/CN203</f>
        <v>0.43137254901960786</v>
      </c>
      <c r="CT211" s="36">
        <f>CL203/CN203</f>
        <v>5.8823529411764705E-2</v>
      </c>
      <c r="CU211" s="37">
        <f>CM203/CN203</f>
        <v>7.8431372549019607E-2</v>
      </c>
      <c r="CV211" s="23"/>
      <c r="DC211" s="108">
        <v>12</v>
      </c>
      <c r="DD211" s="43">
        <f t="shared" si="371"/>
        <v>37.764138845840144</v>
      </c>
      <c r="DE211" s="70">
        <f t="shared" si="371"/>
        <v>39.644873497494203</v>
      </c>
      <c r="DF211" s="70">
        <f t="shared" si="371"/>
        <v>40.312996986403107</v>
      </c>
      <c r="DG211" s="70">
        <f t="shared" si="371"/>
        <v>40.171283972169043</v>
      </c>
      <c r="DH211" s="71">
        <f t="shared" si="371"/>
        <v>35.349527893329721</v>
      </c>
      <c r="DJ211" s="64" t="s">
        <v>8</v>
      </c>
      <c r="DK211" s="32" t="s">
        <v>22</v>
      </c>
      <c r="DL211" s="38" t="s">
        <v>9</v>
      </c>
      <c r="DM211" s="38" t="s">
        <v>23</v>
      </c>
      <c r="DN211" s="38" t="s">
        <v>7</v>
      </c>
      <c r="DO211" s="39" t="s">
        <v>13</v>
      </c>
      <c r="DP211" s="65"/>
      <c r="DQ211" s="10"/>
      <c r="DR211" s="66" t="s">
        <v>8</v>
      </c>
      <c r="DS211" s="40">
        <f>DK203/DP203</f>
        <v>0.2608695652173913</v>
      </c>
      <c r="DT211" s="36">
        <f>DL203/DP203</f>
        <v>0.17391304347826086</v>
      </c>
      <c r="DU211" s="36">
        <f>DM203/DP203</f>
        <v>0.45652173913043476</v>
      </c>
      <c r="DV211" s="36">
        <f>DN203/DP203</f>
        <v>4.3478260869565216E-2</v>
      </c>
      <c r="DW211" s="37">
        <f>DO203/DP203</f>
        <v>6.5217391304347824E-2</v>
      </c>
      <c r="DX211" s="23"/>
      <c r="EE211" s="108">
        <v>12</v>
      </c>
      <c r="EF211" s="43">
        <f t="shared" si="372"/>
        <v>43.857859911760656</v>
      </c>
      <c r="EG211" s="70">
        <f t="shared" si="372"/>
        <v>45.80810537446304</v>
      </c>
      <c r="EH211" s="70">
        <f t="shared" si="372"/>
        <v>46.49337543998719</v>
      </c>
      <c r="EI211" s="70">
        <f t="shared" si="372"/>
        <v>46.299890152853145</v>
      </c>
      <c r="EJ211" s="71">
        <f t="shared" si="372"/>
        <v>48.207816290868756</v>
      </c>
    </row>
    <row r="212" spans="2:140" ht="15" thickBot="1" x14ac:dyDescent="0.25">
      <c r="B212" s="64" t="s">
        <v>3</v>
      </c>
      <c r="C212" s="134" t="s">
        <v>24</v>
      </c>
      <c r="D212" s="70" t="s">
        <v>25</v>
      </c>
      <c r="E212" s="70" t="s">
        <v>26</v>
      </c>
      <c r="F212" s="70" t="s">
        <v>27</v>
      </c>
      <c r="G212" s="71" t="s">
        <v>28</v>
      </c>
      <c r="H212" s="65"/>
      <c r="I212" s="10"/>
      <c r="J212" s="72" t="s">
        <v>3</v>
      </c>
      <c r="K212" s="136">
        <f>C204/H204</f>
        <v>0.64102564102564108</v>
      </c>
      <c r="L212" s="137">
        <f>D204/H204</f>
        <v>5.128205128205128E-2</v>
      </c>
      <c r="M212" s="137">
        <f>E204/H204</f>
        <v>7.6923076923076927E-2</v>
      </c>
      <c r="N212" s="137">
        <f>F204/H204</f>
        <v>0.10256410256410256</v>
      </c>
      <c r="O212" s="138">
        <f>G204/H204</f>
        <v>0.12820512820512819</v>
      </c>
      <c r="P212" s="23"/>
      <c r="AD212" s="64" t="s">
        <v>3</v>
      </c>
      <c r="AE212" s="43" t="s">
        <v>24</v>
      </c>
      <c r="AF212" s="135" t="s">
        <v>25</v>
      </c>
      <c r="AG212" s="70" t="s">
        <v>26</v>
      </c>
      <c r="AH212" s="70" t="s">
        <v>27</v>
      </c>
      <c r="AI212" s="71" t="s">
        <v>28</v>
      </c>
      <c r="AJ212" s="65"/>
      <c r="AK212" s="10"/>
      <c r="AL212" s="72" t="s">
        <v>3</v>
      </c>
      <c r="AM212" s="136">
        <f>AE204/AJ204</f>
        <v>0.44642857142857145</v>
      </c>
      <c r="AN212" s="137">
        <f>AF204/AJ204</f>
        <v>0.44642857142857145</v>
      </c>
      <c r="AO212" s="137">
        <f>AG204/AJ204</f>
        <v>1.7857142857142856E-2</v>
      </c>
      <c r="AP212" s="137">
        <f>AH204/AJ204</f>
        <v>3.5714285714285712E-2</v>
      </c>
      <c r="AQ212" s="138">
        <f>AI204/AJ204</f>
        <v>5.3571428571428568E-2</v>
      </c>
      <c r="AR212" s="23"/>
      <c r="BF212" s="64" t="s">
        <v>3</v>
      </c>
      <c r="BG212" s="43" t="s">
        <v>24</v>
      </c>
      <c r="BH212" s="70" t="s">
        <v>25</v>
      </c>
      <c r="BI212" s="135" t="s">
        <v>26</v>
      </c>
      <c r="BJ212" s="70" t="s">
        <v>27</v>
      </c>
      <c r="BK212" s="71" t="s">
        <v>28</v>
      </c>
      <c r="BL212" s="65"/>
      <c r="BM212" s="10"/>
      <c r="BN212" s="72" t="s">
        <v>3</v>
      </c>
      <c r="BO212" s="136">
        <f>BG204/BL204</f>
        <v>0.29729729729729731</v>
      </c>
      <c r="BP212" s="137">
        <f>BH204/BL204</f>
        <v>0.32432432432432434</v>
      </c>
      <c r="BQ212" s="137">
        <f>BI204/BL204</f>
        <v>0.33783783783783783</v>
      </c>
      <c r="BR212" s="137">
        <f>BJ204/BL204</f>
        <v>1.3513513513513514E-2</v>
      </c>
      <c r="BS212" s="138">
        <f>BK204/BL204</f>
        <v>2.7027027027027029E-2</v>
      </c>
      <c r="BT212" s="23"/>
      <c r="CH212" s="64" t="s">
        <v>3</v>
      </c>
      <c r="CI212" s="43" t="s">
        <v>24</v>
      </c>
      <c r="CJ212" s="70" t="s">
        <v>25</v>
      </c>
      <c r="CK212" s="70" t="s">
        <v>26</v>
      </c>
      <c r="CL212" s="135" t="s">
        <v>27</v>
      </c>
      <c r="CM212" s="71" t="s">
        <v>28</v>
      </c>
      <c r="CN212" s="65"/>
      <c r="CO212" s="10"/>
      <c r="CP212" s="72" t="s">
        <v>3</v>
      </c>
      <c r="CQ212" s="136">
        <f>CI204/CN204</f>
        <v>0.22340425531914893</v>
      </c>
      <c r="CR212" s="137">
        <f>CJ204/CN204</f>
        <v>0.24468085106382978</v>
      </c>
      <c r="CS212" s="137">
        <f>CK204/CN204</f>
        <v>0.25531914893617019</v>
      </c>
      <c r="CT212" s="137">
        <f>CL204/CN204</f>
        <v>0.26595744680851063</v>
      </c>
      <c r="CU212" s="138">
        <f>CM204/CN204</f>
        <v>1.0638297872340425E-2</v>
      </c>
      <c r="CV212" s="23"/>
      <c r="DJ212" s="64" t="s">
        <v>3</v>
      </c>
      <c r="DK212" s="43" t="s">
        <v>24</v>
      </c>
      <c r="DL212" s="70" t="s">
        <v>25</v>
      </c>
      <c r="DM212" s="70" t="s">
        <v>26</v>
      </c>
      <c r="DN212" s="70" t="s">
        <v>27</v>
      </c>
      <c r="DO212" s="133" t="s">
        <v>28</v>
      </c>
      <c r="DP212" s="65"/>
      <c r="DQ212" s="10"/>
      <c r="DR212" s="72" t="s">
        <v>3</v>
      </c>
      <c r="DS212" s="136">
        <f>DK204/DP204</f>
        <v>0.17543859649122806</v>
      </c>
      <c r="DT212" s="137">
        <f>DL204/DP204</f>
        <v>0.19298245614035087</v>
      </c>
      <c r="DU212" s="137">
        <f>DM204/DP204</f>
        <v>0.20175438596491227</v>
      </c>
      <c r="DV212" s="137">
        <f>DN204/DP204</f>
        <v>0.21052631578947367</v>
      </c>
      <c r="DW212" s="138">
        <f>DO204/DP204</f>
        <v>0.21929824561403508</v>
      </c>
      <c r="DX212" s="23"/>
    </row>
    <row r="213" spans="2:140" ht="15" thickBot="1" x14ac:dyDescent="0.25">
      <c r="B213" s="73"/>
      <c r="C213" s="74"/>
      <c r="D213" s="74"/>
      <c r="E213" s="74"/>
      <c r="F213" s="74"/>
      <c r="G213" s="74"/>
      <c r="H213" s="75"/>
      <c r="I213" s="10"/>
      <c r="AD213" s="73"/>
      <c r="AE213" s="74"/>
      <c r="AF213" s="74"/>
      <c r="AG213" s="74"/>
      <c r="AH213" s="74"/>
      <c r="AI213" s="74"/>
      <c r="AJ213" s="75"/>
      <c r="AK213" s="10"/>
      <c r="BF213" s="73"/>
      <c r="BG213" s="74"/>
      <c r="BH213" s="74"/>
      <c r="BI213" s="74"/>
      <c r="BJ213" s="74"/>
      <c r="BK213" s="74"/>
      <c r="BL213" s="75"/>
      <c r="BM213" s="10"/>
      <c r="CH213" s="73"/>
      <c r="CI213" s="74"/>
      <c r="CJ213" s="74"/>
      <c r="CK213" s="74"/>
      <c r="CL213" s="74"/>
      <c r="CM213" s="74"/>
      <c r="CN213" s="75"/>
      <c r="CO213" s="10"/>
      <c r="DJ213" s="73"/>
      <c r="DK213" s="74"/>
      <c r="DL213" s="74"/>
      <c r="DM213" s="74"/>
      <c r="DN213" s="74"/>
      <c r="DO213" s="74"/>
      <c r="DP213" s="75"/>
      <c r="DQ213" s="10"/>
    </row>
    <row r="214" spans="2:140" ht="15" thickBot="1" x14ac:dyDescent="0.25">
      <c r="B214" s="10"/>
      <c r="C214" s="10"/>
      <c r="D214" s="10"/>
      <c r="E214" s="10"/>
      <c r="F214" s="10"/>
      <c r="G214" s="10"/>
      <c r="H214" s="10"/>
      <c r="I214" s="10"/>
      <c r="K214" s="10"/>
      <c r="L214" s="10"/>
      <c r="M214" s="10"/>
      <c r="N214" s="10"/>
      <c r="O214" s="10" t="s">
        <v>580</v>
      </c>
      <c r="P214" s="10"/>
      <c r="Q214" s="76" t="s">
        <v>30</v>
      </c>
      <c r="R214" s="76" t="s">
        <v>31</v>
      </c>
      <c r="S214" s="76" t="s">
        <v>32</v>
      </c>
      <c r="T214" s="76" t="s">
        <v>33</v>
      </c>
      <c r="U214" s="76" t="s">
        <v>34</v>
      </c>
      <c r="W214" s="170" t="s">
        <v>65</v>
      </c>
      <c r="X214" s="171"/>
      <c r="Y214" s="171"/>
      <c r="Z214" s="171"/>
      <c r="AA214" s="171"/>
      <c r="AB214" s="171"/>
      <c r="AD214" s="10"/>
      <c r="AE214" s="10"/>
      <c r="AF214" s="10"/>
      <c r="AG214" s="10"/>
      <c r="AH214" s="10"/>
      <c r="AI214" s="10"/>
      <c r="AJ214" s="10"/>
      <c r="AK214" s="10"/>
      <c r="AM214" s="10"/>
      <c r="AN214" s="10"/>
      <c r="AO214" s="10"/>
      <c r="AP214" s="10"/>
      <c r="AQ214" s="10" t="s">
        <v>580</v>
      </c>
      <c r="AR214" s="10"/>
      <c r="AS214" s="76" t="s">
        <v>30</v>
      </c>
      <c r="AT214" s="76" t="s">
        <v>31</v>
      </c>
      <c r="AU214" s="76" t="s">
        <v>32</v>
      </c>
      <c r="AV214" s="76" t="s">
        <v>33</v>
      </c>
      <c r="AW214" s="76" t="s">
        <v>34</v>
      </c>
      <c r="AY214" s="170" t="s">
        <v>77</v>
      </c>
      <c r="AZ214" s="171"/>
      <c r="BA214" s="171"/>
      <c r="BB214" s="171"/>
      <c r="BC214" s="171"/>
      <c r="BD214" s="171"/>
      <c r="BF214" s="10"/>
      <c r="BG214" s="10"/>
      <c r="BH214" s="10"/>
      <c r="BI214" s="10"/>
      <c r="BJ214" s="10"/>
      <c r="BK214" s="10"/>
      <c r="BL214" s="10"/>
      <c r="BM214" s="10"/>
      <c r="BO214" s="10"/>
      <c r="BP214" s="10"/>
      <c r="BQ214" s="10"/>
      <c r="BR214" s="10"/>
      <c r="BS214" s="10" t="s">
        <v>580</v>
      </c>
      <c r="BT214" s="10"/>
      <c r="BU214" s="76" t="s">
        <v>30</v>
      </c>
      <c r="BV214" s="76" t="s">
        <v>31</v>
      </c>
      <c r="BW214" s="76" t="s">
        <v>32</v>
      </c>
      <c r="BX214" s="76" t="s">
        <v>33</v>
      </c>
      <c r="BY214" s="76" t="s">
        <v>34</v>
      </c>
      <c r="CA214" s="170" t="s">
        <v>95</v>
      </c>
      <c r="CB214" s="171"/>
      <c r="CC214" s="171"/>
      <c r="CD214" s="171"/>
      <c r="CE214" s="171"/>
      <c r="CF214" s="171"/>
      <c r="CH214" s="10"/>
      <c r="CI214" s="10"/>
      <c r="CJ214" s="10"/>
      <c r="CK214" s="10"/>
      <c r="CL214" s="10"/>
      <c r="CM214" s="10"/>
      <c r="CN214" s="10"/>
      <c r="CO214" s="10"/>
      <c r="CQ214" s="10"/>
      <c r="CR214" s="10"/>
      <c r="CS214" s="10"/>
      <c r="CT214" s="10"/>
      <c r="CU214" s="10" t="s">
        <v>580</v>
      </c>
      <c r="CV214" s="10"/>
      <c r="CW214" s="76" t="s">
        <v>30</v>
      </c>
      <c r="CX214" s="76" t="s">
        <v>31</v>
      </c>
      <c r="CY214" s="76" t="s">
        <v>32</v>
      </c>
      <c r="CZ214" s="76" t="s">
        <v>33</v>
      </c>
      <c r="DA214" s="76" t="s">
        <v>34</v>
      </c>
      <c r="DC214" s="170" t="s">
        <v>110</v>
      </c>
      <c r="DD214" s="171"/>
      <c r="DE214" s="171"/>
      <c r="DF214" s="171"/>
      <c r="DG214" s="171"/>
      <c r="DH214" s="171"/>
      <c r="DJ214" s="10"/>
      <c r="DK214" s="10"/>
      <c r="DL214" s="10"/>
      <c r="DM214" s="10"/>
      <c r="DN214" s="10"/>
      <c r="DO214" s="10"/>
      <c r="DP214" s="10"/>
      <c r="DQ214" s="10"/>
      <c r="DS214" s="10"/>
      <c r="DT214" s="10"/>
      <c r="DU214" s="10"/>
      <c r="DV214" s="10"/>
      <c r="DW214" s="10" t="s">
        <v>580</v>
      </c>
      <c r="DX214" s="10"/>
      <c r="DY214" s="76" t="s">
        <v>30</v>
      </c>
      <c r="DZ214" s="76" t="s">
        <v>31</v>
      </c>
      <c r="EA214" s="76" t="s">
        <v>32</v>
      </c>
      <c r="EB214" s="76" t="s">
        <v>33</v>
      </c>
      <c r="EC214" s="76" t="s">
        <v>34</v>
      </c>
      <c r="EE214" s="170" t="s">
        <v>125</v>
      </c>
      <c r="EF214" s="171"/>
      <c r="EG214" s="171"/>
      <c r="EH214" s="171"/>
      <c r="EI214" s="171"/>
      <c r="EJ214" s="171"/>
    </row>
    <row r="215" spans="2:140" ht="15" thickBot="1" x14ac:dyDescent="0.25">
      <c r="B215" s="10"/>
      <c r="C215" s="10"/>
      <c r="D215" s="10"/>
      <c r="E215" s="10"/>
      <c r="F215" s="10"/>
      <c r="G215" s="10"/>
      <c r="H215" s="10"/>
      <c r="I215" s="10"/>
      <c r="J215" s="838" t="s">
        <v>35</v>
      </c>
      <c r="K215" s="839"/>
      <c r="L215" s="77" t="s">
        <v>36</v>
      </c>
      <c r="M215" s="78" t="s">
        <v>11</v>
      </c>
      <c r="N215" s="79" t="s">
        <v>37</v>
      </c>
      <c r="O215" s="80" t="s">
        <v>38</v>
      </c>
      <c r="P215" s="10"/>
      <c r="Q215" s="81">
        <f>K200</f>
        <v>0.10112359550561797</v>
      </c>
      <c r="R215" s="82">
        <f>K201</f>
        <v>0.20224719101123595</v>
      </c>
      <c r="S215" s="82">
        <f>K202</f>
        <v>0.2247191011235955</v>
      </c>
      <c r="T215" s="82">
        <f>K203</f>
        <v>0.19101123595505617</v>
      </c>
      <c r="U215" s="83">
        <f>K204</f>
        <v>0.2808988764044944</v>
      </c>
      <c r="V215" s="84">
        <f>SUM(Q215:U215)</f>
        <v>1</v>
      </c>
      <c r="W215" s="193" t="s">
        <v>37</v>
      </c>
      <c r="X215" s="173" t="s">
        <v>30</v>
      </c>
      <c r="Y215" s="174" t="s">
        <v>31</v>
      </c>
      <c r="Z215" s="174" t="s">
        <v>32</v>
      </c>
      <c r="AA215" s="174" t="s">
        <v>33</v>
      </c>
      <c r="AB215" s="175" t="s">
        <v>34</v>
      </c>
      <c r="AD215" s="10"/>
      <c r="AE215" s="10"/>
      <c r="AF215" s="10"/>
      <c r="AG215" s="10"/>
      <c r="AH215" s="10"/>
      <c r="AI215" s="10"/>
      <c r="AJ215" s="10"/>
      <c r="AK215" s="10"/>
      <c r="AL215" s="838" t="s">
        <v>35</v>
      </c>
      <c r="AM215" s="839"/>
      <c r="AN215" s="77" t="s">
        <v>36</v>
      </c>
      <c r="AO215" s="78" t="s">
        <v>11</v>
      </c>
      <c r="AP215" s="79" t="s">
        <v>37</v>
      </c>
      <c r="AQ215" s="80" t="s">
        <v>38</v>
      </c>
      <c r="AR215" s="10"/>
      <c r="AS215" s="81">
        <f>AM200</f>
        <v>8.2352941176470587E-2</v>
      </c>
      <c r="AT215" s="82">
        <f>AM201</f>
        <v>0.21176470588235294</v>
      </c>
      <c r="AU215" s="82">
        <f>AM202</f>
        <v>0.23529411764705882</v>
      </c>
      <c r="AV215" s="82">
        <f>AM203</f>
        <v>0.17647058823529413</v>
      </c>
      <c r="AW215" s="83">
        <f>AM204</f>
        <v>0.29411764705882354</v>
      </c>
      <c r="AX215" s="84">
        <f>SUM(AS215:AW215)</f>
        <v>1</v>
      </c>
      <c r="AY215" s="198" t="s">
        <v>37</v>
      </c>
      <c r="AZ215" s="194" t="s">
        <v>30</v>
      </c>
      <c r="BA215" s="195" t="s">
        <v>31</v>
      </c>
      <c r="BB215" s="195" t="s">
        <v>32</v>
      </c>
      <c r="BC215" s="195" t="s">
        <v>33</v>
      </c>
      <c r="BD215" s="196" t="s">
        <v>34</v>
      </c>
      <c r="BF215" s="10"/>
      <c r="BG215" s="10"/>
      <c r="BH215" s="10"/>
      <c r="BI215" s="10"/>
      <c r="BJ215" s="10"/>
      <c r="BK215" s="10"/>
      <c r="BL215" s="10"/>
      <c r="BM215" s="10"/>
      <c r="BN215" s="838" t="s">
        <v>35</v>
      </c>
      <c r="BO215" s="839"/>
      <c r="BP215" s="77" t="s">
        <v>36</v>
      </c>
      <c r="BQ215" s="78" t="s">
        <v>11</v>
      </c>
      <c r="BR215" s="79" t="s">
        <v>37</v>
      </c>
      <c r="BS215" s="80" t="s">
        <v>38</v>
      </c>
      <c r="BT215" s="10"/>
      <c r="BU215" s="81">
        <f>BO200</f>
        <v>8.1081081081081086E-2</v>
      </c>
      <c r="BV215" s="82">
        <f>BO201</f>
        <v>0.20270270270270271</v>
      </c>
      <c r="BW215" s="82">
        <f>BO202</f>
        <v>0.22972972972972974</v>
      </c>
      <c r="BX215" s="82">
        <f>BO203</f>
        <v>0.1891891891891892</v>
      </c>
      <c r="BY215" s="83">
        <f>BO204</f>
        <v>0.29729729729729731</v>
      </c>
      <c r="BZ215" s="84">
        <f>SUM(BU215:BY215)</f>
        <v>1</v>
      </c>
      <c r="CA215" s="198" t="s">
        <v>37</v>
      </c>
      <c r="CB215" s="194" t="s">
        <v>30</v>
      </c>
      <c r="CC215" s="195" t="s">
        <v>31</v>
      </c>
      <c r="CD215" s="195" t="s">
        <v>32</v>
      </c>
      <c r="CE215" s="195" t="s">
        <v>33</v>
      </c>
      <c r="CF215" s="196" t="s">
        <v>34</v>
      </c>
      <c r="CH215" s="10"/>
      <c r="CI215" s="10"/>
      <c r="CJ215" s="10"/>
      <c r="CK215" s="10"/>
      <c r="CL215" s="10"/>
      <c r="CM215" s="10"/>
      <c r="CN215" s="10"/>
      <c r="CO215" s="10"/>
      <c r="CP215" s="838" t="s">
        <v>35</v>
      </c>
      <c r="CQ215" s="839"/>
      <c r="CR215" s="77" t="s">
        <v>36</v>
      </c>
      <c r="CS215" s="78" t="s">
        <v>11</v>
      </c>
      <c r="CT215" s="79" t="s">
        <v>37</v>
      </c>
      <c r="CU215" s="80" t="s">
        <v>38</v>
      </c>
      <c r="CV215" s="10"/>
      <c r="CW215" s="81">
        <f>CQ200</f>
        <v>7.2463768115942032E-2</v>
      </c>
      <c r="CX215" s="82">
        <f>CQ201</f>
        <v>0.20289855072463769</v>
      </c>
      <c r="CY215" s="82">
        <f>CQ202</f>
        <v>0.2318840579710145</v>
      </c>
      <c r="CZ215" s="82">
        <f>CQ203</f>
        <v>0.18840579710144928</v>
      </c>
      <c r="DA215" s="83">
        <f>CQ204</f>
        <v>0.30434782608695654</v>
      </c>
      <c r="DB215" s="84">
        <f>SUM(CW215:DA215)</f>
        <v>1</v>
      </c>
      <c r="DC215" s="198" t="s">
        <v>37</v>
      </c>
      <c r="DD215" s="194" t="s">
        <v>30</v>
      </c>
      <c r="DE215" s="195" t="s">
        <v>31</v>
      </c>
      <c r="DF215" s="195" t="s">
        <v>32</v>
      </c>
      <c r="DG215" s="195" t="s">
        <v>33</v>
      </c>
      <c r="DH215" s="196" t="s">
        <v>34</v>
      </c>
      <c r="DJ215" s="10"/>
      <c r="DK215" s="10"/>
      <c r="DL215" s="10"/>
      <c r="DM215" s="10"/>
      <c r="DN215" s="10"/>
      <c r="DO215" s="10"/>
      <c r="DP215" s="10"/>
      <c r="DQ215" s="10"/>
      <c r="DR215" s="838" t="s">
        <v>35</v>
      </c>
      <c r="DS215" s="839"/>
      <c r="DT215" s="77" t="s">
        <v>36</v>
      </c>
      <c r="DU215" s="153" t="s">
        <v>11</v>
      </c>
      <c r="DV215" s="79" t="s">
        <v>37</v>
      </c>
      <c r="DW215" s="80" t="s">
        <v>38</v>
      </c>
      <c r="DX215" s="10"/>
      <c r="DY215" s="81">
        <f>DS200</f>
        <v>6.25E-2</v>
      </c>
      <c r="DZ215" s="82">
        <f>DS201</f>
        <v>0.203125</v>
      </c>
      <c r="EA215" s="82">
        <f>DS202</f>
        <v>0.234375</v>
      </c>
      <c r="EB215" s="82">
        <f>DS203</f>
        <v>0.1875</v>
      </c>
      <c r="EC215" s="83">
        <f>DS204</f>
        <v>0.3125</v>
      </c>
      <c r="ED215" s="84">
        <f>SUM(DY215:EC215)</f>
        <v>1</v>
      </c>
      <c r="EE215" s="198" t="s">
        <v>37</v>
      </c>
      <c r="EF215" s="194" t="s">
        <v>30</v>
      </c>
      <c r="EG215" s="195" t="s">
        <v>31</v>
      </c>
      <c r="EH215" s="195" t="s">
        <v>32</v>
      </c>
      <c r="EI215" s="195" t="s">
        <v>33</v>
      </c>
      <c r="EJ215" s="196" t="s">
        <v>34</v>
      </c>
    </row>
    <row r="216" spans="2:140" x14ac:dyDescent="0.2">
      <c r="B216" s="10"/>
      <c r="C216" s="10"/>
      <c r="D216" s="10"/>
      <c r="E216" s="86" t="s">
        <v>39</v>
      </c>
      <c r="F216" s="10"/>
      <c r="G216" s="10"/>
      <c r="H216" s="10"/>
      <c r="I216" s="10"/>
      <c r="J216" s="87" t="s">
        <v>14</v>
      </c>
      <c r="K216" s="97">
        <v>18</v>
      </c>
      <c r="L216" s="465">
        <f>L23</f>
        <v>1</v>
      </c>
      <c r="N216" s="88">
        <v>1</v>
      </c>
      <c r="O216" s="89">
        <v>7</v>
      </c>
      <c r="P216" s="90"/>
      <c r="Q216" s="91">
        <f>O216/(L216-Q215)</f>
        <v>7.7875000000000005</v>
      </c>
      <c r="R216" s="92">
        <f>O216/(L216-R215)</f>
        <v>8.774647887323944</v>
      </c>
      <c r="S216" s="92">
        <f>O216/(L216-S215)</f>
        <v>9.0289855072463769</v>
      </c>
      <c r="T216" s="92">
        <f>O216/(L216-T215)</f>
        <v>8.6527777777777786</v>
      </c>
      <c r="U216" s="93">
        <f>O216/(L216-U215)</f>
        <v>9.734375</v>
      </c>
      <c r="W216" s="14">
        <v>1</v>
      </c>
      <c r="X216" s="24">
        <f>(Q216/Q228*100+Q231)*$L216</f>
        <v>10.077380952380953</v>
      </c>
      <c r="Y216" s="205">
        <f>(R216/R228*100+R231)*$L216</f>
        <v>8.3457207207207205</v>
      </c>
      <c r="Z216" s="205">
        <f t="shared" ref="Z216" si="383">(S216/S228*100+S231)*$L216</f>
        <v>8.3750000000000018</v>
      </c>
      <c r="AA216" s="205">
        <f t="shared" ref="AA216" si="384">(T216/T228*100+T231)*$L216</f>
        <v>8.4059523809523835</v>
      </c>
      <c r="AB216" s="382">
        <f t="shared" ref="AB216" si="385">(U216/U228*100+U231)*$L216</f>
        <v>8.4387254901960791</v>
      </c>
      <c r="AD216" s="10"/>
      <c r="AE216" s="10"/>
      <c r="AF216" s="10"/>
      <c r="AG216" s="86" t="s">
        <v>39</v>
      </c>
      <c r="AH216" s="10"/>
      <c r="AI216" s="10"/>
      <c r="AJ216" s="10"/>
      <c r="AK216" s="10"/>
      <c r="AL216" s="87" t="s">
        <v>14</v>
      </c>
      <c r="AM216" s="97">
        <v>18</v>
      </c>
      <c r="AN216" s="465">
        <f>AN23</f>
        <v>1</v>
      </c>
      <c r="AP216" s="88">
        <v>1</v>
      </c>
      <c r="AQ216" s="89">
        <v>7</v>
      </c>
      <c r="AR216" s="90"/>
      <c r="AS216" s="91">
        <f>AQ216/(AN216-AS215)</f>
        <v>7.6282051282051286</v>
      </c>
      <c r="AT216" s="92">
        <f>AQ216/(AN216-AT215)</f>
        <v>8.8805970149253728</v>
      </c>
      <c r="AU216" s="92">
        <f>AQ216/(AN216-AU215)</f>
        <v>9.1538461538461551</v>
      </c>
      <c r="AV216" s="92">
        <f>AQ216/(AN216-AV215)</f>
        <v>8.5</v>
      </c>
      <c r="AW216" s="93">
        <f>AQ216/(AN216-AW215)</f>
        <v>9.9166666666666679</v>
      </c>
      <c r="AY216" s="199">
        <v>1</v>
      </c>
      <c r="AZ216" s="24">
        <f>(AS216/AS228*100+AS231)*AN216</f>
        <v>14.51747311827957</v>
      </c>
      <c r="BA216" s="205">
        <f>(AT216/AT228*100+AT231)*AN216</f>
        <v>14.51747311827957</v>
      </c>
      <c r="BB216" s="205">
        <f>(AU216/AU228*100+AU231)*AN216</f>
        <v>11.364393939393938</v>
      </c>
      <c r="BC216" s="205">
        <f>(AV216/AV228*100+AV231)*AN216</f>
        <v>11.439814814814813</v>
      </c>
      <c r="BD216" s="382">
        <f>(AW216/AW228*100+AW231)*AN216</f>
        <v>11.51808176100629</v>
      </c>
      <c r="BF216" s="10"/>
      <c r="BG216" s="10"/>
      <c r="BH216" s="10"/>
      <c r="BI216" s="86" t="s">
        <v>39</v>
      </c>
      <c r="BJ216" s="10"/>
      <c r="BK216" s="10"/>
      <c r="BL216" s="10"/>
      <c r="BM216" s="10"/>
      <c r="BN216" s="87" t="s">
        <v>14</v>
      </c>
      <c r="BO216" s="97">
        <v>15</v>
      </c>
      <c r="BP216" s="465">
        <f>BP23</f>
        <v>1</v>
      </c>
      <c r="BR216" s="88">
        <v>1</v>
      </c>
      <c r="BS216" s="89">
        <v>7</v>
      </c>
      <c r="BT216" s="90"/>
      <c r="BU216" s="91">
        <f>BS216/(BP216-BU215)</f>
        <v>7.6176470588235299</v>
      </c>
      <c r="BV216" s="92">
        <f>BS216/(BP216-BV215)</f>
        <v>8.7796610169491522</v>
      </c>
      <c r="BW216" s="92">
        <f>BS216/(BP216-BW215)</f>
        <v>9.087719298245613</v>
      </c>
      <c r="BX216" s="92">
        <f>BS216/(BP216-BX215)</f>
        <v>8.6333333333333346</v>
      </c>
      <c r="BY216" s="93">
        <f>BS216/(BP216-BY215)</f>
        <v>9.9615384615384617</v>
      </c>
      <c r="CA216" s="207">
        <v>1</v>
      </c>
      <c r="CB216" s="24">
        <f>(BU216/BU228*100+BU231)*BP216</f>
        <v>10.137820512820513</v>
      </c>
      <c r="CC216" s="205">
        <f>(BV216/BV228*100+BV231)*BP216</f>
        <v>10.251666666666665</v>
      </c>
      <c r="CD216" s="205">
        <f>(BW216/BW228*100+BW231)*BP216</f>
        <v>10.312074829931973</v>
      </c>
      <c r="CE216" s="205">
        <f>(BX216/BX228*100+BX231)*BP216</f>
        <v>9.3190639269406397</v>
      </c>
      <c r="CF216" s="382">
        <f>(BY216/BY228*100+BY231)*BP216</f>
        <v>9.3472222222222214</v>
      </c>
      <c r="CH216" s="10"/>
      <c r="CI216" s="10"/>
      <c r="CJ216" s="10"/>
      <c r="CK216" s="86" t="s">
        <v>39</v>
      </c>
      <c r="CL216" s="10"/>
      <c r="CM216" s="10"/>
      <c r="CN216" s="10"/>
      <c r="CO216" s="10"/>
      <c r="CP216" s="87" t="s">
        <v>14</v>
      </c>
      <c r="CQ216" s="97">
        <v>14</v>
      </c>
      <c r="CR216" s="465">
        <f>CR23</f>
        <v>1</v>
      </c>
      <c r="CT216" s="88">
        <v>1</v>
      </c>
      <c r="CU216" s="89">
        <v>7</v>
      </c>
      <c r="CV216" s="90"/>
      <c r="CW216" s="91">
        <f>CU216/(CR216-CW215)</f>
        <v>7.546875</v>
      </c>
      <c r="CX216" s="92">
        <f>CU216/(CR216-CX215)</f>
        <v>8.7818181818181813</v>
      </c>
      <c r="CY216" s="92">
        <f>CU216/(CR216-CY215)</f>
        <v>9.1132075471698109</v>
      </c>
      <c r="CZ216" s="92">
        <f>CU216/(CR216-CZ215)</f>
        <v>8.625</v>
      </c>
      <c r="DA216" s="93">
        <f>CU216/(CR216-DA215)</f>
        <v>10.0625</v>
      </c>
      <c r="DC216" s="207">
        <v>1</v>
      </c>
      <c r="DD216" s="24">
        <f>(CW216/CW228*100+CW231)*CR216</f>
        <v>17.593036529680365</v>
      </c>
      <c r="DE216" s="205">
        <f>(CX216/CX228*100+CX231)*CR216</f>
        <v>17.883215962441312</v>
      </c>
      <c r="DF216" s="205">
        <f>(CY216/CY228*100+CY231)*CR216</f>
        <v>18.034523809523808</v>
      </c>
      <c r="DG216" s="205">
        <f>(CZ216/CZ228*100+CZ231)*CR216</f>
        <v>18.190217391304348</v>
      </c>
      <c r="DH216" s="382">
        <f>(DA216/DA228*100+DA231)*CR216</f>
        <v>15.377688172043012</v>
      </c>
      <c r="DJ216" s="10"/>
      <c r="DK216" s="10"/>
      <c r="DL216" s="10"/>
      <c r="DM216" s="86" t="s">
        <v>39</v>
      </c>
      <c r="DN216" s="10"/>
      <c r="DO216" s="10"/>
      <c r="DP216" s="10"/>
      <c r="DQ216" s="10"/>
      <c r="DR216" s="87" t="s">
        <v>14</v>
      </c>
      <c r="DS216" s="97">
        <v>13</v>
      </c>
      <c r="DT216" s="465">
        <f>DT23</f>
        <v>1</v>
      </c>
      <c r="DV216" s="88">
        <v>1</v>
      </c>
      <c r="DW216" s="89">
        <v>7</v>
      </c>
      <c r="DX216" s="90"/>
      <c r="DY216" s="91">
        <f>DW216/(DT216-DY215)</f>
        <v>7.4666666666666668</v>
      </c>
      <c r="DZ216" s="92">
        <f>DW216/(DT216-DZ215)</f>
        <v>8.7843137254901968</v>
      </c>
      <c r="EA216" s="92">
        <f>DW216/(DT216-EA215)</f>
        <v>9.1428571428571423</v>
      </c>
      <c r="EB216" s="92">
        <f>DW216/(DT216-EB215)</f>
        <v>8.615384615384615</v>
      </c>
      <c r="EC216" s="93">
        <f>DW216/(DT216-EC215)</f>
        <v>10.181818181818182</v>
      </c>
      <c r="EE216" s="207">
        <v>1</v>
      </c>
      <c r="EF216" s="24">
        <f>(DY216/DY228*100+DY231)*DT216</f>
        <v>13.355496453900709</v>
      </c>
      <c r="EG216" s="205">
        <f>(DZ216/DZ228*100+DZ231)*DT216</f>
        <v>13.487318840579711</v>
      </c>
      <c r="EH216" s="205">
        <f>(EA216/EA228*100+EA231)*DT216</f>
        <v>13.555402930402931</v>
      </c>
      <c r="EI216" s="205">
        <f>(EB216/EB228*100+EB231)*DT216</f>
        <v>13.625</v>
      </c>
      <c r="EJ216" s="382">
        <f>(EC216/EC228*100+EC231)*DT216</f>
        <v>13.696161048689138</v>
      </c>
    </row>
    <row r="217" spans="2:140" x14ac:dyDescent="0.2">
      <c r="B217" s="10"/>
      <c r="C217" s="10"/>
      <c r="D217" s="10"/>
      <c r="E217" s="86" t="s">
        <v>39</v>
      </c>
      <c r="F217" s="10"/>
      <c r="G217" s="10"/>
      <c r="H217" s="10"/>
      <c r="I217" s="10"/>
      <c r="J217" s="96" t="s">
        <v>20</v>
      </c>
      <c r="K217" s="39">
        <v>19</v>
      </c>
      <c r="L217" s="465">
        <f>L216</f>
        <v>1</v>
      </c>
      <c r="N217" s="88">
        <v>2</v>
      </c>
      <c r="O217" s="95">
        <v>8</v>
      </c>
      <c r="P217" s="90"/>
      <c r="Q217" s="99">
        <f>O217/(L217-Q215)</f>
        <v>8.9</v>
      </c>
      <c r="R217" s="100">
        <f>O217/(L217-R215)</f>
        <v>10.028169014084508</v>
      </c>
      <c r="S217" s="100">
        <f>O217/(L217-S215)</f>
        <v>10.318840579710145</v>
      </c>
      <c r="T217" s="100">
        <f>O217/(L217-T215)</f>
        <v>9.8888888888888893</v>
      </c>
      <c r="U217" s="100">
        <f>O217/(L217-U215)</f>
        <v>11.125</v>
      </c>
      <c r="W217" s="14">
        <v>2</v>
      </c>
      <c r="X217" s="32">
        <f>(Q217/Q228*100+Q232)*$L217</f>
        <v>19.476190476190474</v>
      </c>
      <c r="Y217" s="202">
        <f>(R217/R228*100+R232)*$L217</f>
        <v>12.54954954954955</v>
      </c>
      <c r="Z217" s="202">
        <f t="shared" ref="Z217" si="386">(S217/S228*100+S232)*$L217</f>
        <v>12.666666666666668</v>
      </c>
      <c r="AA217" s="202">
        <f t="shared" ref="AA217" si="387">(T217/T228*100+T232)*$L217</f>
        <v>12.790476190476191</v>
      </c>
      <c r="AB217" s="383">
        <f t="shared" ref="AB217" si="388">(U217/U228*100+U232)*$L217</f>
        <v>12.921568627450979</v>
      </c>
      <c r="AD217" s="10"/>
      <c r="AE217" s="10"/>
      <c r="AF217" s="10"/>
      <c r="AG217" s="86" t="s">
        <v>39</v>
      </c>
      <c r="AH217" s="10"/>
      <c r="AI217" s="10"/>
      <c r="AJ217" s="10"/>
      <c r="AK217" s="10"/>
      <c r="AL217" s="96" t="s">
        <v>20</v>
      </c>
      <c r="AM217" s="39">
        <v>19</v>
      </c>
      <c r="AN217" s="465">
        <f>AN216</f>
        <v>1</v>
      </c>
      <c r="AP217" s="88">
        <v>2</v>
      </c>
      <c r="AQ217" s="95">
        <v>8</v>
      </c>
      <c r="AR217" s="90"/>
      <c r="AS217" s="99">
        <f>AQ217/(AN217-AS215)</f>
        <v>8.717948717948719</v>
      </c>
      <c r="AT217" s="100">
        <f>AQ217/(AN217-AT215)</f>
        <v>10.149253731343284</v>
      </c>
      <c r="AU217" s="100">
        <f>AQ217/(AN217-AU215)</f>
        <v>10.461538461538462</v>
      </c>
      <c r="AV217" s="100">
        <f>AQ217/(AN217-AV215)</f>
        <v>9.7142857142857153</v>
      </c>
      <c r="AW217" s="100">
        <f>AQ217/(AN217-AW215)</f>
        <v>11.333333333333334</v>
      </c>
      <c r="AY217" s="200">
        <v>2</v>
      </c>
      <c r="AZ217" s="32">
        <f>(AS217/AS228*100+AS232)*AN217</f>
        <v>11.946236559139786</v>
      </c>
      <c r="BA217" s="202">
        <f>(AT217/AT228*100+AT232)*AN217</f>
        <v>11.946236559139786</v>
      </c>
      <c r="BB217" s="202">
        <f>(AU217/AU228*100+AU232)*AN217</f>
        <v>10.369696969696969</v>
      </c>
      <c r="BC217" s="202">
        <f>(AV217/AV228*100+AV232)*AN217</f>
        <v>10.407407407407407</v>
      </c>
      <c r="BD217" s="383">
        <f>(AW217/AW228*100+AW232)*AN217</f>
        <v>10.446540880503145</v>
      </c>
      <c r="BF217" s="10"/>
      <c r="BG217" s="10"/>
      <c r="BH217" s="10"/>
      <c r="BI217" s="86" t="s">
        <v>39</v>
      </c>
      <c r="BJ217" s="10"/>
      <c r="BK217" s="10"/>
      <c r="BL217" s="10"/>
      <c r="BM217" s="10"/>
      <c r="BN217" s="96" t="s">
        <v>20</v>
      </c>
      <c r="BO217" s="39">
        <v>16</v>
      </c>
      <c r="BP217" s="465">
        <f>BP216</f>
        <v>1</v>
      </c>
      <c r="BR217" s="88">
        <v>2</v>
      </c>
      <c r="BS217" s="95">
        <v>8</v>
      </c>
      <c r="BT217" s="90"/>
      <c r="BU217" s="99">
        <f>BS217/(BP217-BU215)</f>
        <v>8.7058823529411775</v>
      </c>
      <c r="BV217" s="100">
        <f>BS217/(BP217-BV215)</f>
        <v>10.033898305084746</v>
      </c>
      <c r="BW217" s="100">
        <f>BS217/(BP217-BW215)</f>
        <v>10.385964912280702</v>
      </c>
      <c r="BX217" s="100">
        <f>BS217/(BP217-BX215)</f>
        <v>9.8666666666666671</v>
      </c>
      <c r="BY217" s="100">
        <f>BS217/(BP217-BY215)</f>
        <v>11.384615384615385</v>
      </c>
      <c r="CA217" s="208">
        <v>2</v>
      </c>
      <c r="CB217" s="32">
        <f>(BU217/BU228*100+BU232)*BP217</f>
        <v>19.717948717948715</v>
      </c>
      <c r="CC217" s="202">
        <f>(BV217/BV228*100+BV232)*BP217</f>
        <v>20.173333333333332</v>
      </c>
      <c r="CD217" s="202">
        <f>(BW217/BW228*100+BW232)*BP217</f>
        <v>20.414965986394556</v>
      </c>
      <c r="CE217" s="202">
        <f>(BX217/BX228*100+BX232)*BP217</f>
        <v>16.442922374429223</v>
      </c>
      <c r="CF217" s="383">
        <f>(BY217/BY228*100+BY232)*BP217</f>
        <v>16.555555555555557</v>
      </c>
      <c r="CH217" s="10"/>
      <c r="CI217" s="10"/>
      <c r="CJ217" s="10"/>
      <c r="CK217" s="86" t="s">
        <v>39</v>
      </c>
      <c r="CL217" s="10"/>
      <c r="CM217" s="10"/>
      <c r="CN217" s="10"/>
      <c r="CO217" s="10"/>
      <c r="CP217" s="96" t="s">
        <v>20</v>
      </c>
      <c r="CQ217" s="97">
        <v>15</v>
      </c>
      <c r="CR217" s="465">
        <f>CR216</f>
        <v>1</v>
      </c>
      <c r="CT217" s="88">
        <v>2</v>
      </c>
      <c r="CU217" s="95">
        <v>8</v>
      </c>
      <c r="CV217" s="90"/>
      <c r="CW217" s="99">
        <f>CU217/(CR217-CW215)</f>
        <v>8.625</v>
      </c>
      <c r="CX217" s="100">
        <f>CU217/(CR217-CX215)</f>
        <v>10.036363636363637</v>
      </c>
      <c r="CY217" s="100">
        <f>CU217/(CR217-CY215)</f>
        <v>10.415094339622643</v>
      </c>
      <c r="CZ217" s="100">
        <f>CU217/(CR217-CZ215)</f>
        <v>9.8571428571428559</v>
      </c>
      <c r="DA217" s="100">
        <f>CU217/(CR217-DA215)</f>
        <v>11.5</v>
      </c>
      <c r="DC217" s="208">
        <v>2</v>
      </c>
      <c r="DD217" s="32">
        <f>(CW217/CW228*100+CW232)*CR217</f>
        <v>14.771689497716892</v>
      </c>
      <c r="DE217" s="202">
        <f>(CX217/CX228*100+CX232)*CR217</f>
        <v>14.953051643192488</v>
      </c>
      <c r="DF217" s="202">
        <f>(CY217/CY228*100+CY232)*CR217</f>
        <v>15.047619047619047</v>
      </c>
      <c r="DG217" s="202">
        <f>(CZ217/CZ228*100+CZ232)*CR217</f>
        <v>15.144927536231883</v>
      </c>
      <c r="DH217" s="383">
        <f>(DA217/DA228*100+DA232)*CR217</f>
        <v>13.387096774193548</v>
      </c>
      <c r="DJ217" s="10"/>
      <c r="DK217" s="10"/>
      <c r="DL217" s="10"/>
      <c r="DM217" s="86" t="s">
        <v>39</v>
      </c>
      <c r="DN217" s="10"/>
      <c r="DO217" s="10"/>
      <c r="DP217" s="10"/>
      <c r="DQ217" s="10"/>
      <c r="DR217" s="96" t="s">
        <v>20</v>
      </c>
      <c r="DS217" s="97">
        <v>14</v>
      </c>
      <c r="DT217" s="465">
        <f>DT216</f>
        <v>1</v>
      </c>
      <c r="DV217" s="88">
        <v>2</v>
      </c>
      <c r="DW217" s="95">
        <v>8</v>
      </c>
      <c r="DX217" s="90"/>
      <c r="DY217" s="99">
        <f>DW217/(DT217-DY215)</f>
        <v>8.5333333333333332</v>
      </c>
      <c r="DZ217" s="100">
        <f>DW217/(DT217-DZ215)</f>
        <v>10.03921568627451</v>
      </c>
      <c r="EA217" s="100">
        <f>DW217/(DT217-EA215)</f>
        <v>10.448979591836734</v>
      </c>
      <c r="EB217" s="100">
        <f>DW217/(DT217-EB215)</f>
        <v>9.8461538461538467</v>
      </c>
      <c r="EC217" s="100">
        <f>DW217/(DT217-EC215)</f>
        <v>11.636363636363637</v>
      </c>
      <c r="EE217" s="208">
        <v>2</v>
      </c>
      <c r="EF217" s="32">
        <f>(DY217/DY228*100+DY232)*DT217</f>
        <v>16.822695035460995</v>
      </c>
      <c r="EG217" s="202">
        <f>(DZ217/DZ228*100+DZ232)*DT217</f>
        <v>17.007246376811594</v>
      </c>
      <c r="EH217" s="202">
        <f>(EA217/EA228*100+EA232)*DT217</f>
        <v>17.102564102564102</v>
      </c>
      <c r="EI217" s="202">
        <f>(EB217/EB228*100+EB232)*DT217</f>
        <v>17.2</v>
      </c>
      <c r="EJ217" s="383">
        <f>(EC217/EC228*100+EC232)*DT217</f>
        <v>17.299625468164791</v>
      </c>
    </row>
    <row r="218" spans="2:140" x14ac:dyDescent="0.2">
      <c r="B218" s="10"/>
      <c r="C218" s="102"/>
      <c r="D218" s="10"/>
      <c r="E218" s="86" t="s">
        <v>39</v>
      </c>
      <c r="F218" s="10"/>
      <c r="G218" s="10"/>
      <c r="H218" s="10"/>
      <c r="I218" s="10"/>
      <c r="J218" s="96" t="s">
        <v>8</v>
      </c>
      <c r="K218" s="97">
        <v>20</v>
      </c>
      <c r="L218" s="465">
        <f t="shared" ref="L218:L227" si="389">L217</f>
        <v>1</v>
      </c>
      <c r="N218" s="88">
        <v>3</v>
      </c>
      <c r="O218" s="95">
        <v>9</v>
      </c>
      <c r="P218" s="90"/>
      <c r="Q218" s="99">
        <f>O218/(L218-Q215)</f>
        <v>10.012500000000001</v>
      </c>
      <c r="R218" s="100">
        <f>O218/(L218-R215)</f>
        <v>11.281690140845072</v>
      </c>
      <c r="S218" s="100">
        <f>O218/(L218-S215)</f>
        <v>11.608695652173912</v>
      </c>
      <c r="T218" s="100">
        <f>O218/(L218-T215)</f>
        <v>11.125</v>
      </c>
      <c r="U218" s="100">
        <f>O218/(L218-U215)</f>
        <v>12.515625</v>
      </c>
      <c r="W218" s="14">
        <v>3</v>
      </c>
      <c r="X218" s="32">
        <f>(Q218/Q228*100+Q233)*$L218</f>
        <v>14.946428571428573</v>
      </c>
      <c r="Y218" s="202">
        <f>(R218/R228*100+R233)*$L218</f>
        <v>11.483108108108107</v>
      </c>
      <c r="Z218" s="202">
        <f t="shared" ref="Z218" si="390">(S218/S228*100+S233)*$L218</f>
        <v>11.541666666666668</v>
      </c>
      <c r="AA218" s="202">
        <f t="shared" ref="AA218" si="391">(T218/T228*100+T233)*$L218</f>
        <v>11.603571428571431</v>
      </c>
      <c r="AB218" s="383">
        <f t="shared" ref="AB218" si="392">(U218/U228*100+U233)*$L218</f>
        <v>11.669117647058822</v>
      </c>
      <c r="AD218" s="10"/>
      <c r="AE218" s="102"/>
      <c r="AF218" s="10"/>
      <c r="AG218" s="86" t="s">
        <v>39</v>
      </c>
      <c r="AH218" s="10"/>
      <c r="AI218" s="10"/>
      <c r="AJ218" s="10"/>
      <c r="AK218" s="10"/>
      <c r="AL218" s="96" t="s">
        <v>8</v>
      </c>
      <c r="AM218" s="97">
        <v>20</v>
      </c>
      <c r="AN218" s="465">
        <f t="shared" ref="AN218:AN227" si="393">AN217</f>
        <v>1</v>
      </c>
      <c r="AP218" s="88">
        <v>3</v>
      </c>
      <c r="AQ218" s="95">
        <v>9</v>
      </c>
      <c r="AR218" s="90"/>
      <c r="AS218" s="99">
        <f>AQ218/(AN218-AS215)</f>
        <v>9.8076923076923084</v>
      </c>
      <c r="AT218" s="100">
        <f>AQ218/(AN218-AT215)</f>
        <v>11.417910447761194</v>
      </c>
      <c r="AU218" s="100">
        <f>AQ218/(AN218-AU215)</f>
        <v>11.76923076923077</v>
      </c>
      <c r="AV218" s="100">
        <f>AQ218/(AN218-AV215)</f>
        <v>10.928571428571429</v>
      </c>
      <c r="AW218" s="100">
        <f>AQ218/(AN218-AW215)</f>
        <v>12.750000000000002</v>
      </c>
      <c r="AY218" s="200">
        <v>3</v>
      </c>
      <c r="AZ218" s="32">
        <f>(AS218/AS228*100+AS233)*AN218</f>
        <v>23.826612903225808</v>
      </c>
      <c r="BA218" s="202">
        <f>(AT218/AT228*100+AT233)*AN218</f>
        <v>23.826612903225808</v>
      </c>
      <c r="BB218" s="202">
        <f>(AU218/AU228*100+AU233)*AN218</f>
        <v>17.520454545454541</v>
      </c>
      <c r="BC218" s="202">
        <f>(AV218/AV228*100+AV233)*AN218</f>
        <v>17.671296296296294</v>
      </c>
      <c r="BD218" s="383">
        <f>(AW218/AW228*100+AW233)*AN218</f>
        <v>17.827830188679247</v>
      </c>
      <c r="BF218" s="10"/>
      <c r="BG218" s="102"/>
      <c r="BH218" s="10"/>
      <c r="BI218" s="86" t="s">
        <v>39</v>
      </c>
      <c r="BJ218" s="10"/>
      <c r="BK218" s="10"/>
      <c r="BL218" s="10"/>
      <c r="BM218" s="10"/>
      <c r="BN218" s="96" t="s">
        <v>8</v>
      </c>
      <c r="BO218" s="97">
        <v>17</v>
      </c>
      <c r="BP218" s="465">
        <f t="shared" ref="BP218:BP227" si="394">BP217</f>
        <v>1</v>
      </c>
      <c r="BR218" s="88">
        <v>3</v>
      </c>
      <c r="BS218" s="95">
        <v>9</v>
      </c>
      <c r="BT218" s="90"/>
      <c r="BU218" s="99">
        <f>BS218/(BP218-BU215)</f>
        <v>9.7941176470588243</v>
      </c>
      <c r="BV218" s="100">
        <f>BS218/(BP218-BV215)</f>
        <v>11.288135593220339</v>
      </c>
      <c r="BW218" s="100">
        <f>BS218/(BP218-BW215)</f>
        <v>11.684210526315789</v>
      </c>
      <c r="BX218" s="100">
        <f>BS218/(BP218-BX215)</f>
        <v>11.100000000000001</v>
      </c>
      <c r="BY218" s="100">
        <f>BS218/(BP218-BY215)</f>
        <v>12.807692307692308</v>
      </c>
      <c r="CA218" s="208">
        <v>3</v>
      </c>
      <c r="CB218" s="32">
        <f>(BU218/BU228*100+BU233)*BP218</f>
        <v>16.490384615384617</v>
      </c>
      <c r="CC218" s="202">
        <f>(BV218/BV228*100+BV233)*BP218</f>
        <v>16.774999999999999</v>
      </c>
      <c r="CD218" s="202">
        <f>(BW218/BW228*100+BW233)*BP218</f>
        <v>16.926020408163264</v>
      </c>
      <c r="CE218" s="202">
        <f>(BX218/BX228*100+BX233)*BP218</f>
        <v>14.443493150684931</v>
      </c>
      <c r="CF218" s="383">
        <f>(BY218/BY228*100+BY233)*BP218</f>
        <v>14.513888888888889</v>
      </c>
      <c r="CH218" s="10"/>
      <c r="CI218" s="102"/>
      <c r="CJ218" s="10"/>
      <c r="CK218" s="86" t="s">
        <v>39</v>
      </c>
      <c r="CL218" s="10"/>
      <c r="CM218" s="10"/>
      <c r="CN218" s="10"/>
      <c r="CO218" s="10"/>
      <c r="CP218" s="96" t="s">
        <v>8</v>
      </c>
      <c r="CQ218" s="39">
        <v>16</v>
      </c>
      <c r="CR218" s="465">
        <f t="shared" ref="CR218:CR227" si="395">CR217</f>
        <v>1</v>
      </c>
      <c r="CT218" s="88">
        <v>3</v>
      </c>
      <c r="CU218" s="95">
        <v>9</v>
      </c>
      <c r="CV218" s="90"/>
      <c r="CW218" s="99">
        <f>CU218/(CR218-CW215)</f>
        <v>9.703125</v>
      </c>
      <c r="CX218" s="100">
        <f>CU218/(CR218-CX215)</f>
        <v>11.290909090909091</v>
      </c>
      <c r="CY218" s="100">
        <f>CU218/(CR218-CY215)</f>
        <v>11.716981132075473</v>
      </c>
      <c r="CZ218" s="100">
        <f>CU218/(CR218-CZ215)</f>
        <v>11.089285714285714</v>
      </c>
      <c r="DA218" s="100">
        <f>CU218/(CR218-DA215)</f>
        <v>12.9375</v>
      </c>
      <c r="DC218" s="208">
        <v>3</v>
      </c>
      <c r="DD218" s="32">
        <f>(CW218/CW228*100+CW233)*CR218</f>
        <v>18.388698630136986</v>
      </c>
      <c r="DE218" s="202">
        <f>(CX218/CX228*100+CX233)*CR218</f>
        <v>18.642605633802816</v>
      </c>
      <c r="DF218" s="202">
        <f>(CY218/CY228*100+CY233)*CR218</f>
        <v>18.774999999999999</v>
      </c>
      <c r="DG218" s="202">
        <f>(CZ218/CZ228*100+CZ233)*CR218</f>
        <v>18.911231884057969</v>
      </c>
      <c r="DH218" s="383">
        <f>(DA218/DA228*100+DA233)*CR218</f>
        <v>16.4502688172043</v>
      </c>
      <c r="DJ218" s="10"/>
      <c r="DK218" s="102"/>
      <c r="DL218" s="10"/>
      <c r="DM218" s="86" t="s">
        <v>39</v>
      </c>
      <c r="DN218" s="10"/>
      <c r="DO218" s="10"/>
      <c r="DP218" s="10"/>
      <c r="DQ218" s="10"/>
      <c r="DR218" s="96" t="s">
        <v>8</v>
      </c>
      <c r="DS218" s="97">
        <v>15</v>
      </c>
      <c r="DT218" s="465">
        <f t="shared" ref="DT218:DT227" si="396">DT217</f>
        <v>1</v>
      </c>
      <c r="DV218" s="88">
        <v>3</v>
      </c>
      <c r="DW218" s="95">
        <v>9</v>
      </c>
      <c r="DX218" s="90"/>
      <c r="DY218" s="99">
        <f>DW218/(DT218-DY215)</f>
        <v>9.6</v>
      </c>
      <c r="DZ218" s="100">
        <f>DW218/(DT218-DZ215)</f>
        <v>11.294117647058824</v>
      </c>
      <c r="EA218" s="100">
        <f>DW218/(DT218-EA215)</f>
        <v>11.755102040816327</v>
      </c>
      <c r="EB218" s="100">
        <f>DW218/(DT218-EB215)</f>
        <v>11.076923076923077</v>
      </c>
      <c r="EC218" s="100">
        <f>DW218/(DT218-EC215)</f>
        <v>13.090909090909092</v>
      </c>
      <c r="EE218" s="208">
        <v>3</v>
      </c>
      <c r="EF218" s="32">
        <f>(DY218/DY228*100+DY233)*DT218</f>
        <v>10.587765957446809</v>
      </c>
      <c r="EG218" s="202">
        <f>(DZ218/DZ228*100+DZ233)*DT218</f>
        <v>10.614130434782611</v>
      </c>
      <c r="EH218" s="202">
        <f>(EA218/EA228*100+EA233)*DT218</f>
        <v>10.627747252747255</v>
      </c>
      <c r="EI218" s="202">
        <f>(EB218/EB228*100+EB233)*DT218</f>
        <v>10.641666666666666</v>
      </c>
      <c r="EJ218" s="383">
        <f>(EC218/EC228*100+EC233)*DT218</f>
        <v>10.655898876404494</v>
      </c>
    </row>
    <row r="219" spans="2:140" x14ac:dyDescent="0.2">
      <c r="B219" s="10"/>
      <c r="C219" s="102"/>
      <c r="D219" s="10"/>
      <c r="E219" s="86" t="s">
        <v>39</v>
      </c>
      <c r="F219" s="10"/>
      <c r="G219" s="10"/>
      <c r="H219" s="10"/>
      <c r="I219" s="10"/>
      <c r="J219" s="96" t="s">
        <v>16</v>
      </c>
      <c r="K219" s="39">
        <v>21</v>
      </c>
      <c r="L219" s="465">
        <f t="shared" si="389"/>
        <v>1</v>
      </c>
      <c r="N219" s="88">
        <v>4</v>
      </c>
      <c r="O219" s="95">
        <v>9</v>
      </c>
      <c r="P219" s="90"/>
      <c r="Q219" s="99">
        <f>O219/(L219-Q215)</f>
        <v>10.012500000000001</v>
      </c>
      <c r="R219" s="100">
        <f>O219/(L219-R215)</f>
        <v>11.281690140845072</v>
      </c>
      <c r="S219" s="100">
        <f>O219/(L219-S215)</f>
        <v>11.608695652173912</v>
      </c>
      <c r="T219" s="104">
        <f>O219/(L219-T215)</f>
        <v>11.125</v>
      </c>
      <c r="U219" s="100">
        <f>O219/(L219-U215)</f>
        <v>12.515625</v>
      </c>
      <c r="W219" s="14">
        <v>4</v>
      </c>
      <c r="X219" s="32">
        <f>(Q219/Q228*100+Q234)*$L219</f>
        <v>31.660714285714288</v>
      </c>
      <c r="Y219" s="202">
        <f>(R219/R228*100+R234)*$L219</f>
        <v>17.807432432432432</v>
      </c>
      <c r="Z219" s="202">
        <f t="shared" ref="Z219" si="397">(S219/S228*100+S234)*$L219</f>
        <v>18.041666666666668</v>
      </c>
      <c r="AA219" s="202">
        <f t="shared" ref="AA219" si="398">(T219/T228*100+T234)*$L219</f>
        <v>18.289285714285718</v>
      </c>
      <c r="AB219" s="383">
        <f t="shared" ref="AB219" si="399">(U219/U228*100+U234)*$L219</f>
        <v>18.551470588235293</v>
      </c>
      <c r="AD219" s="10"/>
      <c r="AE219" s="102"/>
      <c r="AF219" s="10"/>
      <c r="AG219" s="86" t="s">
        <v>39</v>
      </c>
      <c r="AH219" s="10"/>
      <c r="AI219" s="10"/>
      <c r="AJ219" s="10"/>
      <c r="AK219" s="10"/>
      <c r="AL219" s="96" t="s">
        <v>16</v>
      </c>
      <c r="AM219" s="39">
        <v>21</v>
      </c>
      <c r="AN219" s="465">
        <f t="shared" si="393"/>
        <v>1</v>
      </c>
      <c r="AP219" s="88">
        <v>4</v>
      </c>
      <c r="AQ219" s="95">
        <v>9</v>
      </c>
      <c r="AR219" s="90"/>
      <c r="AS219" s="99">
        <f>AQ219/(AN219-AS215)</f>
        <v>9.8076923076923084</v>
      </c>
      <c r="AT219" s="100">
        <f>AQ219/(AN219-AT215)</f>
        <v>11.417910447761194</v>
      </c>
      <c r="AU219" s="100">
        <f>AQ219/(AN219-AU215)</f>
        <v>11.76923076923077</v>
      </c>
      <c r="AV219" s="104">
        <f>AQ219/(AN219-AV215)</f>
        <v>10.928571428571429</v>
      </c>
      <c r="AW219" s="100">
        <f>AQ219/(AN219-AW215)</f>
        <v>12.750000000000002</v>
      </c>
      <c r="AY219" s="200">
        <v>4</v>
      </c>
      <c r="AZ219" s="32">
        <f>(AS219/AS228*100+AS234)*AN219</f>
        <v>18.407258064516128</v>
      </c>
      <c r="BA219" s="202">
        <f>(AT219/AT228*100+AT234)*AN219</f>
        <v>18.407258064516128</v>
      </c>
      <c r="BB219" s="202">
        <f>(AU219/AU228*100+AU234)*AN219</f>
        <v>14.465909090909086</v>
      </c>
      <c r="BC219" s="202">
        <f>(AV219/AV228*100+AV234)*AN219</f>
        <v>14.560185185185183</v>
      </c>
      <c r="BD219" s="383">
        <f>(AW219/AW228*100+AW234)*AN219</f>
        <v>14.658018867924531</v>
      </c>
      <c r="BF219" s="10"/>
      <c r="BG219" s="102"/>
      <c r="BH219" s="10"/>
      <c r="BI219" s="86" t="s">
        <v>39</v>
      </c>
      <c r="BJ219" s="10"/>
      <c r="BK219" s="10"/>
      <c r="BL219" s="10"/>
      <c r="BM219" s="10"/>
      <c r="BN219" s="96" t="s">
        <v>16</v>
      </c>
      <c r="BO219" s="39">
        <v>18</v>
      </c>
      <c r="BP219" s="465">
        <f t="shared" si="394"/>
        <v>1</v>
      </c>
      <c r="BR219" s="88">
        <v>4</v>
      </c>
      <c r="BS219" s="95">
        <v>9</v>
      </c>
      <c r="BT219" s="90"/>
      <c r="BU219" s="99">
        <f>BS219/(BP219-BU215)</f>
        <v>9.7941176470588243</v>
      </c>
      <c r="BV219" s="100">
        <f>BS219/(BP219-BV215)</f>
        <v>11.288135593220339</v>
      </c>
      <c r="BW219" s="100">
        <f>BS219/(BP219-BW215)</f>
        <v>11.684210526315789</v>
      </c>
      <c r="BX219" s="104">
        <f>BS219/(BP219-BX215)</f>
        <v>11.100000000000001</v>
      </c>
      <c r="BY219" s="100">
        <f>BS219/(BP219-BY215)</f>
        <v>12.807692307692308</v>
      </c>
      <c r="CA219" s="208">
        <v>4</v>
      </c>
      <c r="CB219" s="32">
        <f>(BU219/BU228*100+BU234)*BP219</f>
        <v>19.33653846153846</v>
      </c>
      <c r="CC219" s="202">
        <f>(BV219/BV228*100+BV234)*BP219</f>
        <v>19.734999999999999</v>
      </c>
      <c r="CD219" s="202">
        <f>(BW219/BW228*100+BW234)*BP219</f>
        <v>19.946428571428569</v>
      </c>
      <c r="CE219" s="202">
        <f>(BX219/BX228*100+BX234)*BP219</f>
        <v>16.470890410958905</v>
      </c>
      <c r="CF219" s="383">
        <f>(BY219/BY228*100+BY234)*BP219</f>
        <v>16.569444444444443</v>
      </c>
      <c r="CH219" s="10"/>
      <c r="CI219" s="102"/>
      <c r="CJ219" s="10"/>
      <c r="CK219" s="86" t="s">
        <v>39</v>
      </c>
      <c r="CL219" s="10"/>
      <c r="CM219" s="10"/>
      <c r="CN219" s="10"/>
      <c r="CO219" s="10"/>
      <c r="CP219" s="96" t="s">
        <v>16</v>
      </c>
      <c r="CQ219" s="97">
        <v>17</v>
      </c>
      <c r="CR219" s="465">
        <f t="shared" si="395"/>
        <v>1</v>
      </c>
      <c r="CT219" s="88">
        <v>4</v>
      </c>
      <c r="CU219" s="95">
        <v>9</v>
      </c>
      <c r="CV219" s="90"/>
      <c r="CW219" s="99">
        <f>CU219/(CR219-CW215)</f>
        <v>9.703125</v>
      </c>
      <c r="CX219" s="100">
        <f>CU219/(CR219-CX215)</f>
        <v>11.290909090909091</v>
      </c>
      <c r="CY219" s="100">
        <f>CU219/(CR219-CY215)</f>
        <v>11.716981132075473</v>
      </c>
      <c r="CZ219" s="104">
        <f>CU219/(CR219-CZ215)</f>
        <v>11.089285714285714</v>
      </c>
      <c r="DA219" s="100">
        <f>CU219/(CR219-DA215)</f>
        <v>12.9375</v>
      </c>
      <c r="DC219" s="208">
        <v>4</v>
      </c>
      <c r="DD219" s="32">
        <f>(CW219/CW228*100+CW234)*CR219</f>
        <v>10.662671232876711</v>
      </c>
      <c r="DE219" s="202">
        <f>(CX219/CX228*100+CX234)*CR219</f>
        <v>10.698943661971832</v>
      </c>
      <c r="DF219" s="202">
        <f>(CY219/CY228*100+CY234)*CR219</f>
        <v>10.717857142857143</v>
      </c>
      <c r="DG219" s="202">
        <f>(CZ219/CZ228*100+CZ234)*CR219</f>
        <v>10.737318840579711</v>
      </c>
      <c r="DH219" s="383">
        <f>(DA219/DA228*100+DA234)*CR219</f>
        <v>10.385752688172044</v>
      </c>
      <c r="DJ219" s="10"/>
      <c r="DK219" s="102"/>
      <c r="DL219" s="10"/>
      <c r="DM219" s="86" t="s">
        <v>39</v>
      </c>
      <c r="DN219" s="10"/>
      <c r="DO219" s="10"/>
      <c r="DP219" s="10"/>
      <c r="DQ219" s="10"/>
      <c r="DR219" s="96" t="s">
        <v>16</v>
      </c>
      <c r="DS219" s="39">
        <v>16</v>
      </c>
      <c r="DT219" s="465">
        <f t="shared" si="396"/>
        <v>1</v>
      </c>
      <c r="DV219" s="88">
        <v>4</v>
      </c>
      <c r="DW219" s="95">
        <v>9</v>
      </c>
      <c r="DX219" s="90"/>
      <c r="DY219" s="99">
        <f>DW219/(DT219-DY215)</f>
        <v>9.6</v>
      </c>
      <c r="DZ219" s="100">
        <f>DW219/(DT219-DZ215)</f>
        <v>11.294117647058824</v>
      </c>
      <c r="EA219" s="100">
        <f>DW219/(DT219-EA215)</f>
        <v>11.755102040816327</v>
      </c>
      <c r="EB219" s="104">
        <f>DW219/(DT219-EB215)</f>
        <v>11.076923076923077</v>
      </c>
      <c r="EC219" s="100">
        <f>DW219/(DT219-EC215)</f>
        <v>13.090909090909092</v>
      </c>
      <c r="EE219" s="208">
        <v>4</v>
      </c>
      <c r="EF219" s="32">
        <f>(DY219/DY228*100+DY234)*DT219</f>
        <v>14.226063829787234</v>
      </c>
      <c r="EG219" s="202">
        <f>(DZ219/DZ228*100+DZ234)*DT219</f>
        <v>14.331521739130437</v>
      </c>
      <c r="EH219" s="202">
        <f>(EA219/EA228*100+EA234)*DT219</f>
        <v>14.385989010989013</v>
      </c>
      <c r="EI219" s="202">
        <f>(EB219/EB228*100+EB234)*DT219</f>
        <v>14.441666666666665</v>
      </c>
      <c r="EJ219" s="383">
        <f>(EC219/EC228*100+EC234)*DT219</f>
        <v>14.498595505617978</v>
      </c>
    </row>
    <row r="220" spans="2:140" x14ac:dyDescent="0.2">
      <c r="B220" s="10"/>
      <c r="C220" s="102"/>
      <c r="D220" s="10"/>
      <c r="E220" s="86" t="s">
        <v>39</v>
      </c>
      <c r="F220" s="10"/>
      <c r="G220" s="10"/>
      <c r="H220" s="10"/>
      <c r="I220" s="10"/>
      <c r="J220" s="96" t="s">
        <v>3</v>
      </c>
      <c r="K220" s="97">
        <v>22</v>
      </c>
      <c r="L220" s="465">
        <f t="shared" si="389"/>
        <v>1</v>
      </c>
      <c r="N220" s="88">
        <v>5</v>
      </c>
      <c r="O220" s="95">
        <v>8</v>
      </c>
      <c r="P220" s="90"/>
      <c r="Q220" s="99">
        <f>O220/(L220-Q215)</f>
        <v>8.9</v>
      </c>
      <c r="R220" s="100">
        <f>O220/(L220-R215)</f>
        <v>10.028169014084508</v>
      </c>
      <c r="S220" s="100">
        <f>O220/(L220-S215)</f>
        <v>10.318840579710145</v>
      </c>
      <c r="T220" s="100">
        <f>O220/(L220-T215)</f>
        <v>9.8888888888888893</v>
      </c>
      <c r="U220" s="100">
        <f>O220/(L220-U215)</f>
        <v>11.125</v>
      </c>
      <c r="W220" s="14">
        <v>5</v>
      </c>
      <c r="X220" s="32">
        <f>(Q220/Q228*100+Q235)*$L220</f>
        <v>22.261904761904763</v>
      </c>
      <c r="Y220" s="202">
        <f>(R220/R228*100+R235)*$L220</f>
        <v>13.603603603603602</v>
      </c>
      <c r="Z220" s="202">
        <f t="shared" ref="Z220" si="400">(S220/S228*100+S235)*$L220</f>
        <v>13.75</v>
      </c>
      <c r="AA220" s="202">
        <f t="shared" ref="AA220" si="401">(T220/T228*100+T235)*$L220</f>
        <v>13.904761904761905</v>
      </c>
      <c r="AB220" s="383">
        <f t="shared" ref="AB220" si="402">(U220/U228*100+U235)*$L220</f>
        <v>14.06862745098039</v>
      </c>
      <c r="AD220" s="10"/>
      <c r="AE220" s="102"/>
      <c r="AF220" s="10"/>
      <c r="AG220" s="86" t="s">
        <v>39</v>
      </c>
      <c r="AH220" s="10"/>
      <c r="AI220" s="10"/>
      <c r="AJ220" s="10"/>
      <c r="AK220" s="10"/>
      <c r="AL220" s="96" t="s">
        <v>3</v>
      </c>
      <c r="AM220" s="97">
        <v>22</v>
      </c>
      <c r="AN220" s="465">
        <f t="shared" si="393"/>
        <v>1</v>
      </c>
      <c r="AP220" s="88">
        <v>5</v>
      </c>
      <c r="AQ220" s="95">
        <v>8</v>
      </c>
      <c r="AR220" s="90"/>
      <c r="AS220" s="99">
        <f>AQ220/(AN220-AS215)</f>
        <v>8.717948717948719</v>
      </c>
      <c r="AT220" s="100">
        <f>AQ220/(AN220-AT215)</f>
        <v>10.149253731343284</v>
      </c>
      <c r="AU220" s="100">
        <f>AQ220/(AN220-AU215)</f>
        <v>10.461538461538462</v>
      </c>
      <c r="AV220" s="100">
        <f>AQ220/(AN220-AV215)</f>
        <v>9.7142857142857153</v>
      </c>
      <c r="AW220" s="100">
        <f>AQ220/(AN220-AW215)</f>
        <v>11.333333333333334</v>
      </c>
      <c r="AY220" s="200">
        <v>5</v>
      </c>
      <c r="AZ220" s="32">
        <f>(AS220/AS228*100+AS235)*AN220</f>
        <v>20.978494623655912</v>
      </c>
      <c r="BA220" s="202">
        <f>(AT220/AT228*100+AT235)*AN220</f>
        <v>20.978494623655912</v>
      </c>
      <c r="BB220" s="202">
        <f>(AU220/AU228*100+AU235)*AN220</f>
        <v>15.460606060606061</v>
      </c>
      <c r="BC220" s="202">
        <f>(AV220/AV228*100+AV235)*AN220</f>
        <v>15.592592592592592</v>
      </c>
      <c r="BD220" s="383">
        <f>(AW220/AW228*100+AW235)*AN220</f>
        <v>15.729559748427674</v>
      </c>
      <c r="BF220" s="10"/>
      <c r="BG220" s="102"/>
      <c r="BH220" s="10"/>
      <c r="BI220" s="86" t="s">
        <v>39</v>
      </c>
      <c r="BJ220" s="10"/>
      <c r="BK220" s="10"/>
      <c r="BL220" s="10"/>
      <c r="BM220" s="10"/>
      <c r="BN220" s="96" t="s">
        <v>3</v>
      </c>
      <c r="BO220" s="97">
        <v>19</v>
      </c>
      <c r="BP220" s="465">
        <f t="shared" si="394"/>
        <v>1</v>
      </c>
      <c r="BR220" s="88">
        <v>5</v>
      </c>
      <c r="BS220" s="95">
        <v>8</v>
      </c>
      <c r="BT220" s="90"/>
      <c r="BU220" s="99">
        <f>BS220/(BP220-BU215)</f>
        <v>8.7058823529411775</v>
      </c>
      <c r="BV220" s="100">
        <f>BS220/(BP220-BV215)</f>
        <v>10.033898305084746</v>
      </c>
      <c r="BW220" s="100">
        <f>BS220/(BP220-BW215)</f>
        <v>10.385964912280702</v>
      </c>
      <c r="BX220" s="100">
        <f>BS220/(BP220-BX215)</f>
        <v>9.8666666666666671</v>
      </c>
      <c r="BY220" s="100">
        <f>BS220/(BP220-BY215)</f>
        <v>11.384615384615385</v>
      </c>
      <c r="CA220" s="208">
        <v>5</v>
      </c>
      <c r="CB220" s="32">
        <f>(BU220/BU228*100+BU235)*BP220</f>
        <v>9.7564102564102555</v>
      </c>
      <c r="CC220" s="202">
        <f>(BV220/BV228*100+BV235)*BP220</f>
        <v>9.8133333333333326</v>
      </c>
      <c r="CD220" s="202">
        <f>(BW220/BW228*100+BW235)*BP220</f>
        <v>9.8435374149659847</v>
      </c>
      <c r="CE220" s="202">
        <f>(BX220/BX228*100+BX235)*BP220</f>
        <v>9.3470319634703181</v>
      </c>
      <c r="CF220" s="383">
        <f>(BY220/BY228*100+BY235)*BP220</f>
        <v>9.3611111111111107</v>
      </c>
      <c r="CH220" s="10"/>
      <c r="CI220" s="102"/>
      <c r="CJ220" s="10"/>
      <c r="CK220" s="86" t="s">
        <v>39</v>
      </c>
      <c r="CL220" s="10"/>
      <c r="CM220" s="10"/>
      <c r="CN220" s="10"/>
      <c r="CO220" s="10"/>
      <c r="CP220" s="96" t="s">
        <v>3</v>
      </c>
      <c r="CQ220" s="39">
        <v>18</v>
      </c>
      <c r="CR220" s="465">
        <f t="shared" si="395"/>
        <v>1</v>
      </c>
      <c r="CT220" s="88">
        <v>5</v>
      </c>
      <c r="CU220" s="95">
        <v>8</v>
      </c>
      <c r="CV220" s="90"/>
      <c r="CW220" s="99">
        <f>CU220/(CR220-CW215)</f>
        <v>8.625</v>
      </c>
      <c r="CX220" s="100">
        <f>CU220/(CR220-CX215)</f>
        <v>10.036363636363637</v>
      </c>
      <c r="CY220" s="100">
        <f>CU220/(CR220-CY215)</f>
        <v>10.415094339622643</v>
      </c>
      <c r="CZ220" s="100">
        <f>CU220/(CR220-CZ215)</f>
        <v>9.8571428571428559</v>
      </c>
      <c r="DA220" s="100">
        <f>CU220/(CR220-DA215)</f>
        <v>11.5</v>
      </c>
      <c r="DC220" s="208">
        <v>5</v>
      </c>
      <c r="DD220" s="32">
        <f>(CW220/CW228*100+CW235)*CR220</f>
        <v>13.484018264840181</v>
      </c>
      <c r="DE220" s="202">
        <f>(CX220/CX228*100+CX235)*CR220</f>
        <v>13.629107981220658</v>
      </c>
      <c r="DF220" s="202">
        <f>(CY220/CY228*100+CY235)*CR220</f>
        <v>13.704761904761906</v>
      </c>
      <c r="DG220" s="202">
        <f>(CZ220/CZ228*100+CZ235)*CR220</f>
        <v>13.782608695652172</v>
      </c>
      <c r="DH220" s="383">
        <f>(DA220/DA228*100+DA235)*CR220</f>
        <v>12.376344086021504</v>
      </c>
      <c r="DJ220" s="10"/>
      <c r="DK220" s="102"/>
      <c r="DL220" s="10"/>
      <c r="DM220" s="86" t="s">
        <v>39</v>
      </c>
      <c r="DN220" s="10"/>
      <c r="DO220" s="10"/>
      <c r="DP220" s="10"/>
      <c r="DQ220" s="10"/>
      <c r="DR220" s="96" t="s">
        <v>3</v>
      </c>
      <c r="DS220" s="97">
        <v>17</v>
      </c>
      <c r="DT220" s="465">
        <f t="shared" si="396"/>
        <v>1</v>
      </c>
      <c r="DV220" s="88">
        <v>5</v>
      </c>
      <c r="DW220" s="95">
        <v>8</v>
      </c>
      <c r="DX220" s="90"/>
      <c r="DY220" s="99">
        <f>DW220/(DT220-DY215)</f>
        <v>8.5333333333333332</v>
      </c>
      <c r="DZ220" s="100">
        <f>DW220/(DT220-DZ215)</f>
        <v>10.03921568627451</v>
      </c>
      <c r="EA220" s="100">
        <f>DW220/(DT220-EA215)</f>
        <v>10.448979591836734</v>
      </c>
      <c r="EB220" s="100">
        <f>DW220/(DT220-EB215)</f>
        <v>9.8461538461538467</v>
      </c>
      <c r="EC220" s="100">
        <f>DW220/(DT220-EC215)</f>
        <v>11.636363636363637</v>
      </c>
      <c r="EE220" s="208">
        <v>5</v>
      </c>
      <c r="EF220" s="32">
        <f>(DY220/DY228*100+DY235)*DT220</f>
        <v>10.75886524822695</v>
      </c>
      <c r="EG220" s="202">
        <f>(DZ220/DZ228*100+DZ235)*DT220</f>
        <v>10.811594202898549</v>
      </c>
      <c r="EH220" s="202">
        <f>(EA220/EA228*100+EA235)*DT220</f>
        <v>10.838827838827839</v>
      </c>
      <c r="EI220" s="202">
        <f>(EB220/EB228*100+EB235)*DT220</f>
        <v>10.866666666666665</v>
      </c>
      <c r="EJ220" s="383">
        <f>(EC220/EC228*100+EC235)*DT220</f>
        <v>10.895131086142321</v>
      </c>
    </row>
    <row r="221" spans="2:140" x14ac:dyDescent="0.2">
      <c r="B221" s="10"/>
      <c r="C221" s="102"/>
      <c r="D221" s="10"/>
      <c r="E221" s="86" t="s">
        <v>39</v>
      </c>
      <c r="F221" s="10"/>
      <c r="G221" s="10"/>
      <c r="H221" s="10"/>
      <c r="I221" s="10"/>
      <c r="J221" s="96" t="s">
        <v>6</v>
      </c>
      <c r="K221" s="39">
        <v>23</v>
      </c>
      <c r="L221" s="465">
        <f t="shared" si="389"/>
        <v>1</v>
      </c>
      <c r="N221" s="88">
        <v>6</v>
      </c>
      <c r="O221" s="95">
        <v>7</v>
      </c>
      <c r="P221" s="90"/>
      <c r="Q221" s="99">
        <f>O221/(L221-Q215)</f>
        <v>7.7875000000000005</v>
      </c>
      <c r="R221" s="100">
        <f>O221/(L221-R215)</f>
        <v>8.774647887323944</v>
      </c>
      <c r="S221" s="100">
        <f>O221/(L221-S215)</f>
        <v>9.0289855072463769</v>
      </c>
      <c r="T221" s="100">
        <f>O221/(L221-T215)</f>
        <v>8.6527777777777786</v>
      </c>
      <c r="U221" s="100">
        <f>O221/(L221-U215)</f>
        <v>9.734375</v>
      </c>
      <c r="W221" s="14">
        <v>6</v>
      </c>
      <c r="X221" s="32">
        <f>(Q221/Q228*100+Q236)*$L221</f>
        <v>26.791666666666671</v>
      </c>
      <c r="Y221" s="202">
        <f>(R221/R228*100+R236)*$L221</f>
        <v>14.670045045045045</v>
      </c>
      <c r="Z221" s="202">
        <f t="shared" ref="Z221" si="403">(S221/S228*100+S236)*$L221</f>
        <v>14.875000000000002</v>
      </c>
      <c r="AA221" s="202">
        <f t="shared" ref="AA221" si="404">(T221/T228*100+T236)*$L221</f>
        <v>15.091666666666669</v>
      </c>
      <c r="AB221" s="383">
        <f t="shared" ref="AB221" si="405">(U221/U228*100+U236)*$L221</f>
        <v>15.321078431372548</v>
      </c>
      <c r="AD221" s="10"/>
      <c r="AE221" s="102"/>
      <c r="AF221" s="10"/>
      <c r="AG221" s="86" t="s">
        <v>39</v>
      </c>
      <c r="AH221" s="10"/>
      <c r="AI221" s="10"/>
      <c r="AJ221" s="10"/>
      <c r="AK221" s="10"/>
      <c r="AL221" s="96" t="s">
        <v>6</v>
      </c>
      <c r="AM221" s="39">
        <v>23</v>
      </c>
      <c r="AN221" s="465">
        <f t="shared" si="393"/>
        <v>1</v>
      </c>
      <c r="AP221" s="88">
        <v>6</v>
      </c>
      <c r="AQ221" s="95">
        <v>7</v>
      </c>
      <c r="AR221" s="90"/>
      <c r="AS221" s="99">
        <f>AQ221/(AN221-AS215)</f>
        <v>7.6282051282051286</v>
      </c>
      <c r="AT221" s="100">
        <f>AQ221/(AN221-AT215)</f>
        <v>8.8805970149253728</v>
      </c>
      <c r="AU221" s="100">
        <f>AQ221/(AN221-AU215)</f>
        <v>9.1538461538461551</v>
      </c>
      <c r="AV221" s="100">
        <f>AQ221/(AN221-AV215)</f>
        <v>8.5</v>
      </c>
      <c r="AW221" s="100">
        <f>AQ221/(AN221-AW215)</f>
        <v>9.9166666666666679</v>
      </c>
      <c r="AY221" s="200">
        <v>6</v>
      </c>
      <c r="AZ221" s="32">
        <f>(AS221/AS228*100+AS236)*AN221</f>
        <v>9.0981182795698921</v>
      </c>
      <c r="BA221" s="202">
        <f>(AT221/AT228*100+AT236)*AN221</f>
        <v>9.0981182795698921</v>
      </c>
      <c r="BB221" s="202">
        <f>(AU221/AU228*100+AU236)*AN221</f>
        <v>8.3098484848484837</v>
      </c>
      <c r="BC221" s="202">
        <f>(AV221/AV228*100+AV236)*AN221</f>
        <v>8.3287037037037024</v>
      </c>
      <c r="BD221" s="383">
        <f>(AW221/AW228*100+AW236)*AN221</f>
        <v>8.3482704402515733</v>
      </c>
      <c r="BF221" s="10"/>
      <c r="BG221" s="102"/>
      <c r="BH221" s="10"/>
      <c r="BI221" s="86" t="s">
        <v>39</v>
      </c>
      <c r="BJ221" s="10"/>
      <c r="BK221" s="10"/>
      <c r="BL221" s="10"/>
      <c r="BM221" s="10"/>
      <c r="BN221" s="96" t="s">
        <v>6</v>
      </c>
      <c r="BO221" s="39">
        <v>20</v>
      </c>
      <c r="BP221" s="465">
        <f t="shared" si="394"/>
        <v>1</v>
      </c>
      <c r="BR221" s="88">
        <v>6</v>
      </c>
      <c r="BS221" s="95">
        <v>7</v>
      </c>
      <c r="BT221" s="90"/>
      <c r="BU221" s="99">
        <f>BS221/(BP221-BU215)</f>
        <v>7.6176470588235299</v>
      </c>
      <c r="BV221" s="100">
        <f>BS221/(BP221-BV215)</f>
        <v>8.7796610169491522</v>
      </c>
      <c r="BW221" s="100">
        <f>BS221/(BP221-BW215)</f>
        <v>9.087719298245613</v>
      </c>
      <c r="BX221" s="100">
        <f>BS221/(BP221-BX215)</f>
        <v>8.6333333333333346</v>
      </c>
      <c r="BY221" s="100">
        <f>BS221/(BP221-BY215)</f>
        <v>9.9615384615384617</v>
      </c>
      <c r="CA221" s="208">
        <v>6</v>
      </c>
      <c r="CB221" s="32">
        <f>(BU221/BU228*100+BU236)*BP221</f>
        <v>12.983974358974358</v>
      </c>
      <c r="CC221" s="202">
        <f>(BV221/BV228*100+BV236)*BP221</f>
        <v>13.211666666666666</v>
      </c>
      <c r="CD221" s="202">
        <f>(BW221/BW228*100+BW236)*BP221</f>
        <v>13.332482993197278</v>
      </c>
      <c r="CE221" s="202">
        <f>(BX221/BX228*100+BX236)*BP221</f>
        <v>11.346461187214611</v>
      </c>
      <c r="CF221" s="383">
        <f>(BY221/BY228*100+BY236)*BP221</f>
        <v>11.402777777777779</v>
      </c>
      <c r="CH221" s="10"/>
      <c r="CI221" s="102"/>
      <c r="CJ221" s="10"/>
      <c r="CK221" s="86" t="s">
        <v>39</v>
      </c>
      <c r="CL221" s="10"/>
      <c r="CM221" s="10"/>
      <c r="CN221" s="10"/>
      <c r="CO221" s="10"/>
      <c r="CP221" s="96" t="s">
        <v>6</v>
      </c>
      <c r="CQ221" s="97">
        <v>19</v>
      </c>
      <c r="CR221" s="465">
        <f t="shared" si="395"/>
        <v>1</v>
      </c>
      <c r="CT221" s="88">
        <v>6</v>
      </c>
      <c r="CU221" s="95">
        <v>7</v>
      </c>
      <c r="CV221" s="90"/>
      <c r="CW221" s="99">
        <f>CU221/(CR221-CW215)</f>
        <v>7.546875</v>
      </c>
      <c r="CX221" s="100">
        <f>CU221/(CR221-CX215)</f>
        <v>8.7818181818181813</v>
      </c>
      <c r="CY221" s="100">
        <f>CU221/(CR221-CY215)</f>
        <v>9.1132075471698109</v>
      </c>
      <c r="CZ221" s="100">
        <f>CU221/(CR221-CZ215)</f>
        <v>8.625</v>
      </c>
      <c r="DA221" s="100">
        <f>CU221/(CR221-DA215)</f>
        <v>10.0625</v>
      </c>
      <c r="DC221" s="208">
        <v>6</v>
      </c>
      <c r="DD221" s="32">
        <f>(CW221/CW228*100+CW236)*CR221</f>
        <v>9.8670091324200904</v>
      </c>
      <c r="DE221" s="202">
        <f>(CX221/CX228*100+CX236)*CR221</f>
        <v>9.9395539906103281</v>
      </c>
      <c r="DF221" s="202">
        <f>(CY221/CY228*100+CY236)*CR221</f>
        <v>9.9773809523809511</v>
      </c>
      <c r="DG221" s="202">
        <f>(CZ221/CZ228*100+CZ236)*CR221</f>
        <v>10.016304347826088</v>
      </c>
      <c r="DH221" s="383">
        <f>(DA221/DA228*100+DA236)*CR221</f>
        <v>9.3131720430107521</v>
      </c>
      <c r="DJ221" s="10"/>
      <c r="DK221" s="102"/>
      <c r="DL221" s="10"/>
      <c r="DM221" s="86" t="s">
        <v>39</v>
      </c>
      <c r="DN221" s="10"/>
      <c r="DO221" s="10"/>
      <c r="DP221" s="10"/>
      <c r="DQ221" s="10"/>
      <c r="DR221" s="96" t="s">
        <v>6</v>
      </c>
      <c r="DS221" s="39">
        <v>18</v>
      </c>
      <c r="DT221" s="465">
        <f t="shared" si="396"/>
        <v>1</v>
      </c>
      <c r="DV221" s="88">
        <v>6</v>
      </c>
      <c r="DW221" s="95">
        <v>7</v>
      </c>
      <c r="DX221" s="90"/>
      <c r="DY221" s="99">
        <f>DW221/(DT221-DY215)</f>
        <v>7.4666666666666668</v>
      </c>
      <c r="DZ221" s="100">
        <f>DW221/(DT221-DZ215)</f>
        <v>8.7843137254901968</v>
      </c>
      <c r="EA221" s="100">
        <f>DW221/(DT221-EA215)</f>
        <v>9.1428571428571423</v>
      </c>
      <c r="EB221" s="100">
        <f>DW221/(DT221-EB215)</f>
        <v>8.615384615384615</v>
      </c>
      <c r="EC221" s="100">
        <f>DW221/(DT221-EC215)</f>
        <v>10.181818181818182</v>
      </c>
      <c r="EE221" s="208">
        <v>6</v>
      </c>
      <c r="EF221" s="32">
        <f>(DY221/DY228*100+DY236)*DT221</f>
        <v>16.993794326241137</v>
      </c>
      <c r="EG221" s="202">
        <f>(DZ221/DZ228*100+DZ236)*DT221</f>
        <v>17.204710144927535</v>
      </c>
      <c r="EH221" s="202">
        <f>(EA221/EA228*100+EA236)*DT221</f>
        <v>17.31364468864469</v>
      </c>
      <c r="EI221" s="202">
        <f>(EB221/EB228*100+EB236)*DT221</f>
        <v>17.424999999999997</v>
      </c>
      <c r="EJ221" s="383">
        <f>(EC221/EC228*100+EC236)*DT221</f>
        <v>17.53885767790262</v>
      </c>
    </row>
    <row r="222" spans="2:140" x14ac:dyDescent="0.2">
      <c r="B222" s="10"/>
      <c r="C222" s="102"/>
      <c r="D222" s="10"/>
      <c r="E222" s="86" t="s">
        <v>39</v>
      </c>
      <c r="F222" s="10"/>
      <c r="G222" s="10"/>
      <c r="H222" s="10"/>
      <c r="I222" s="10"/>
      <c r="J222" s="96" t="s">
        <v>17</v>
      </c>
      <c r="K222" s="97">
        <v>24</v>
      </c>
      <c r="L222" s="465">
        <f t="shared" si="389"/>
        <v>1</v>
      </c>
      <c r="N222" s="88">
        <v>7</v>
      </c>
      <c r="O222" s="95">
        <v>7</v>
      </c>
      <c r="P222" s="90"/>
      <c r="Q222" s="99">
        <f>O222/(L222-Q215)</f>
        <v>7.7875000000000005</v>
      </c>
      <c r="R222" s="100">
        <f>O222/(L222-R215)</f>
        <v>8.774647887323944</v>
      </c>
      <c r="S222" s="100">
        <f>O222/(L222-S215)</f>
        <v>9.0289855072463769</v>
      </c>
      <c r="T222" s="100">
        <f>O222/(L222-T215)</f>
        <v>8.6527777777777786</v>
      </c>
      <c r="U222" s="100">
        <f>O222/(L222-U215)</f>
        <v>9.734375</v>
      </c>
      <c r="W222" s="14">
        <v>7</v>
      </c>
      <c r="X222" s="32">
        <f>(Q222/Q228*100+Q237)*$L222</f>
        <v>10.077380952380953</v>
      </c>
      <c r="Y222" s="202">
        <f>(R222/R228*100+R237)*$L222</f>
        <v>8.3457207207207205</v>
      </c>
      <c r="Z222" s="202">
        <f t="shared" ref="Z222" si="406">(S222/S228*100+S237)*$L222</f>
        <v>8.3750000000000018</v>
      </c>
      <c r="AA222" s="202">
        <f t="shared" ref="AA222" si="407">(T222/T228*100+T237)*$L222</f>
        <v>8.4059523809523835</v>
      </c>
      <c r="AB222" s="383">
        <f t="shared" ref="AB222" si="408">(U222/U228*100+U237)*$L222</f>
        <v>8.4387254901960791</v>
      </c>
      <c r="AD222" s="10"/>
      <c r="AE222" s="102"/>
      <c r="AF222" s="10"/>
      <c r="AG222" s="86" t="s">
        <v>39</v>
      </c>
      <c r="AH222" s="10"/>
      <c r="AI222" s="10"/>
      <c r="AJ222" s="10"/>
      <c r="AK222" s="10"/>
      <c r="AL222" s="96" t="s">
        <v>17</v>
      </c>
      <c r="AM222" s="97">
        <v>24</v>
      </c>
      <c r="AN222" s="465">
        <f t="shared" si="393"/>
        <v>1</v>
      </c>
      <c r="AP222" s="88">
        <v>7</v>
      </c>
      <c r="AQ222" s="95">
        <v>7</v>
      </c>
      <c r="AR222" s="90"/>
      <c r="AS222" s="99">
        <f>AQ222/(AN222-AS215)</f>
        <v>7.6282051282051286</v>
      </c>
      <c r="AT222" s="100">
        <f>AQ222/(AN222-AT215)</f>
        <v>8.8805970149253728</v>
      </c>
      <c r="AU222" s="100">
        <f>AQ222/(AN222-AU215)</f>
        <v>9.1538461538461551</v>
      </c>
      <c r="AV222" s="100">
        <f>AQ222/(AN222-AV215)</f>
        <v>8.5</v>
      </c>
      <c r="AW222" s="100">
        <f>AQ222/(AN222-AW215)</f>
        <v>9.9166666666666679</v>
      </c>
      <c r="AY222" s="200">
        <v>7</v>
      </c>
      <c r="AZ222" s="32">
        <f>(AS222/AS228*100+AS237)*AN222</f>
        <v>14.51747311827957</v>
      </c>
      <c r="BA222" s="202">
        <f>(AT222/AT228*100+AT237)*AN222</f>
        <v>14.51747311827957</v>
      </c>
      <c r="BB222" s="202">
        <f>(AU222/AU228*100+AU237)*AN222</f>
        <v>11.364393939393938</v>
      </c>
      <c r="BC222" s="202">
        <f>(AV222/AV228*100+AV237)*AN222</f>
        <v>11.439814814814813</v>
      </c>
      <c r="BD222" s="383">
        <f>(AW222/AW228*100+AW237)*AN222</f>
        <v>11.51808176100629</v>
      </c>
      <c r="BF222" s="10"/>
      <c r="BG222" s="102"/>
      <c r="BH222" s="10"/>
      <c r="BI222" s="86" t="s">
        <v>39</v>
      </c>
      <c r="BJ222" s="10"/>
      <c r="BK222" s="10"/>
      <c r="BL222" s="10"/>
      <c r="BM222" s="10"/>
      <c r="BN222" s="96" t="s">
        <v>17</v>
      </c>
      <c r="BO222" s="97">
        <v>21</v>
      </c>
      <c r="BP222" s="465">
        <f t="shared" si="394"/>
        <v>1</v>
      </c>
      <c r="BR222" s="88">
        <v>7</v>
      </c>
      <c r="BS222" s="95">
        <v>7</v>
      </c>
      <c r="BT222" s="90"/>
      <c r="BU222" s="99">
        <f>BS222/(BP222-BU215)</f>
        <v>7.6176470588235299</v>
      </c>
      <c r="BV222" s="100">
        <f>BS222/(BP222-BV215)</f>
        <v>8.7796610169491522</v>
      </c>
      <c r="BW222" s="100">
        <f>BS222/(BP222-BW215)</f>
        <v>9.087719298245613</v>
      </c>
      <c r="BX222" s="100">
        <f>BS222/(BP222-BX215)</f>
        <v>8.6333333333333346</v>
      </c>
      <c r="BY222" s="100">
        <f>BS222/(BP222-BY215)</f>
        <v>9.9615384615384617</v>
      </c>
      <c r="CA222" s="208">
        <v>7</v>
      </c>
      <c r="CB222" s="32">
        <f>(BU222/BU228*100+BU237)*BP222</f>
        <v>10.137820512820513</v>
      </c>
      <c r="CC222" s="202">
        <f>(BV222/BV228*100+BV237)*BP222</f>
        <v>10.251666666666665</v>
      </c>
      <c r="CD222" s="202">
        <f>(BW222/BW228*100+BW237)*BP222</f>
        <v>10.312074829931973</v>
      </c>
      <c r="CE222" s="202">
        <f>(BX222/BX228*100+BX237)*BP222</f>
        <v>9.3190639269406397</v>
      </c>
      <c r="CF222" s="383">
        <f>(BY222/BY228*100+BY237)*BP222</f>
        <v>9.3472222222222214</v>
      </c>
      <c r="CH222" s="10"/>
      <c r="CI222" s="102"/>
      <c r="CJ222" s="10"/>
      <c r="CK222" s="86" t="s">
        <v>39</v>
      </c>
      <c r="CL222" s="10"/>
      <c r="CM222" s="10"/>
      <c r="CN222" s="10"/>
      <c r="CO222" s="10"/>
      <c r="CP222" s="96" t="s">
        <v>17</v>
      </c>
      <c r="CQ222" s="39">
        <v>20</v>
      </c>
      <c r="CR222" s="465">
        <f t="shared" si="395"/>
        <v>1</v>
      </c>
      <c r="CT222" s="88">
        <v>7</v>
      </c>
      <c r="CU222" s="95">
        <v>7</v>
      </c>
      <c r="CV222" s="90"/>
      <c r="CW222" s="99">
        <f>CU222/(CR222-CW215)</f>
        <v>7.546875</v>
      </c>
      <c r="CX222" s="100">
        <f>CU222/(CR222-CX215)</f>
        <v>8.7818181818181813</v>
      </c>
      <c r="CY222" s="100">
        <f>CU222/(CR222-CY215)</f>
        <v>9.1132075471698109</v>
      </c>
      <c r="CZ222" s="100">
        <f>CU222/(CR222-CZ215)</f>
        <v>8.625</v>
      </c>
      <c r="DA222" s="100">
        <f>CU222/(CR222-DA215)</f>
        <v>10.0625</v>
      </c>
      <c r="DC222" s="208">
        <v>7</v>
      </c>
      <c r="DD222" s="32">
        <f>(CW222/CW228*100+CW237)*CR222</f>
        <v>17.593036529680365</v>
      </c>
      <c r="DE222" s="202">
        <f>(CX222/CX228*100+CX237)*CR222</f>
        <v>17.883215962441312</v>
      </c>
      <c r="DF222" s="202">
        <f>(CY222/CY228*100+CY237)*CR222</f>
        <v>18.034523809523808</v>
      </c>
      <c r="DG222" s="202">
        <f>(CZ222/CZ228*100+CZ237)*CR222</f>
        <v>18.190217391304348</v>
      </c>
      <c r="DH222" s="383">
        <f>(DA222/DA228*100+DA237)*CR222</f>
        <v>15.377688172043012</v>
      </c>
      <c r="DJ222" s="10"/>
      <c r="DK222" s="102"/>
      <c r="DL222" s="10"/>
      <c r="DM222" s="86" t="s">
        <v>39</v>
      </c>
      <c r="DN222" s="10"/>
      <c r="DO222" s="10"/>
      <c r="DP222" s="10"/>
      <c r="DQ222" s="10"/>
      <c r="DR222" s="96" t="s">
        <v>17</v>
      </c>
      <c r="DS222" s="97">
        <v>19</v>
      </c>
      <c r="DT222" s="465">
        <f t="shared" si="396"/>
        <v>1</v>
      </c>
      <c r="DV222" s="88">
        <v>7</v>
      </c>
      <c r="DW222" s="95">
        <v>7</v>
      </c>
      <c r="DX222" s="90"/>
      <c r="DY222" s="99">
        <f>DW222/(DT222-DY215)</f>
        <v>7.4666666666666668</v>
      </c>
      <c r="DZ222" s="100">
        <f>DW222/(DT222-DZ215)</f>
        <v>8.7843137254901968</v>
      </c>
      <c r="EA222" s="100">
        <f>DW222/(DT222-EA215)</f>
        <v>9.1428571428571423</v>
      </c>
      <c r="EB222" s="100">
        <f>DW222/(DT222-EB215)</f>
        <v>8.615384615384615</v>
      </c>
      <c r="EC222" s="100">
        <f>DW222/(DT222-EC215)</f>
        <v>10.181818181818182</v>
      </c>
      <c r="EE222" s="208">
        <v>7</v>
      </c>
      <c r="EF222" s="32">
        <f>(DY222/DY228*100+DY237)*DT222</f>
        <v>13.355496453900709</v>
      </c>
      <c r="EG222" s="202">
        <f>(DZ222/DZ228*100+DZ237)*DT222</f>
        <v>13.487318840579711</v>
      </c>
      <c r="EH222" s="202">
        <f>(EA222/EA228*100+EA237)*DT222</f>
        <v>13.555402930402931</v>
      </c>
      <c r="EI222" s="202">
        <f>(EB222/EB228*100+EB237)*DT222</f>
        <v>13.625</v>
      </c>
      <c r="EJ222" s="383">
        <f>(EC222/EC228*100+EC237)*DT222</f>
        <v>13.696161048689138</v>
      </c>
    </row>
    <row r="223" spans="2:140" x14ac:dyDescent="0.2">
      <c r="B223" s="10"/>
      <c r="C223" s="102"/>
      <c r="D223" s="10"/>
      <c r="E223" s="86" t="s">
        <v>39</v>
      </c>
      <c r="F223" s="10"/>
      <c r="G223" s="10"/>
      <c r="H223" s="10"/>
      <c r="I223" s="10"/>
      <c r="J223" s="96" t="s">
        <v>24</v>
      </c>
      <c r="K223" s="39">
        <v>25</v>
      </c>
      <c r="L223" s="465">
        <f t="shared" si="389"/>
        <v>1</v>
      </c>
      <c r="N223" s="88">
        <v>8</v>
      </c>
      <c r="O223" s="95">
        <v>8</v>
      </c>
      <c r="P223" s="90"/>
      <c r="Q223" s="99">
        <f>O223/(L223-Q215)</f>
        <v>8.9</v>
      </c>
      <c r="R223" s="100">
        <f>O223/(L223-R215)</f>
        <v>10.028169014084508</v>
      </c>
      <c r="S223" s="100">
        <f>O223/(L223-S215)</f>
        <v>10.318840579710145</v>
      </c>
      <c r="T223" s="100">
        <f>O223/(L223-T215)</f>
        <v>9.8888888888888893</v>
      </c>
      <c r="U223" s="100">
        <f>O223/(L223-U215)</f>
        <v>11.125</v>
      </c>
      <c r="W223" s="14">
        <v>8</v>
      </c>
      <c r="X223" s="32">
        <f>(Q223/Q228*100+Q238)*$L223</f>
        <v>19.476190476190474</v>
      </c>
      <c r="Y223" s="202">
        <f>(R223/R228*100+R238)*$L223</f>
        <v>12.54954954954955</v>
      </c>
      <c r="Z223" s="202">
        <f t="shared" ref="Z223" si="409">(S223/S228*100+S238)*$L223</f>
        <v>12.666666666666668</v>
      </c>
      <c r="AA223" s="202">
        <f t="shared" ref="AA223" si="410">(T223/T228*100+T238)*$L223</f>
        <v>12.790476190476191</v>
      </c>
      <c r="AB223" s="383">
        <f t="shared" ref="AB223" si="411">(U223/U228*100+U238)*$L223</f>
        <v>12.921568627450979</v>
      </c>
      <c r="AD223" s="10"/>
      <c r="AE223" s="102"/>
      <c r="AF223" s="10"/>
      <c r="AG223" s="86" t="s">
        <v>39</v>
      </c>
      <c r="AH223" s="10"/>
      <c r="AI223" s="10"/>
      <c r="AJ223" s="10"/>
      <c r="AK223" s="10"/>
      <c r="AL223" s="96" t="s">
        <v>24</v>
      </c>
      <c r="AM223" s="39">
        <v>25</v>
      </c>
      <c r="AN223" s="465">
        <f t="shared" si="393"/>
        <v>1</v>
      </c>
      <c r="AP223" s="88">
        <v>8</v>
      </c>
      <c r="AQ223" s="95">
        <v>8</v>
      </c>
      <c r="AR223" s="90"/>
      <c r="AS223" s="99">
        <f>AQ223/(AN223-AS215)</f>
        <v>8.717948717948719</v>
      </c>
      <c r="AT223" s="100">
        <f>AQ223/(AN223-AT215)</f>
        <v>10.149253731343284</v>
      </c>
      <c r="AU223" s="100">
        <f>AQ223/(AN223-AU215)</f>
        <v>10.461538461538462</v>
      </c>
      <c r="AV223" s="100">
        <f>AQ223/(AN223-AV215)</f>
        <v>9.7142857142857153</v>
      </c>
      <c r="AW223" s="100">
        <f>AQ223/(AN223-AW215)</f>
        <v>11.333333333333334</v>
      </c>
      <c r="AY223" s="200">
        <v>8</v>
      </c>
      <c r="AZ223" s="32">
        <f>(AS223/AS228*100+AS238)*AN223</f>
        <v>11.946236559139786</v>
      </c>
      <c r="BA223" s="202">
        <f>(AT223/AT228*100+AT238)*AN223</f>
        <v>11.946236559139786</v>
      </c>
      <c r="BB223" s="202">
        <f>(AU223/AU228*100+AU238)*AN223</f>
        <v>10.369696969696969</v>
      </c>
      <c r="BC223" s="202">
        <f>(AV223/AV228*100+AV238)*AN223</f>
        <v>10.407407407407407</v>
      </c>
      <c r="BD223" s="383">
        <f>(AW223/AW228*100+AW238)*AN223</f>
        <v>10.446540880503145</v>
      </c>
      <c r="BF223" s="10"/>
      <c r="BG223" s="102"/>
      <c r="BH223" s="10"/>
      <c r="BI223" s="86" t="s">
        <v>39</v>
      </c>
      <c r="BJ223" s="10"/>
      <c r="BK223" s="10"/>
      <c r="BL223" s="10"/>
      <c r="BM223" s="10"/>
      <c r="BN223" s="96" t="s">
        <v>24</v>
      </c>
      <c r="BO223" s="39">
        <v>22</v>
      </c>
      <c r="BP223" s="465">
        <f t="shared" si="394"/>
        <v>1</v>
      </c>
      <c r="BR223" s="88">
        <v>8</v>
      </c>
      <c r="BS223" s="95">
        <v>8</v>
      </c>
      <c r="BT223" s="90"/>
      <c r="BU223" s="99">
        <f>BS223/(BP223-BU215)</f>
        <v>8.7058823529411775</v>
      </c>
      <c r="BV223" s="100">
        <f>BS223/(BP223-BV215)</f>
        <v>10.033898305084746</v>
      </c>
      <c r="BW223" s="100">
        <f>BS223/(BP223-BW215)</f>
        <v>10.385964912280702</v>
      </c>
      <c r="BX223" s="100">
        <f>BS223/(BP223-BX215)</f>
        <v>9.8666666666666671</v>
      </c>
      <c r="BY223" s="100">
        <f>BS223/(BP223-BY215)</f>
        <v>11.384615384615385</v>
      </c>
      <c r="CA223" s="208">
        <v>8</v>
      </c>
      <c r="CB223" s="32">
        <f>(BU223/BU228*100+BU238)*BP223</f>
        <v>19.717948717948715</v>
      </c>
      <c r="CC223" s="202">
        <f>(BV223/BV228*100+BV238)*BP223</f>
        <v>20.173333333333332</v>
      </c>
      <c r="CD223" s="202">
        <f>(BW223/BW228*100+BW238)*BP223</f>
        <v>20.414965986394556</v>
      </c>
      <c r="CE223" s="202">
        <f>(BX223/BX228*100+BX238)*BP223</f>
        <v>16.442922374429223</v>
      </c>
      <c r="CF223" s="383">
        <f>(BY223/BY228*100+BY238)*BP223</f>
        <v>16.555555555555557</v>
      </c>
      <c r="CH223" s="10"/>
      <c r="CI223" s="102"/>
      <c r="CJ223" s="10"/>
      <c r="CK223" s="86" t="s">
        <v>39</v>
      </c>
      <c r="CL223" s="10"/>
      <c r="CM223" s="10"/>
      <c r="CN223" s="10"/>
      <c r="CO223" s="10"/>
      <c r="CP223" s="96" t="s">
        <v>24</v>
      </c>
      <c r="CQ223" s="39">
        <v>21</v>
      </c>
      <c r="CR223" s="465">
        <f t="shared" si="395"/>
        <v>1</v>
      </c>
      <c r="CT223" s="88">
        <v>8</v>
      </c>
      <c r="CU223" s="95">
        <v>8</v>
      </c>
      <c r="CV223" s="90"/>
      <c r="CW223" s="99">
        <f>CU223/(CR223-CW215)</f>
        <v>8.625</v>
      </c>
      <c r="CX223" s="100">
        <f>CU223/(CR223-CX215)</f>
        <v>10.036363636363637</v>
      </c>
      <c r="CY223" s="100">
        <f>CU223/(CR223-CY215)</f>
        <v>10.415094339622643</v>
      </c>
      <c r="CZ223" s="100">
        <f>CU223/(CR223-CZ215)</f>
        <v>9.8571428571428559</v>
      </c>
      <c r="DA223" s="100">
        <f>CU223/(CR223-DA215)</f>
        <v>11.5</v>
      </c>
      <c r="DC223" s="208">
        <v>8</v>
      </c>
      <c r="DD223" s="32">
        <f>(CW223/CW228*100+CW238)*CR223</f>
        <v>14.771689497716892</v>
      </c>
      <c r="DE223" s="202">
        <f>(CX223/CX228*100+CX238)*CR223</f>
        <v>14.953051643192488</v>
      </c>
      <c r="DF223" s="202">
        <f>(CY223/CY228*100+CY238)*CR223</f>
        <v>15.047619047619047</v>
      </c>
      <c r="DG223" s="202">
        <f>(CZ223/CZ228*100+CZ238)*CR223</f>
        <v>15.144927536231883</v>
      </c>
      <c r="DH223" s="383">
        <f>(DA223/DA228*100+DA238)*CR223</f>
        <v>13.387096774193548</v>
      </c>
      <c r="DJ223" s="10"/>
      <c r="DK223" s="102"/>
      <c r="DL223" s="10"/>
      <c r="DM223" s="86" t="s">
        <v>39</v>
      </c>
      <c r="DN223" s="10"/>
      <c r="DO223" s="10"/>
      <c r="DP223" s="10"/>
      <c r="DQ223" s="10"/>
      <c r="DR223" s="96" t="s">
        <v>24</v>
      </c>
      <c r="DS223" s="39">
        <v>20</v>
      </c>
      <c r="DT223" s="465">
        <f t="shared" si="396"/>
        <v>1</v>
      </c>
      <c r="DV223" s="88">
        <v>8</v>
      </c>
      <c r="DW223" s="95">
        <v>8</v>
      </c>
      <c r="DX223" s="90"/>
      <c r="DY223" s="99">
        <f>DW223/(DT223-DY215)</f>
        <v>8.5333333333333332</v>
      </c>
      <c r="DZ223" s="100">
        <f>DW223/(DT223-DZ215)</f>
        <v>10.03921568627451</v>
      </c>
      <c r="EA223" s="100">
        <f>DW223/(DT223-EA215)</f>
        <v>10.448979591836734</v>
      </c>
      <c r="EB223" s="100">
        <f>DW223/(DT223-EB215)</f>
        <v>9.8461538461538467</v>
      </c>
      <c r="EC223" s="100">
        <f>DW223/(DT223-EC215)</f>
        <v>11.636363636363637</v>
      </c>
      <c r="EE223" s="208">
        <v>8</v>
      </c>
      <c r="EF223" s="32">
        <f>(DY223/DY228*100+DY238)*DT223</f>
        <v>16.822695035460995</v>
      </c>
      <c r="EG223" s="202">
        <f>(DZ223/DZ228*100+DZ238)*DT223</f>
        <v>17.007246376811594</v>
      </c>
      <c r="EH223" s="202">
        <f>(EA223/EA228*100+EA238)*DT223</f>
        <v>17.102564102564102</v>
      </c>
      <c r="EI223" s="202">
        <f>(EB223/EB228*100+EB238)*DT223</f>
        <v>17.2</v>
      </c>
      <c r="EJ223" s="383">
        <f>(EC223/EC228*100+EC238)*DT223</f>
        <v>17.299625468164791</v>
      </c>
    </row>
    <row r="224" spans="2:140" x14ac:dyDescent="0.2">
      <c r="E224" s="86" t="s">
        <v>39</v>
      </c>
      <c r="J224" s="96" t="s">
        <v>23</v>
      </c>
      <c r="K224" s="97">
        <v>1</v>
      </c>
      <c r="L224" s="465">
        <f t="shared" si="389"/>
        <v>1</v>
      </c>
      <c r="N224" s="88">
        <v>9</v>
      </c>
      <c r="O224" s="95">
        <v>9</v>
      </c>
      <c r="P224" s="90"/>
      <c r="Q224" s="99">
        <f>O224/(L224-Q215)</f>
        <v>10.012500000000001</v>
      </c>
      <c r="R224" s="100">
        <f>O224/(L224-R215)</f>
        <v>11.281690140845072</v>
      </c>
      <c r="S224" s="100">
        <f>O224/(L224-S215)</f>
        <v>11.608695652173912</v>
      </c>
      <c r="T224" s="100">
        <f>O224/(L224-T215)</f>
        <v>11.125</v>
      </c>
      <c r="U224" s="100">
        <f>O224/(L224-U215)</f>
        <v>12.515625</v>
      </c>
      <c r="W224" s="14">
        <v>9</v>
      </c>
      <c r="X224" s="32">
        <f>(Q224/Q228*100+Q239)*$L224</f>
        <v>14.946428571428573</v>
      </c>
      <c r="Y224" s="202">
        <f>(R224/R228*100+R239)*$L224</f>
        <v>11.483108108108107</v>
      </c>
      <c r="Z224" s="202">
        <f t="shared" ref="Z224" si="412">(S224/S228*100+S239)*$L224</f>
        <v>11.541666666666668</v>
      </c>
      <c r="AA224" s="202">
        <f t="shared" ref="AA224" si="413">(T224/T228*100+T239)*$L224</f>
        <v>11.603571428571431</v>
      </c>
      <c r="AB224" s="383">
        <f t="shared" ref="AB224" si="414">(U224/U228*100+U239)*$L224</f>
        <v>11.669117647058822</v>
      </c>
      <c r="AG224" s="86" t="s">
        <v>39</v>
      </c>
      <c r="AL224" s="96" t="s">
        <v>23</v>
      </c>
      <c r="AM224" s="97">
        <v>1</v>
      </c>
      <c r="AN224" s="465">
        <f t="shared" si="393"/>
        <v>1</v>
      </c>
      <c r="AP224" s="88">
        <v>9</v>
      </c>
      <c r="AQ224" s="95">
        <v>9</v>
      </c>
      <c r="AR224" s="90"/>
      <c r="AS224" s="99">
        <f>AQ224/(AN224-AS215)</f>
        <v>9.8076923076923084</v>
      </c>
      <c r="AT224" s="100">
        <f>AQ224/(AN224-AT215)</f>
        <v>11.417910447761194</v>
      </c>
      <c r="AU224" s="100">
        <f>AQ224/(AN224-AU215)</f>
        <v>11.76923076923077</v>
      </c>
      <c r="AV224" s="100">
        <f>AQ224/(AN224-AV215)</f>
        <v>10.928571428571429</v>
      </c>
      <c r="AW224" s="100">
        <f>AQ224/(AN224-AW215)</f>
        <v>12.750000000000002</v>
      </c>
      <c r="AY224" s="200">
        <v>9</v>
      </c>
      <c r="AZ224" s="32">
        <f>(AS224/AS228*100+AS239)*AN224</f>
        <v>23.826612903225808</v>
      </c>
      <c r="BA224" s="202">
        <f>(AT224/AT228*100+AT239)*AN224</f>
        <v>23.826612903225808</v>
      </c>
      <c r="BB224" s="202">
        <f>(AU224/AU228*100+AU239)*AN224</f>
        <v>17.520454545454541</v>
      </c>
      <c r="BC224" s="202">
        <f>(AV224/AV228*100+AV239)*AN224</f>
        <v>17.671296296296294</v>
      </c>
      <c r="BD224" s="383">
        <f>(AW224/AW228*100+AW239)*AN224</f>
        <v>17.827830188679247</v>
      </c>
      <c r="BI224" s="86" t="s">
        <v>39</v>
      </c>
      <c r="BN224" s="96" t="s">
        <v>23</v>
      </c>
      <c r="BO224" s="97">
        <v>23</v>
      </c>
      <c r="BP224" s="465">
        <f t="shared" si="394"/>
        <v>1</v>
      </c>
      <c r="BR224" s="88">
        <v>9</v>
      </c>
      <c r="BS224" s="95">
        <v>9</v>
      </c>
      <c r="BT224" s="90"/>
      <c r="BU224" s="99">
        <f>BS224/(BP224-BU215)</f>
        <v>9.7941176470588243</v>
      </c>
      <c r="BV224" s="100">
        <f>BS224/(BP224-BV215)</f>
        <v>11.288135593220339</v>
      </c>
      <c r="BW224" s="100">
        <f>BS224/(BP224-BW215)</f>
        <v>11.684210526315789</v>
      </c>
      <c r="BX224" s="100">
        <f>BS224/(BP224-BX215)</f>
        <v>11.100000000000001</v>
      </c>
      <c r="BY224" s="100">
        <f>BS224/(BP224-BY215)</f>
        <v>12.807692307692308</v>
      </c>
      <c r="CA224" s="208">
        <v>9</v>
      </c>
      <c r="CB224" s="32">
        <f>(BU224/BU228*100+BU239)*BP224</f>
        <v>16.490384615384617</v>
      </c>
      <c r="CC224" s="202">
        <f>(BV224/BV228*100+BV239)*BP224</f>
        <v>16.774999999999999</v>
      </c>
      <c r="CD224" s="202">
        <f>(BW224/BW228*100+BW239)*BP224</f>
        <v>16.926020408163264</v>
      </c>
      <c r="CE224" s="202">
        <f>(BX224/BX228*100+BX239)*BP224</f>
        <v>14.443493150684931</v>
      </c>
      <c r="CF224" s="383">
        <f>(BY224/BY228*100+BY239)*BP224</f>
        <v>14.513888888888889</v>
      </c>
      <c r="CK224" s="86" t="s">
        <v>39</v>
      </c>
      <c r="CP224" s="96" t="s">
        <v>23</v>
      </c>
      <c r="CQ224" s="97">
        <v>22</v>
      </c>
      <c r="CR224" s="465">
        <f t="shared" si="395"/>
        <v>1</v>
      </c>
      <c r="CT224" s="88">
        <v>9</v>
      </c>
      <c r="CU224" s="95">
        <v>9</v>
      </c>
      <c r="CV224" s="90"/>
      <c r="CW224" s="99">
        <f>CU224/(CR224-CW215)</f>
        <v>9.703125</v>
      </c>
      <c r="CX224" s="100">
        <f>CU224/(CR224-CX215)</f>
        <v>11.290909090909091</v>
      </c>
      <c r="CY224" s="100">
        <f>CU224/(CR224-CY215)</f>
        <v>11.716981132075473</v>
      </c>
      <c r="CZ224" s="100">
        <f>CU224/(CR224-CZ215)</f>
        <v>11.089285714285714</v>
      </c>
      <c r="DA224" s="100">
        <f>CU224/(CR224-DA215)</f>
        <v>12.9375</v>
      </c>
      <c r="DC224" s="208">
        <v>9</v>
      </c>
      <c r="DD224" s="32">
        <f>(CW224/CW228*100+CW239)*CR224</f>
        <v>18.388698630136986</v>
      </c>
      <c r="DE224" s="202">
        <f>(CX224/CX228*100+CX239)*CR224</f>
        <v>18.642605633802816</v>
      </c>
      <c r="DF224" s="202">
        <f>(CY224/CY228*100+CY239)*CR224</f>
        <v>18.774999999999999</v>
      </c>
      <c r="DG224" s="202">
        <f>(CZ224/CZ228*100+CZ239)*CR224</f>
        <v>18.911231884057969</v>
      </c>
      <c r="DH224" s="383">
        <f>(DA224/DA228*100+DA239)*CR224</f>
        <v>16.4502688172043</v>
      </c>
      <c r="DM224" s="86" t="s">
        <v>39</v>
      </c>
      <c r="DR224" s="96" t="s">
        <v>23</v>
      </c>
      <c r="DS224" s="39">
        <v>21</v>
      </c>
      <c r="DT224" s="465">
        <f t="shared" si="396"/>
        <v>1</v>
      </c>
      <c r="DV224" s="88">
        <v>9</v>
      </c>
      <c r="DW224" s="95">
        <v>9</v>
      </c>
      <c r="DX224" s="90"/>
      <c r="DY224" s="99">
        <f>DW224/(DT224-DY215)</f>
        <v>9.6</v>
      </c>
      <c r="DZ224" s="100">
        <f>DW224/(DT224-DZ215)</f>
        <v>11.294117647058824</v>
      </c>
      <c r="EA224" s="100">
        <f>DW224/(DT224-EA215)</f>
        <v>11.755102040816327</v>
      </c>
      <c r="EB224" s="100">
        <f>DW224/(DT224-EB215)</f>
        <v>11.076923076923077</v>
      </c>
      <c r="EC224" s="100">
        <f>DW224/(DT224-EC215)</f>
        <v>13.090909090909092</v>
      </c>
      <c r="EE224" s="208">
        <v>9</v>
      </c>
      <c r="EF224" s="32">
        <f>(DY224/DY228*100+DY239)*DT224</f>
        <v>10.587765957446809</v>
      </c>
      <c r="EG224" s="202">
        <f>(DZ224/DZ228*100+DZ239)*DT224</f>
        <v>10.614130434782611</v>
      </c>
      <c r="EH224" s="202">
        <f>(EA224/EA228*100+EA239)*DT224</f>
        <v>10.627747252747255</v>
      </c>
      <c r="EI224" s="202">
        <f>(EB224/EB228*100+EB239)*DT224</f>
        <v>10.641666666666666</v>
      </c>
      <c r="EJ224" s="383">
        <f>(EC224/EC228*100+EC239)*DT224</f>
        <v>10.655898876404494</v>
      </c>
    </row>
    <row r="225" spans="5:140" x14ac:dyDescent="0.2">
      <c r="E225" s="86" t="s">
        <v>39</v>
      </c>
      <c r="J225" s="96" t="s">
        <v>25</v>
      </c>
      <c r="K225" s="39">
        <v>2</v>
      </c>
      <c r="L225" s="465">
        <f t="shared" si="389"/>
        <v>1</v>
      </c>
      <c r="N225" s="88">
        <v>10</v>
      </c>
      <c r="O225" s="95">
        <v>9</v>
      </c>
      <c r="P225" s="90"/>
      <c r="Q225" s="99">
        <f>O225/(L225-Q215)</f>
        <v>10.012500000000001</v>
      </c>
      <c r="R225" s="100">
        <f>O225/(L225-R215)</f>
        <v>11.281690140845072</v>
      </c>
      <c r="S225" s="100">
        <f>O225/(L225-S215)</f>
        <v>11.608695652173912</v>
      </c>
      <c r="T225" s="100">
        <f>O225/(L225-T215)</f>
        <v>11.125</v>
      </c>
      <c r="U225" s="100">
        <f>O225/(L225-U215)</f>
        <v>12.515625</v>
      </c>
      <c r="W225" s="14">
        <v>10</v>
      </c>
      <c r="X225" s="32">
        <f>(Q225/Q228*100+Q240)*$L225</f>
        <v>31.660714285714288</v>
      </c>
      <c r="Y225" s="202">
        <f>(R225/R228*100+R240)*$L225</f>
        <v>17.807432432432432</v>
      </c>
      <c r="Z225" s="202">
        <f t="shared" ref="Z225" si="415">(S225/S228*100+S240)*$L225</f>
        <v>18.041666666666668</v>
      </c>
      <c r="AA225" s="202">
        <f t="shared" ref="AA225" si="416">(T225/T228*100+T240)*$L225</f>
        <v>18.289285714285718</v>
      </c>
      <c r="AB225" s="383">
        <f t="shared" ref="AB225" si="417">(U225/U228*100+U240)*$L225</f>
        <v>18.551470588235293</v>
      </c>
      <c r="AG225" s="86" t="s">
        <v>39</v>
      </c>
      <c r="AL225" s="105" t="s">
        <v>25</v>
      </c>
      <c r="AM225" s="117">
        <v>25</v>
      </c>
      <c r="AN225" s="465">
        <f t="shared" si="393"/>
        <v>1</v>
      </c>
      <c r="AP225" s="88">
        <v>10</v>
      </c>
      <c r="AQ225" s="95">
        <v>9</v>
      </c>
      <c r="AR225" s="90"/>
      <c r="AS225" s="99">
        <f>AQ225/(AN225-AS215)</f>
        <v>9.8076923076923084</v>
      </c>
      <c r="AT225" s="100">
        <f>AQ225/(AN225-AT215)</f>
        <v>11.417910447761194</v>
      </c>
      <c r="AU225" s="100">
        <f>AQ225/(AN225-AU215)</f>
        <v>11.76923076923077</v>
      </c>
      <c r="AV225" s="100">
        <f>AQ225/(AN225-AV215)</f>
        <v>10.928571428571429</v>
      </c>
      <c r="AW225" s="100">
        <f>AQ225/(AN225-AW215)</f>
        <v>12.750000000000002</v>
      </c>
      <c r="AY225" s="200">
        <v>10</v>
      </c>
      <c r="AZ225" s="32">
        <f>(AS225/AS228*100+AS240)*AN225</f>
        <v>18.407258064516128</v>
      </c>
      <c r="BA225" s="202">
        <f>(AT225/AT228*100+AT240)*AN225</f>
        <v>18.407258064516128</v>
      </c>
      <c r="BB225" s="202">
        <f>(AU225/AU228*100+AU240)*AN225</f>
        <v>14.465909090909086</v>
      </c>
      <c r="BC225" s="202">
        <f>(AV225/AV228*100+AV240)*AN225</f>
        <v>14.560185185185183</v>
      </c>
      <c r="BD225" s="383">
        <f>(AW225/AW228*100+AW240)*AN225</f>
        <v>14.658018867924531</v>
      </c>
      <c r="BI225" s="86" t="s">
        <v>39</v>
      </c>
      <c r="BN225" s="96" t="s">
        <v>25</v>
      </c>
      <c r="BO225" s="39">
        <v>24</v>
      </c>
      <c r="BP225" s="465">
        <f t="shared" si="394"/>
        <v>1</v>
      </c>
      <c r="BR225" s="88">
        <v>10</v>
      </c>
      <c r="BS225" s="95">
        <v>9</v>
      </c>
      <c r="BT225" s="90"/>
      <c r="BU225" s="99">
        <f>BS225/(BP225-BU215)</f>
        <v>9.7941176470588243</v>
      </c>
      <c r="BV225" s="100">
        <f>BS225/(BP225-BV215)</f>
        <v>11.288135593220339</v>
      </c>
      <c r="BW225" s="100">
        <f>BS225/(BP225-BW215)</f>
        <v>11.684210526315789</v>
      </c>
      <c r="BX225" s="100">
        <f>BS225/(BP225-BX215)</f>
        <v>11.100000000000001</v>
      </c>
      <c r="BY225" s="100">
        <f>BS225/(BP225-BY215)</f>
        <v>12.807692307692308</v>
      </c>
      <c r="CA225" s="208">
        <v>10</v>
      </c>
      <c r="CB225" s="32">
        <f>(BU225/BU228*100+BU240)*BP225</f>
        <v>19.33653846153846</v>
      </c>
      <c r="CC225" s="202">
        <f>(BV225/BV228*100+BV240)*BP225</f>
        <v>19.734999999999999</v>
      </c>
      <c r="CD225" s="202">
        <f>(BW225/BW228*100+BW240)*BP225</f>
        <v>19.946428571428569</v>
      </c>
      <c r="CE225" s="202">
        <f>(BX225/BX228*100+BX240)*BP225</f>
        <v>16.470890410958905</v>
      </c>
      <c r="CF225" s="383">
        <f>(BY225/BY228*100+BY240)*BP225</f>
        <v>16.569444444444443</v>
      </c>
      <c r="CK225" s="86" t="s">
        <v>39</v>
      </c>
      <c r="CP225" s="96" t="s">
        <v>25</v>
      </c>
      <c r="CQ225" s="39">
        <v>23</v>
      </c>
      <c r="CR225" s="465">
        <f t="shared" si="395"/>
        <v>1</v>
      </c>
      <c r="CT225" s="88">
        <v>10</v>
      </c>
      <c r="CU225" s="95">
        <v>9</v>
      </c>
      <c r="CV225" s="90"/>
      <c r="CW225" s="99">
        <f>CU225/(CR225-CW215)</f>
        <v>9.703125</v>
      </c>
      <c r="CX225" s="100">
        <f>CU225/(CR225-CX215)</f>
        <v>11.290909090909091</v>
      </c>
      <c r="CY225" s="100">
        <f>CU225/(CR225-CY215)</f>
        <v>11.716981132075473</v>
      </c>
      <c r="CZ225" s="100">
        <f>CU225/(CR225-CZ215)</f>
        <v>11.089285714285714</v>
      </c>
      <c r="DA225" s="100">
        <f>CU225/(CR225-DA215)</f>
        <v>12.9375</v>
      </c>
      <c r="DC225" s="208">
        <v>10</v>
      </c>
      <c r="DD225" s="32">
        <f>(CW225/CW228*100+CW240)*CR225</f>
        <v>10.662671232876711</v>
      </c>
      <c r="DE225" s="202">
        <f>(CX225/CX228*100+CX240)*CR225</f>
        <v>10.698943661971832</v>
      </c>
      <c r="DF225" s="202">
        <f>(CY225/CY228*100+CY240)*CR225</f>
        <v>10.717857142857143</v>
      </c>
      <c r="DG225" s="202">
        <f>(CZ225/CZ228*100+CZ240)*CR225</f>
        <v>10.737318840579711</v>
      </c>
      <c r="DH225" s="383">
        <f>(DA225/DA228*100+DA240)*CR225</f>
        <v>10.385752688172044</v>
      </c>
      <c r="DM225" s="86" t="s">
        <v>39</v>
      </c>
      <c r="DR225" s="96" t="s">
        <v>25</v>
      </c>
      <c r="DS225" s="97">
        <v>22</v>
      </c>
      <c r="DT225" s="465">
        <f t="shared" si="396"/>
        <v>1</v>
      </c>
      <c r="DV225" s="88">
        <v>10</v>
      </c>
      <c r="DW225" s="95">
        <v>9</v>
      </c>
      <c r="DX225" s="90"/>
      <c r="DY225" s="99">
        <f>DW225/(DT225-DY215)</f>
        <v>9.6</v>
      </c>
      <c r="DZ225" s="100">
        <f>DW225/(DT225-DZ215)</f>
        <v>11.294117647058824</v>
      </c>
      <c r="EA225" s="100">
        <f>DW225/(DT225-EA215)</f>
        <v>11.755102040816327</v>
      </c>
      <c r="EB225" s="100">
        <f>DW225/(DT225-EB215)</f>
        <v>11.076923076923077</v>
      </c>
      <c r="EC225" s="100">
        <f>DW225/(DT225-EC215)</f>
        <v>13.090909090909092</v>
      </c>
      <c r="EE225" s="208">
        <v>10</v>
      </c>
      <c r="EF225" s="32">
        <f>(DY225/DY228*100+DY240)*DT225</f>
        <v>14.226063829787234</v>
      </c>
      <c r="EG225" s="202">
        <f>(DZ225/DZ228*100+DZ240)*DT225</f>
        <v>14.331521739130437</v>
      </c>
      <c r="EH225" s="202">
        <f>(EA225/EA228*100+EA240)*DT225</f>
        <v>14.385989010989013</v>
      </c>
      <c r="EI225" s="202">
        <f>(EB225/EB228*100+EB240)*DT225</f>
        <v>14.441666666666665</v>
      </c>
      <c r="EJ225" s="383">
        <f>(EC225/EC228*100+EC240)*DT225</f>
        <v>14.498595505617978</v>
      </c>
    </row>
    <row r="226" spans="5:140" x14ac:dyDescent="0.2">
      <c r="E226" s="86" t="s">
        <v>39</v>
      </c>
      <c r="J226" s="96" t="s">
        <v>26</v>
      </c>
      <c r="K226" s="97">
        <v>3</v>
      </c>
      <c r="L226" s="465">
        <f t="shared" si="389"/>
        <v>1</v>
      </c>
      <c r="N226" s="88">
        <v>11</v>
      </c>
      <c r="O226" s="107">
        <v>8</v>
      </c>
      <c r="P226" s="90"/>
      <c r="Q226" s="99">
        <f>O226/(L226-Q215)</f>
        <v>8.9</v>
      </c>
      <c r="R226" s="100">
        <f>O226/(L226-R215)</f>
        <v>10.028169014084508</v>
      </c>
      <c r="S226" s="100">
        <f>O226/(L226-S215)</f>
        <v>10.318840579710145</v>
      </c>
      <c r="T226" s="100">
        <f>O226/(L226-T215)</f>
        <v>9.8888888888888893</v>
      </c>
      <c r="U226" s="100">
        <f>O226/(L226-U215)</f>
        <v>11.125</v>
      </c>
      <c r="W226" s="14">
        <v>11</v>
      </c>
      <c r="X226" s="32">
        <f>(Q226/Q228*100+Q241)*$L226</f>
        <v>22.261904761904763</v>
      </c>
      <c r="Y226" s="202">
        <f>(R226/R228*100+R241)*$L226</f>
        <v>13.603603603603602</v>
      </c>
      <c r="Z226" s="202">
        <f t="shared" ref="Z226" si="418">(S226/S228*100+S241)*$L226</f>
        <v>13.75</v>
      </c>
      <c r="AA226" s="202">
        <f t="shared" ref="AA226" si="419">(T226/T228*100+T241)*$L226</f>
        <v>13.904761904761905</v>
      </c>
      <c r="AB226" s="383">
        <f t="shared" ref="AB226" si="420">(U226/U228*100+U241)*$L226</f>
        <v>14.06862745098039</v>
      </c>
      <c r="AG226" s="86" t="s">
        <v>39</v>
      </c>
      <c r="AL226" s="96" t="s">
        <v>26</v>
      </c>
      <c r="AM226" s="97">
        <v>1</v>
      </c>
      <c r="AN226" s="465">
        <f t="shared" si="393"/>
        <v>1</v>
      </c>
      <c r="AP226" s="88">
        <v>11</v>
      </c>
      <c r="AQ226" s="107">
        <v>8</v>
      </c>
      <c r="AR226" s="90"/>
      <c r="AS226" s="99">
        <f>AQ226/(AN226-AS215)</f>
        <v>8.717948717948719</v>
      </c>
      <c r="AT226" s="100">
        <f>AQ226/(AN226-AT215)</f>
        <v>10.149253731343284</v>
      </c>
      <c r="AU226" s="100">
        <f>AQ226/(AN226-AU215)</f>
        <v>10.461538461538462</v>
      </c>
      <c r="AV226" s="100">
        <f>AQ226/(AN226-AV215)</f>
        <v>9.7142857142857153</v>
      </c>
      <c r="AW226" s="100">
        <f>AQ226/(AN226-AW215)</f>
        <v>11.333333333333334</v>
      </c>
      <c r="AY226" s="200">
        <v>11</v>
      </c>
      <c r="AZ226" s="32">
        <f>(AS226/AS228*100+AS241)*AN226</f>
        <v>20.978494623655912</v>
      </c>
      <c r="BA226" s="202">
        <f>(AT226/AT228*100+AT241)*AN226</f>
        <v>20.978494623655912</v>
      </c>
      <c r="BB226" s="202">
        <f>(AU226/AU228*100+AU241)*AN226</f>
        <v>15.460606060606061</v>
      </c>
      <c r="BC226" s="202">
        <f>(AV226/AV228*100+AV241)*AN226</f>
        <v>15.592592592592592</v>
      </c>
      <c r="BD226" s="383">
        <f>(AW226/AW228*100+AW241)*AN226</f>
        <v>15.729559748427674</v>
      </c>
      <c r="BI226" s="86" t="s">
        <v>39</v>
      </c>
      <c r="BN226" s="105" t="s">
        <v>26</v>
      </c>
      <c r="BO226" s="118">
        <v>25</v>
      </c>
      <c r="BP226" s="465">
        <f t="shared" si="394"/>
        <v>1</v>
      </c>
      <c r="BR226" s="88">
        <v>11</v>
      </c>
      <c r="BS226" s="107">
        <v>8</v>
      </c>
      <c r="BT226" s="90"/>
      <c r="BU226" s="99">
        <f>BS226/(BP226-BU215)</f>
        <v>8.7058823529411775</v>
      </c>
      <c r="BV226" s="100">
        <f>BS226/(BP226-BV215)</f>
        <v>10.033898305084746</v>
      </c>
      <c r="BW226" s="100">
        <f>BS226/(BP226-BW215)</f>
        <v>10.385964912280702</v>
      </c>
      <c r="BX226" s="100">
        <f>BS226/(BP226-BX215)</f>
        <v>9.8666666666666671</v>
      </c>
      <c r="BY226" s="100">
        <f>BS226/(BP226-BY215)</f>
        <v>11.384615384615385</v>
      </c>
      <c r="CA226" s="208">
        <v>11</v>
      </c>
      <c r="CB226" s="32">
        <f>(BU226/BU228*100+BU241)*BP226</f>
        <v>9.7564102564102555</v>
      </c>
      <c r="CC226" s="202">
        <f>(BV226/BV228*100+BV241)*BP226</f>
        <v>9.8133333333333326</v>
      </c>
      <c r="CD226" s="202">
        <f>(BW226/BW228*100+BW241)*BP226</f>
        <v>9.8435374149659847</v>
      </c>
      <c r="CE226" s="202">
        <f>(BX226/BX228*100+BX241)*BP226</f>
        <v>9.3470319634703181</v>
      </c>
      <c r="CF226" s="383">
        <f>(BY226/BY228*100+BY241)*BP226</f>
        <v>9.3611111111111107</v>
      </c>
      <c r="CK226" s="86" t="s">
        <v>39</v>
      </c>
      <c r="CP226" s="96" t="s">
        <v>26</v>
      </c>
      <c r="CQ226" s="97">
        <v>24</v>
      </c>
      <c r="CR226" s="465">
        <f t="shared" si="395"/>
        <v>1</v>
      </c>
      <c r="CT226" s="88">
        <v>11</v>
      </c>
      <c r="CU226" s="107">
        <v>8</v>
      </c>
      <c r="CV226" s="90"/>
      <c r="CW226" s="99">
        <f>CU226/(CR226-CW215)</f>
        <v>8.625</v>
      </c>
      <c r="CX226" s="100">
        <f>CU226/(CR226-CX215)</f>
        <v>10.036363636363637</v>
      </c>
      <c r="CY226" s="100">
        <f>CU226/(CR226-CY215)</f>
        <v>10.415094339622643</v>
      </c>
      <c r="CZ226" s="100">
        <f>CU226/(CR226-CZ215)</f>
        <v>9.8571428571428559</v>
      </c>
      <c r="DA226" s="100">
        <f>CU226/(CR226-DA215)</f>
        <v>11.5</v>
      </c>
      <c r="DC226" s="208">
        <v>11</v>
      </c>
      <c r="DD226" s="32">
        <f>(CW226/CW228*100+CW241)*CR226</f>
        <v>13.484018264840181</v>
      </c>
      <c r="DE226" s="202">
        <f>(CX226/CX228*100+CX241)*CR226</f>
        <v>13.629107981220658</v>
      </c>
      <c r="DF226" s="202">
        <f>(CY226/CY228*100+CY241)*CR226</f>
        <v>13.704761904761906</v>
      </c>
      <c r="DG226" s="202">
        <f>(CZ226/CZ228*100+CZ241)*CR226</f>
        <v>13.782608695652172</v>
      </c>
      <c r="DH226" s="383">
        <f>(DA226/DA228*100+DA241)*CR226</f>
        <v>12.376344086021504</v>
      </c>
      <c r="DM226" s="86" t="s">
        <v>39</v>
      </c>
      <c r="DR226" s="96" t="s">
        <v>26</v>
      </c>
      <c r="DS226" s="39">
        <v>23</v>
      </c>
      <c r="DT226" s="465">
        <f t="shared" si="396"/>
        <v>1</v>
      </c>
      <c r="DV226" s="88">
        <v>11</v>
      </c>
      <c r="DW226" s="107">
        <v>8</v>
      </c>
      <c r="DX226" s="90"/>
      <c r="DY226" s="99">
        <f>DW226/(DT226-DY215)</f>
        <v>8.5333333333333332</v>
      </c>
      <c r="DZ226" s="100">
        <f>DW226/(DT226-DZ215)</f>
        <v>10.03921568627451</v>
      </c>
      <c r="EA226" s="100">
        <f>DW226/(DT226-EA215)</f>
        <v>10.448979591836734</v>
      </c>
      <c r="EB226" s="100">
        <f>DW226/(DT226-EB215)</f>
        <v>9.8461538461538467</v>
      </c>
      <c r="EC226" s="100">
        <f>DW226/(DT226-EC215)</f>
        <v>11.636363636363637</v>
      </c>
      <c r="EE226" s="208">
        <v>11</v>
      </c>
      <c r="EF226" s="32">
        <f>(DY226/DY228*100+DY241)*DT226</f>
        <v>10.75886524822695</v>
      </c>
      <c r="EG226" s="202">
        <f>(DZ226/DZ228*100+DZ241)*DT226</f>
        <v>10.811594202898549</v>
      </c>
      <c r="EH226" s="202">
        <f>(EA226/EA228*100+EA241)*DT226</f>
        <v>10.838827838827839</v>
      </c>
      <c r="EI226" s="202">
        <f>(EB226/EB228*100+EB241)*DT226</f>
        <v>10.866666666666665</v>
      </c>
      <c r="EJ226" s="383">
        <f>(EC226/EC228*100+EC241)*DT226</f>
        <v>10.895131086142321</v>
      </c>
    </row>
    <row r="227" spans="5:140" ht="15" thickBot="1" x14ac:dyDescent="0.25">
      <c r="E227" s="86" t="s">
        <v>39</v>
      </c>
      <c r="J227" s="96" t="s">
        <v>27</v>
      </c>
      <c r="K227" s="39">
        <v>4</v>
      </c>
      <c r="L227" s="465">
        <f t="shared" si="389"/>
        <v>1</v>
      </c>
      <c r="N227" s="109">
        <v>12</v>
      </c>
      <c r="O227" s="110">
        <v>7</v>
      </c>
      <c r="P227" s="90"/>
      <c r="Q227" s="111">
        <f>O227/(L227-Q215)</f>
        <v>7.7875000000000005</v>
      </c>
      <c r="R227" s="112">
        <f>O227/(L227-R215)</f>
        <v>8.774647887323944</v>
      </c>
      <c r="S227" s="112">
        <f>O227/(L227-S215)</f>
        <v>9.0289855072463769</v>
      </c>
      <c r="T227" s="112">
        <f>O227/(L227-T215)</f>
        <v>8.6527777777777786</v>
      </c>
      <c r="U227" s="112">
        <f>O227/(L227-U215)</f>
        <v>9.734375</v>
      </c>
      <c r="W227" s="53">
        <v>12</v>
      </c>
      <c r="X227" s="43">
        <f>(Q227/Q228*100+Q242)*$L227</f>
        <v>26.791666666666671</v>
      </c>
      <c r="Y227" s="203">
        <f>(R227/R228*100+R242)*$L227</f>
        <v>14.670045045045045</v>
      </c>
      <c r="Z227" s="203">
        <f t="shared" ref="Z227" si="421">(S227/S228*100+S242)*$L227</f>
        <v>14.875000000000002</v>
      </c>
      <c r="AA227" s="203">
        <f t="shared" ref="AA227" si="422">(T227/T228*100+T242)*$L227</f>
        <v>15.091666666666669</v>
      </c>
      <c r="AB227" s="384">
        <f t="shared" ref="AB227" si="423">(U227/U228*100+U242)*$L227</f>
        <v>15.321078431372548</v>
      </c>
      <c r="AG227" s="86" t="s">
        <v>39</v>
      </c>
      <c r="AL227" s="96" t="s">
        <v>27</v>
      </c>
      <c r="AM227" s="39">
        <v>2</v>
      </c>
      <c r="AN227" s="465">
        <f t="shared" si="393"/>
        <v>1</v>
      </c>
      <c r="AP227" s="109">
        <v>12</v>
      </c>
      <c r="AQ227" s="110">
        <v>7</v>
      </c>
      <c r="AR227" s="90"/>
      <c r="AS227" s="111">
        <f>AQ227/(AN227-AS215)</f>
        <v>7.6282051282051286</v>
      </c>
      <c r="AT227" s="112">
        <f>AQ227/(AN227-AT215)</f>
        <v>8.8805970149253728</v>
      </c>
      <c r="AU227" s="112">
        <f>AQ227/(AN227-AU215)</f>
        <v>9.1538461538461551</v>
      </c>
      <c r="AV227" s="112">
        <f>AQ227/(AN227-AV215)</f>
        <v>8.5</v>
      </c>
      <c r="AW227" s="112">
        <f>AQ227/(AN227-AW215)</f>
        <v>9.9166666666666679</v>
      </c>
      <c r="AY227" s="201">
        <v>12</v>
      </c>
      <c r="AZ227" s="43">
        <f>(AS227/AS228*100+AS242)*AN227</f>
        <v>9.0981182795698921</v>
      </c>
      <c r="BA227" s="203">
        <f>(AT227/AT228*100+AT242)*AN227</f>
        <v>9.0981182795698921</v>
      </c>
      <c r="BB227" s="203">
        <f>(AU227/AU228*100+AU242)*AN227</f>
        <v>8.3098484848484837</v>
      </c>
      <c r="BC227" s="203">
        <f>(AV227/AV228*100+AV242)*AN227</f>
        <v>8.3287037037037024</v>
      </c>
      <c r="BD227" s="384">
        <f>(AW227/AW228*100+AW242)*AN227</f>
        <v>8.3482704402515733</v>
      </c>
      <c r="BI227" s="86" t="s">
        <v>39</v>
      </c>
      <c r="BN227" s="96" t="s">
        <v>27</v>
      </c>
      <c r="BO227" s="39">
        <v>1</v>
      </c>
      <c r="BP227" s="465">
        <f t="shared" si="394"/>
        <v>1</v>
      </c>
      <c r="BR227" s="109">
        <v>12</v>
      </c>
      <c r="BS227" s="110">
        <v>7</v>
      </c>
      <c r="BT227" s="90"/>
      <c r="BU227" s="111">
        <f>BS227/(BP227-BU215)</f>
        <v>7.6176470588235299</v>
      </c>
      <c r="BV227" s="112">
        <f>BS227/(BP227-BV215)</f>
        <v>8.7796610169491522</v>
      </c>
      <c r="BW227" s="112">
        <f>BS227/(BP227-BW215)</f>
        <v>9.087719298245613</v>
      </c>
      <c r="BX227" s="112">
        <f>BS227/(BP227-BX215)</f>
        <v>8.6333333333333346</v>
      </c>
      <c r="BY227" s="112">
        <f>BS227/(BP227-BY215)</f>
        <v>9.9615384615384617</v>
      </c>
      <c r="CA227" s="209">
        <v>12</v>
      </c>
      <c r="CB227" s="43">
        <f>(BU227/BU228*100+BU242)*BP227</f>
        <v>12.983974358974358</v>
      </c>
      <c r="CC227" s="203">
        <f>(BV227/BV228*100+BV242)*BP227</f>
        <v>13.211666666666666</v>
      </c>
      <c r="CD227" s="203">
        <f>(BW227/BW228*100+BW242)*BP227</f>
        <v>13.332482993197278</v>
      </c>
      <c r="CE227" s="203">
        <f>(BX227/BX228*100+BX242)*BP227</f>
        <v>11.346461187214611</v>
      </c>
      <c r="CF227" s="384">
        <f>(BY227/BY228*100+BY242)*BP227</f>
        <v>11.402777777777779</v>
      </c>
      <c r="CK227" s="86" t="s">
        <v>39</v>
      </c>
      <c r="CP227" s="105" t="s">
        <v>27</v>
      </c>
      <c r="CQ227" s="117">
        <v>25</v>
      </c>
      <c r="CR227" s="465">
        <f t="shared" si="395"/>
        <v>1</v>
      </c>
      <c r="CT227" s="109">
        <v>12</v>
      </c>
      <c r="CU227" s="110">
        <v>7</v>
      </c>
      <c r="CV227" s="90"/>
      <c r="CW227" s="111">
        <f>CU227/(CR227-CW215)</f>
        <v>7.546875</v>
      </c>
      <c r="CX227" s="112">
        <f>CU227/(CR227-CX215)</f>
        <v>8.7818181818181813</v>
      </c>
      <c r="CY227" s="112">
        <f>CU227/(CR227-CY215)</f>
        <v>9.1132075471698109</v>
      </c>
      <c r="CZ227" s="112">
        <f>CU227/(CR227-CZ215)</f>
        <v>8.625</v>
      </c>
      <c r="DA227" s="112">
        <f>CU227/(CR227-DA215)</f>
        <v>10.0625</v>
      </c>
      <c r="DC227" s="209">
        <v>12</v>
      </c>
      <c r="DD227" s="43">
        <f>(CW227/CW228*100+CW242)*CR227</f>
        <v>9.8670091324200904</v>
      </c>
      <c r="DE227" s="203">
        <f>(CX227/CX228*100+CX242)*CR227</f>
        <v>9.9395539906103281</v>
      </c>
      <c r="DF227" s="203">
        <f>(CY227/CY228*100+CY242)*CR227</f>
        <v>9.9773809523809511</v>
      </c>
      <c r="DG227" s="203">
        <f>(CZ227/CZ228*100+CZ242)*CR227</f>
        <v>10.016304347826088</v>
      </c>
      <c r="DH227" s="384">
        <f>(DA227/DA228*100+DA242)*CR227</f>
        <v>9.3131720430107521</v>
      </c>
      <c r="DM227" s="86" t="s">
        <v>39</v>
      </c>
      <c r="DR227" s="96" t="s">
        <v>27</v>
      </c>
      <c r="DS227" s="39">
        <v>24</v>
      </c>
      <c r="DT227" s="465">
        <f t="shared" si="396"/>
        <v>1</v>
      </c>
      <c r="DV227" s="109">
        <v>12</v>
      </c>
      <c r="DW227" s="110">
        <v>7</v>
      </c>
      <c r="DX227" s="90"/>
      <c r="DY227" s="111">
        <f>DW227/(DT227-DY215)</f>
        <v>7.4666666666666668</v>
      </c>
      <c r="DZ227" s="112">
        <f>DW227/(DT227-DZ215)</f>
        <v>8.7843137254901968</v>
      </c>
      <c r="EA227" s="112">
        <f>DW227/(DT227-EA215)</f>
        <v>9.1428571428571423</v>
      </c>
      <c r="EB227" s="112">
        <f>DW227/(DT227-EB215)</f>
        <v>8.615384615384615</v>
      </c>
      <c r="EC227" s="112">
        <f>DW227/(DT227-EC215)</f>
        <v>10.181818181818182</v>
      </c>
      <c r="EE227" s="209">
        <v>12</v>
      </c>
      <c r="EF227" s="43">
        <f>(DY227/DY228*100+DY242)*DT227</f>
        <v>16.993794326241137</v>
      </c>
      <c r="EG227" s="203">
        <f>(DZ227/DZ228*100+DZ242)*DT227</f>
        <v>17.204710144927535</v>
      </c>
      <c r="EH227" s="203">
        <f>(EA227/EA228*100+EA242)*DT227</f>
        <v>17.31364468864469</v>
      </c>
      <c r="EI227" s="203">
        <f>(EB227/EB228*100+EB242)*DT227</f>
        <v>17.424999999999997</v>
      </c>
      <c r="EJ227" s="384">
        <f>(EC227/EC228*100+EC242)*DT227</f>
        <v>17.53885767790262</v>
      </c>
    </row>
    <row r="228" spans="5:140" x14ac:dyDescent="0.2">
      <c r="E228" s="86" t="s">
        <v>39</v>
      </c>
      <c r="J228" s="96" t="s">
        <v>28</v>
      </c>
      <c r="K228" s="97">
        <v>5</v>
      </c>
      <c r="N228" s="10"/>
      <c r="O228" s="90"/>
      <c r="P228" s="90"/>
      <c r="Q228" s="113">
        <f>SUM(Q216:Q227)</f>
        <v>106.80000000000001</v>
      </c>
      <c r="R228" s="113">
        <f t="shared" ref="R228:U228" si="424">SUM(R216:R227)</f>
        <v>120.33802816901411</v>
      </c>
      <c r="S228" s="113">
        <f t="shared" si="424"/>
        <v>123.82608695652172</v>
      </c>
      <c r="T228" s="113">
        <f t="shared" si="424"/>
        <v>118.66666666666666</v>
      </c>
      <c r="U228" s="113">
        <f t="shared" si="424"/>
        <v>133.5</v>
      </c>
      <c r="W228" s="160"/>
      <c r="X228" s="171"/>
      <c r="Y228" s="171"/>
      <c r="Z228" s="171"/>
      <c r="AA228" s="171"/>
      <c r="AB228" s="171"/>
      <c r="AG228" s="86" t="s">
        <v>39</v>
      </c>
      <c r="AL228" s="96" t="s">
        <v>28</v>
      </c>
      <c r="AM228" s="97">
        <v>3</v>
      </c>
      <c r="AP228" s="10"/>
      <c r="AQ228" s="90"/>
      <c r="AR228" s="90"/>
      <c r="AS228" s="113">
        <f>SUM(AS216:AS227)</f>
        <v>104.61538461538461</v>
      </c>
      <c r="AT228" s="113">
        <f t="shared" ref="AT228:AW228" si="425">SUM(AT216:AT227)</f>
        <v>121.79104477611939</v>
      </c>
      <c r="AU228" s="113">
        <f t="shared" si="425"/>
        <v>125.53846153846158</v>
      </c>
      <c r="AV228" s="113">
        <f t="shared" si="425"/>
        <v>116.57142857142858</v>
      </c>
      <c r="AW228" s="113">
        <f t="shared" si="425"/>
        <v>136</v>
      </c>
      <c r="AY228" s="160"/>
      <c r="AZ228" s="171"/>
      <c r="BA228" s="171"/>
      <c r="BB228" s="171"/>
      <c r="BC228" s="171"/>
      <c r="BD228" s="171"/>
      <c r="BI228" s="86" t="s">
        <v>39</v>
      </c>
      <c r="BN228" s="96" t="s">
        <v>28</v>
      </c>
      <c r="BO228" s="97">
        <v>2</v>
      </c>
      <c r="BR228" s="10"/>
      <c r="BS228" s="90"/>
      <c r="BT228" s="90"/>
      <c r="BU228" s="113">
        <f>SUM(BU216:BU227)</f>
        <v>104.47058823529413</v>
      </c>
      <c r="BV228" s="113">
        <f t="shared" ref="BV228:BY228" si="426">SUM(BV216:BV227)</f>
        <v>120.40677966101696</v>
      </c>
      <c r="BW228" s="113">
        <f t="shared" si="426"/>
        <v>124.63157894736842</v>
      </c>
      <c r="BX228" s="113">
        <f t="shared" si="426"/>
        <v>118.40000000000002</v>
      </c>
      <c r="BY228" s="113">
        <f t="shared" si="426"/>
        <v>136.61538461538461</v>
      </c>
      <c r="CA228" s="160"/>
      <c r="CB228" s="171"/>
      <c r="CC228" s="171"/>
      <c r="CD228" s="171"/>
      <c r="CE228" s="171"/>
      <c r="CF228" s="171"/>
      <c r="CK228" s="86" t="s">
        <v>39</v>
      </c>
      <c r="CP228" s="96" t="s">
        <v>28</v>
      </c>
      <c r="CQ228" s="97">
        <v>1</v>
      </c>
      <c r="CT228" s="10"/>
      <c r="CU228" s="90"/>
      <c r="CV228" s="90"/>
      <c r="CW228" s="113">
        <f>SUM(CW216:CW227)</f>
        <v>103.5</v>
      </c>
      <c r="CX228" s="113">
        <f t="shared" ref="CX228:DA228" si="427">SUM(CX216:CX227)</f>
        <v>120.43636363636364</v>
      </c>
      <c r="CY228" s="113">
        <f t="shared" si="427"/>
        <v>124.98113207547171</v>
      </c>
      <c r="CZ228" s="113">
        <f t="shared" si="427"/>
        <v>118.28571428571428</v>
      </c>
      <c r="DA228" s="113">
        <f t="shared" si="427"/>
        <v>138</v>
      </c>
      <c r="DC228" s="160"/>
      <c r="DD228" s="171"/>
      <c r="DE228" s="171"/>
      <c r="DF228" s="171"/>
      <c r="DG228" s="171"/>
      <c r="DH228" s="171"/>
      <c r="DM228" s="86" t="s">
        <v>39</v>
      </c>
      <c r="DR228" s="105" t="s">
        <v>28</v>
      </c>
      <c r="DS228" s="118">
        <v>25</v>
      </c>
      <c r="DV228" s="10"/>
      <c r="DW228" s="90"/>
      <c r="DX228" s="90"/>
      <c r="DY228" s="113">
        <f>SUM(DY216:DY227)</f>
        <v>102.39999999999999</v>
      </c>
      <c r="DZ228" s="113">
        <f t="shared" ref="DZ228:EC228" si="428">SUM(DZ216:DZ227)</f>
        <v>120.47058823529412</v>
      </c>
      <c r="EA228" s="113">
        <f t="shared" si="428"/>
        <v>125.3877551020408</v>
      </c>
      <c r="EB228" s="113">
        <f t="shared" si="428"/>
        <v>118.15384615384616</v>
      </c>
      <c r="EC228" s="113">
        <f t="shared" si="428"/>
        <v>139.63636363636365</v>
      </c>
      <c r="EE228" s="160"/>
      <c r="EF228" s="171"/>
      <c r="EG228" s="171"/>
      <c r="EH228" s="171"/>
      <c r="EI228" s="171"/>
      <c r="EJ228" s="171"/>
    </row>
    <row r="229" spans="5:140" ht="15" thickBot="1" x14ac:dyDescent="0.25">
      <c r="E229" s="86" t="s">
        <v>39</v>
      </c>
      <c r="J229" s="96" t="s">
        <v>21</v>
      </c>
      <c r="K229" s="39">
        <v>6</v>
      </c>
      <c r="O229" s="10" t="s">
        <v>29</v>
      </c>
      <c r="W229" s="170" t="s">
        <v>66</v>
      </c>
      <c r="X229" s="171"/>
      <c r="Y229" s="171"/>
      <c r="Z229" s="171"/>
      <c r="AA229" s="171"/>
      <c r="AB229" s="171"/>
      <c r="AG229" s="86" t="s">
        <v>39</v>
      </c>
      <c r="AL229" s="96" t="s">
        <v>21</v>
      </c>
      <c r="AM229" s="39">
        <v>4</v>
      </c>
      <c r="AQ229" s="10" t="s">
        <v>29</v>
      </c>
      <c r="AY229" s="170" t="s">
        <v>78</v>
      </c>
      <c r="AZ229" s="171"/>
      <c r="BA229" s="171"/>
      <c r="BB229" s="171"/>
      <c r="BC229" s="171"/>
      <c r="BD229" s="171"/>
      <c r="BI229" s="86" t="s">
        <v>39</v>
      </c>
      <c r="BN229" s="96" t="s">
        <v>21</v>
      </c>
      <c r="BO229" s="39">
        <v>3</v>
      </c>
      <c r="BS229" s="10" t="s">
        <v>29</v>
      </c>
      <c r="CA229" s="170" t="s">
        <v>96</v>
      </c>
      <c r="CB229" s="171"/>
      <c r="CC229" s="171"/>
      <c r="CD229" s="171"/>
      <c r="CE229" s="171"/>
      <c r="CF229" s="171"/>
      <c r="CK229" s="86" t="s">
        <v>39</v>
      </c>
      <c r="CP229" s="96" t="s">
        <v>21</v>
      </c>
      <c r="CQ229" s="97">
        <v>2</v>
      </c>
      <c r="CU229" s="10" t="s">
        <v>29</v>
      </c>
      <c r="DC229" s="170" t="s">
        <v>111</v>
      </c>
      <c r="DD229" s="171"/>
      <c r="DE229" s="171"/>
      <c r="DF229" s="171"/>
      <c r="DG229" s="171"/>
      <c r="DH229" s="171"/>
      <c r="DM229" s="86" t="s">
        <v>39</v>
      </c>
      <c r="DR229" s="96" t="s">
        <v>21</v>
      </c>
      <c r="DS229" s="97">
        <v>1</v>
      </c>
      <c r="DW229" s="10" t="s">
        <v>29</v>
      </c>
      <c r="EE229" s="170" t="s">
        <v>126</v>
      </c>
      <c r="EF229" s="171"/>
      <c r="EG229" s="171"/>
      <c r="EH229" s="171"/>
      <c r="EI229" s="171"/>
      <c r="EJ229" s="171"/>
    </row>
    <row r="230" spans="5:140" ht="15" thickBot="1" x14ac:dyDescent="0.25">
      <c r="E230" s="86" t="s">
        <v>39</v>
      </c>
      <c r="J230" s="96" t="s">
        <v>7</v>
      </c>
      <c r="K230" s="97">
        <v>7</v>
      </c>
      <c r="L230" s="77" t="s">
        <v>36</v>
      </c>
      <c r="M230" s="78" t="s">
        <v>15</v>
      </c>
      <c r="N230" s="79" t="s">
        <v>37</v>
      </c>
      <c r="O230" s="80" t="s">
        <v>38</v>
      </c>
      <c r="P230" s="10"/>
      <c r="Q230" s="114">
        <f>K212</f>
        <v>0.64102564102564108</v>
      </c>
      <c r="R230" s="115">
        <f>L212</f>
        <v>5.128205128205128E-2</v>
      </c>
      <c r="S230" s="115">
        <f t="shared" ref="S230:T230" si="429">M212</f>
        <v>7.6923076923076927E-2</v>
      </c>
      <c r="T230" s="115">
        <f t="shared" si="429"/>
        <v>0.10256410256410256</v>
      </c>
      <c r="U230" s="116">
        <f>O212</f>
        <v>0.12820512820512819</v>
      </c>
      <c r="V230" s="84">
        <f>SUM(Q230:U230)</f>
        <v>1</v>
      </c>
      <c r="W230" s="193" t="s">
        <v>37</v>
      </c>
      <c r="X230" s="173" t="s">
        <v>30</v>
      </c>
      <c r="Y230" s="174" t="s">
        <v>31</v>
      </c>
      <c r="Z230" s="174" t="s">
        <v>32</v>
      </c>
      <c r="AA230" s="174" t="s">
        <v>33</v>
      </c>
      <c r="AB230" s="175" t="s">
        <v>34</v>
      </c>
      <c r="AG230" s="86" t="s">
        <v>39</v>
      </c>
      <c r="AL230" s="96" t="s">
        <v>7</v>
      </c>
      <c r="AM230" s="97">
        <v>5</v>
      </c>
      <c r="AN230" s="77" t="s">
        <v>36</v>
      </c>
      <c r="AO230" s="78" t="s">
        <v>15</v>
      </c>
      <c r="AP230" s="79" t="s">
        <v>37</v>
      </c>
      <c r="AQ230" s="80" t="s">
        <v>38</v>
      </c>
      <c r="AR230" s="10"/>
      <c r="AS230" s="114">
        <f>AM212</f>
        <v>0.44642857142857145</v>
      </c>
      <c r="AT230" s="115">
        <f>AN212</f>
        <v>0.44642857142857145</v>
      </c>
      <c r="AU230" s="115">
        <f t="shared" ref="AU230:AV230" si="430">AO212</f>
        <v>1.7857142857142856E-2</v>
      </c>
      <c r="AV230" s="115">
        <f t="shared" si="430"/>
        <v>3.5714285714285712E-2</v>
      </c>
      <c r="AW230" s="116">
        <f>AQ212</f>
        <v>5.3571428571428568E-2</v>
      </c>
      <c r="AX230" s="84">
        <f>SUM(AS230:AW230)</f>
        <v>1</v>
      </c>
      <c r="AY230" s="204" t="s">
        <v>37</v>
      </c>
      <c r="AZ230" s="173" t="s">
        <v>30</v>
      </c>
      <c r="BA230" s="174" t="s">
        <v>31</v>
      </c>
      <c r="BB230" s="174" t="s">
        <v>32</v>
      </c>
      <c r="BC230" s="174" t="s">
        <v>33</v>
      </c>
      <c r="BD230" s="175" t="s">
        <v>34</v>
      </c>
      <c r="BI230" s="86" t="s">
        <v>39</v>
      </c>
      <c r="BN230" s="96" t="s">
        <v>7</v>
      </c>
      <c r="BO230" s="97">
        <v>4</v>
      </c>
      <c r="BP230" s="77" t="s">
        <v>36</v>
      </c>
      <c r="BQ230" s="78" t="s">
        <v>15</v>
      </c>
      <c r="BR230" s="79" t="s">
        <v>37</v>
      </c>
      <c r="BS230" s="80" t="s">
        <v>38</v>
      </c>
      <c r="BT230" s="10"/>
      <c r="BU230" s="114">
        <f>BO212</f>
        <v>0.29729729729729731</v>
      </c>
      <c r="BV230" s="115">
        <f>BP212</f>
        <v>0.32432432432432434</v>
      </c>
      <c r="BW230" s="115">
        <f t="shared" ref="BW230:BX230" si="431">BQ212</f>
        <v>0.33783783783783783</v>
      </c>
      <c r="BX230" s="115">
        <f t="shared" si="431"/>
        <v>1.3513513513513514E-2</v>
      </c>
      <c r="BY230" s="116">
        <f>BS212</f>
        <v>2.7027027027027029E-2</v>
      </c>
      <c r="BZ230" s="84">
        <f>SUM(BU230:BY230)</f>
        <v>1</v>
      </c>
      <c r="CA230" s="198" t="s">
        <v>37</v>
      </c>
      <c r="CB230" s="173" t="s">
        <v>30</v>
      </c>
      <c r="CC230" s="174" t="s">
        <v>31</v>
      </c>
      <c r="CD230" s="174" t="s">
        <v>32</v>
      </c>
      <c r="CE230" s="174" t="s">
        <v>33</v>
      </c>
      <c r="CF230" s="175" t="s">
        <v>34</v>
      </c>
      <c r="CK230" s="86" t="s">
        <v>39</v>
      </c>
      <c r="CP230" s="96" t="s">
        <v>7</v>
      </c>
      <c r="CQ230" s="39">
        <v>3</v>
      </c>
      <c r="CR230" s="77" t="s">
        <v>36</v>
      </c>
      <c r="CS230" s="78" t="s">
        <v>15</v>
      </c>
      <c r="CT230" s="79" t="s">
        <v>37</v>
      </c>
      <c r="CU230" s="80" t="s">
        <v>38</v>
      </c>
      <c r="CV230" s="10"/>
      <c r="CW230" s="114">
        <f>CQ212</f>
        <v>0.22340425531914893</v>
      </c>
      <c r="CX230" s="115">
        <f>CR212</f>
        <v>0.24468085106382978</v>
      </c>
      <c r="CY230" s="115">
        <f t="shared" ref="CY230:CZ230" si="432">CS212</f>
        <v>0.25531914893617019</v>
      </c>
      <c r="CZ230" s="115">
        <f t="shared" si="432"/>
        <v>0.26595744680851063</v>
      </c>
      <c r="DA230" s="116">
        <f>CU212</f>
        <v>1.0638297872340425E-2</v>
      </c>
      <c r="DB230" s="84">
        <f>SUM(CW230:DA230)</f>
        <v>0.99999999999999989</v>
      </c>
      <c r="DC230" s="198" t="s">
        <v>37</v>
      </c>
      <c r="DD230" s="173" t="s">
        <v>30</v>
      </c>
      <c r="DE230" s="174" t="s">
        <v>31</v>
      </c>
      <c r="DF230" s="174" t="s">
        <v>32</v>
      </c>
      <c r="DG230" s="174" t="s">
        <v>33</v>
      </c>
      <c r="DH230" s="175" t="s">
        <v>34</v>
      </c>
      <c r="DM230" s="86" t="s">
        <v>39</v>
      </c>
      <c r="DR230" s="96" t="s">
        <v>7</v>
      </c>
      <c r="DS230" s="101">
        <v>2</v>
      </c>
      <c r="DT230" s="77" t="s">
        <v>36</v>
      </c>
      <c r="DU230" s="153" t="s">
        <v>15</v>
      </c>
      <c r="DV230" s="79" t="s">
        <v>37</v>
      </c>
      <c r="DW230" s="80" t="s">
        <v>38</v>
      </c>
      <c r="DX230" s="10"/>
      <c r="DY230" s="114">
        <f>DS212</f>
        <v>0.17543859649122806</v>
      </c>
      <c r="DZ230" s="115">
        <f>DT212</f>
        <v>0.19298245614035087</v>
      </c>
      <c r="EA230" s="115">
        <f t="shared" ref="EA230:EB230" si="433">DU212</f>
        <v>0.20175438596491227</v>
      </c>
      <c r="EB230" s="115">
        <f t="shared" si="433"/>
        <v>0.21052631578947367</v>
      </c>
      <c r="EC230" s="116">
        <f>DW212</f>
        <v>0.21929824561403508</v>
      </c>
      <c r="ED230" s="84">
        <f>SUM(DY230:EC230)</f>
        <v>1</v>
      </c>
      <c r="EE230" s="198" t="s">
        <v>37</v>
      </c>
      <c r="EF230" s="173" t="s">
        <v>30</v>
      </c>
      <c r="EG230" s="174" t="s">
        <v>31</v>
      </c>
      <c r="EH230" s="174" t="s">
        <v>32</v>
      </c>
      <c r="EI230" s="174" t="s">
        <v>33</v>
      </c>
      <c r="EJ230" s="175" t="s">
        <v>34</v>
      </c>
    </row>
    <row r="231" spans="5:140" x14ac:dyDescent="0.2">
      <c r="E231" s="86" t="s">
        <v>39</v>
      </c>
      <c r="J231" s="96" t="s">
        <v>13</v>
      </c>
      <c r="K231" s="39">
        <v>8</v>
      </c>
      <c r="L231" s="465">
        <f>L23</f>
        <v>1</v>
      </c>
      <c r="N231" s="88">
        <v>1</v>
      </c>
      <c r="O231" s="89">
        <v>1</v>
      </c>
      <c r="P231" s="90"/>
      <c r="Q231" s="91">
        <f>O231/(L231-Q230)</f>
        <v>2.785714285714286</v>
      </c>
      <c r="R231" s="92">
        <f>O231/(L231-R230)</f>
        <v>1.0540540540540542</v>
      </c>
      <c r="S231" s="92">
        <f>O231/(L231-S230)</f>
        <v>1.0833333333333333</v>
      </c>
      <c r="T231" s="92">
        <f>O231/(L231-T230)</f>
        <v>1.1142857142857143</v>
      </c>
      <c r="U231" s="93">
        <f>O231/(L231-U230)</f>
        <v>1.1470588235294117</v>
      </c>
      <c r="V231" s="102">
        <f>SUM(Q231:U231)</f>
        <v>7.1844462109167981</v>
      </c>
      <c r="W231" s="88">
        <v>1</v>
      </c>
      <c r="X231" s="385">
        <f>(Q231/V231*100+Q216)*$L231</f>
        <v>46.561738179713572</v>
      </c>
      <c r="Y231" s="386">
        <f>(R231/V231*100+R216)*L231</f>
        <v>23.445981252620971</v>
      </c>
      <c r="Z231" s="386">
        <f>(S231/V231*100+S216)*L231</f>
        <v>24.107855910468317</v>
      </c>
      <c r="AA231" s="386">
        <f>(T231/V231*100+T216)*L231</f>
        <v>24.162473049663205</v>
      </c>
      <c r="AB231" s="387">
        <f>(U231/V231*100+U216)*L231</f>
        <v>25.700237779882055</v>
      </c>
      <c r="AG231" s="86" t="s">
        <v>39</v>
      </c>
      <c r="AL231" s="96" t="s">
        <v>13</v>
      </c>
      <c r="AM231" s="39">
        <v>6</v>
      </c>
      <c r="AN231" s="465">
        <f>AN23</f>
        <v>1</v>
      </c>
      <c r="AP231" s="88">
        <v>1</v>
      </c>
      <c r="AQ231" s="89">
        <v>4</v>
      </c>
      <c r="AR231" s="90"/>
      <c r="AS231" s="91">
        <f>AQ231/(AN231-AS230)</f>
        <v>7.225806451612903</v>
      </c>
      <c r="AT231" s="92">
        <f>AQ231/(AN231-AT230)</f>
        <v>7.225806451612903</v>
      </c>
      <c r="AU231" s="92">
        <f>AQ231/(AN231-AU230)</f>
        <v>4.0727272727272732</v>
      </c>
      <c r="AV231" s="92">
        <f>AQ231/(AN231-AV230)</f>
        <v>4.1481481481481479</v>
      </c>
      <c r="AW231" s="93">
        <f>AQ231/(AN231-AW230)</f>
        <v>4.2264150943396226</v>
      </c>
      <c r="AX231" s="102">
        <f>SUM(AS231:AW231)</f>
        <v>26.898903418440849</v>
      </c>
      <c r="AY231" s="199">
        <v>1</v>
      </c>
      <c r="AZ231" s="385">
        <f t="shared" ref="AZ231:AZ242" si="434">(AS231/AX231*100+AS216)*AN231</f>
        <v>34.491034215353601</v>
      </c>
      <c r="BA231" s="386">
        <f>(AT231/AX231*100+AT216)*AN231</f>
        <v>35.74342610207384</v>
      </c>
      <c r="BB231" s="386">
        <f>(AU231/AX231*100+AU216)*AN231</f>
        <v>24.294713457511659</v>
      </c>
      <c r="BC231" s="386">
        <f>(AV231/AX231*100+AV216)*AN231</f>
        <v>23.921253735214862</v>
      </c>
      <c r="BD231" s="387">
        <f>(AW231/AX231*100+AW216)*AN231</f>
        <v>25.628887453489362</v>
      </c>
      <c r="BI231" s="86" t="s">
        <v>39</v>
      </c>
      <c r="BN231" s="96" t="s">
        <v>13</v>
      </c>
      <c r="BO231" s="39">
        <v>5</v>
      </c>
      <c r="BP231" s="465">
        <f>BP23</f>
        <v>1</v>
      </c>
      <c r="BR231" s="88">
        <v>1</v>
      </c>
      <c r="BS231" s="95">
        <v>2</v>
      </c>
      <c r="BT231" s="90"/>
      <c r="BU231" s="91">
        <f>BS231/(BP231-BU230)</f>
        <v>2.8461538461538463</v>
      </c>
      <c r="BV231" s="92">
        <f>BS231/(BP231-BV230)</f>
        <v>2.96</v>
      </c>
      <c r="BW231" s="92">
        <f>BS231/(BP231-BW230)</f>
        <v>3.0204081632653059</v>
      </c>
      <c r="BX231" s="92">
        <f>BS231/(BP231-BX230)</f>
        <v>2.0273972602739727</v>
      </c>
      <c r="BY231" s="93">
        <f>BS231/(BP231-BY230)</f>
        <v>2.0555555555555554</v>
      </c>
      <c r="BZ231" s="102">
        <f>SUM(BU231:BY231)</f>
        <v>12.90951482524868</v>
      </c>
      <c r="CA231" s="210">
        <v>1</v>
      </c>
      <c r="CB231" s="385">
        <f t="shared" ref="CB231:CB242" si="435">(BU231/BZ231*100+BU216)*BP231</f>
        <v>29.664593707719142</v>
      </c>
      <c r="CC231" s="386">
        <f>(BV231/BZ231*100+BV216)*BP231</f>
        <v>31.708485531800591</v>
      </c>
      <c r="CD231" s="386">
        <f>(BW231/BZ231*100+BW216)*BP231</f>
        <v>32.484479007277692</v>
      </c>
      <c r="CE231" s="386">
        <f>(BX231/BZ231*100+BX216)*BP231</f>
        <v>24.338007658574046</v>
      </c>
      <c r="CF231" s="387">
        <f>(BY231/BZ231*100+BY216)*BP231</f>
        <v>25.884333263518627</v>
      </c>
      <c r="CK231" s="86" t="s">
        <v>39</v>
      </c>
      <c r="CP231" s="96" t="s">
        <v>13</v>
      </c>
      <c r="CQ231" s="97">
        <v>4</v>
      </c>
      <c r="CR231" s="465">
        <f>CR23</f>
        <v>1</v>
      </c>
      <c r="CT231" s="88">
        <v>1</v>
      </c>
      <c r="CU231" s="95">
        <v>8</v>
      </c>
      <c r="CV231" s="90"/>
      <c r="CW231" s="91">
        <f>CU231/(CR231-CW230)</f>
        <v>10.301369863013697</v>
      </c>
      <c r="CX231" s="92">
        <f>CU231/(CR231-CX230)</f>
        <v>10.591549295774648</v>
      </c>
      <c r="CY231" s="92">
        <f>CU231/(CR231-CY230)</f>
        <v>10.742857142857142</v>
      </c>
      <c r="CZ231" s="92">
        <f>CU231/(CR231-CZ230)</f>
        <v>10.898550724637682</v>
      </c>
      <c r="DA231" s="93">
        <f>CU231/(CR231-DA230)</f>
        <v>8.086021505376344</v>
      </c>
      <c r="DB231" s="102">
        <f>SUM(CW231:DA231)</f>
        <v>50.620348531659509</v>
      </c>
      <c r="DC231" s="210">
        <v>1</v>
      </c>
      <c r="DD231" s="385">
        <f t="shared" ref="DD231:DD242" si="436">(CW231/DB231*100+CW216)*CR231</f>
        <v>27.897129713420053</v>
      </c>
      <c r="DE231" s="386">
        <f>(CX231/DB231*100+CX216)*CR231</f>
        <v>29.705319506883871</v>
      </c>
      <c r="DF231" s="386">
        <f>(CY231/DB231*100+CY216)*CR231</f>
        <v>30.335616034022152</v>
      </c>
      <c r="DG231" s="386">
        <f>(CZ231/DB231*100+CZ216)*CR231</f>
        <v>30.154979624342957</v>
      </c>
      <c r="DH231" s="387">
        <f>(DA231/DB231*100+DA216)*CR231</f>
        <v>26.036355850318969</v>
      </c>
      <c r="DM231" s="86" t="s">
        <v>39</v>
      </c>
      <c r="DR231" s="96" t="s">
        <v>13</v>
      </c>
      <c r="DS231" s="103">
        <v>3</v>
      </c>
      <c r="DT231" s="465">
        <f>DT23</f>
        <v>1</v>
      </c>
      <c r="DV231" s="88">
        <v>1</v>
      </c>
      <c r="DW231" s="95">
        <v>5</v>
      </c>
      <c r="DX231" s="90"/>
      <c r="DY231" s="91">
        <f>DW231/(DT231-DY230)</f>
        <v>6.0638297872340425</v>
      </c>
      <c r="DZ231" s="92">
        <f>DW231/(DT231-DZ230)</f>
        <v>6.195652173913043</v>
      </c>
      <c r="EA231" s="92">
        <f>DW231/(DT231-EA230)</f>
        <v>6.2637362637362637</v>
      </c>
      <c r="EB231" s="92">
        <f>DW231/(DT231-EB230)</f>
        <v>6.333333333333333</v>
      </c>
      <c r="EC231" s="93">
        <f>DW231/(DT231-EC230)</f>
        <v>6.404494382022472</v>
      </c>
      <c r="ED231" s="102">
        <f>SUM(DY231:EC231)</f>
        <v>31.26104594023915</v>
      </c>
      <c r="EE231" s="210">
        <v>1</v>
      </c>
      <c r="EF231" s="24">
        <f>DY231/ED231*100+DY216</f>
        <v>26.864065585519519</v>
      </c>
      <c r="EG231" s="25">
        <f>DZ231/ED231*100+DZ216</f>
        <v>28.603395229535501</v>
      </c>
      <c r="EH231" s="25">
        <f>EA231/ED231*100+EA216</f>
        <v>29.179730751342507</v>
      </c>
      <c r="EI231" s="25">
        <f>EB231/ED231*100+EB216</f>
        <v>28.874890152853148</v>
      </c>
      <c r="EJ231" s="26">
        <f>EC231/ED231*100+EC216</f>
        <v>30.668958612966136</v>
      </c>
    </row>
    <row r="232" spans="5:140" x14ac:dyDescent="0.2">
      <c r="E232" s="86" t="s">
        <v>39</v>
      </c>
      <c r="J232" s="96" t="s">
        <v>1</v>
      </c>
      <c r="K232" s="97">
        <v>9</v>
      </c>
      <c r="L232" s="465">
        <f>L231</f>
        <v>1</v>
      </c>
      <c r="N232" s="88">
        <v>2</v>
      </c>
      <c r="O232" s="95">
        <v>4</v>
      </c>
      <c r="P232" s="90"/>
      <c r="Q232" s="99">
        <f>O232/(L232-Q230)</f>
        <v>11.142857142857144</v>
      </c>
      <c r="R232" s="100">
        <f>O232/(L232-R230)</f>
        <v>4.2162162162162167</v>
      </c>
      <c r="S232" s="100">
        <f>O232/(L232-S230)</f>
        <v>4.333333333333333</v>
      </c>
      <c r="T232" s="100">
        <f>O232/(L232-T230)</f>
        <v>4.4571428571428573</v>
      </c>
      <c r="U232" s="100">
        <f>O232/(L232-U230)</f>
        <v>4.5882352941176467</v>
      </c>
      <c r="V232" s="102">
        <f t="shared" ref="V232:V242" si="437">SUM(Q232:U232)</f>
        <v>28.737784843667193</v>
      </c>
      <c r="W232" s="88">
        <v>2</v>
      </c>
      <c r="X232" s="32">
        <f t="shared" ref="X232:X242" si="438">(Q232/V232*100+Q217)*$L232</f>
        <v>47.674238179713569</v>
      </c>
      <c r="Y232" s="38">
        <f t="shared" ref="Y232:Y242" si="439">(R232/V232*100+R217)*L232</f>
        <v>24.699502379381535</v>
      </c>
      <c r="Z232" s="38">
        <f t="shared" ref="Z232:Z242" si="440">(S232/V232*100+S217)*L232</f>
        <v>25.397710982932086</v>
      </c>
      <c r="AA232" s="38">
        <f t="shared" ref="AA232:AA242" si="441">(T232/V232*100+T217)*L232</f>
        <v>25.398584160774316</v>
      </c>
      <c r="AB232" s="39">
        <f t="shared" ref="AB232:AB242" si="442">(U232/V232*100+U217)*L232</f>
        <v>27.090862779882055</v>
      </c>
      <c r="AG232" s="86" t="s">
        <v>39</v>
      </c>
      <c r="AL232" s="96" t="s">
        <v>1</v>
      </c>
      <c r="AM232" s="97">
        <v>7</v>
      </c>
      <c r="AN232" s="465">
        <f>AN231</f>
        <v>1</v>
      </c>
      <c r="AP232" s="88">
        <v>2</v>
      </c>
      <c r="AQ232" s="95">
        <v>2</v>
      </c>
      <c r="AR232" s="90"/>
      <c r="AS232" s="99">
        <f>AQ232/(AN232-AS230)</f>
        <v>3.6129032258064515</v>
      </c>
      <c r="AT232" s="100">
        <f>AQ232/(AN232-AT230)</f>
        <v>3.6129032258064515</v>
      </c>
      <c r="AU232" s="100">
        <f>AQ232/(AN232-AU230)</f>
        <v>2.0363636363636366</v>
      </c>
      <c r="AV232" s="100">
        <f>AQ232/(AN232-AV230)</f>
        <v>2.074074074074074</v>
      </c>
      <c r="AW232" s="100">
        <f>AQ232/(AN232-AW230)</f>
        <v>2.1132075471698113</v>
      </c>
      <c r="AX232" s="102">
        <f t="shared" ref="AX232:AX242" si="443">SUM(AS232:AW232)</f>
        <v>13.449451709220424</v>
      </c>
      <c r="AY232" s="98">
        <v>2</v>
      </c>
      <c r="AZ232" s="32">
        <f t="shared" si="434"/>
        <v>35.580777805097185</v>
      </c>
      <c r="BA232" s="38">
        <f t="shared" ref="BA232:BA242" si="444">(AT232/AX232*100+AT217)*AN232</f>
        <v>37.012082818491756</v>
      </c>
      <c r="BB232" s="38">
        <f t="shared" ref="BB232:BB242" si="445">(AU232/AX232*100+AU217)*AN232</f>
        <v>25.602405765203965</v>
      </c>
      <c r="BC232" s="38">
        <f t="shared" ref="BC232:BC242" si="446">(AV232/AX232*100+AV217)*AN232</f>
        <v>25.135539449500577</v>
      </c>
      <c r="BD232" s="39">
        <f t="shared" ref="BD232:BD242" si="447">(AW232/AX232*100+AW217)*AN232</f>
        <v>27.045554120156027</v>
      </c>
      <c r="BI232" s="86" t="s">
        <v>39</v>
      </c>
      <c r="BN232" s="96" t="s">
        <v>1</v>
      </c>
      <c r="BO232" s="97">
        <v>6</v>
      </c>
      <c r="BP232" s="465">
        <f>BP231</f>
        <v>1</v>
      </c>
      <c r="BR232" s="88">
        <v>2</v>
      </c>
      <c r="BS232" s="95">
        <v>8</v>
      </c>
      <c r="BT232" s="90"/>
      <c r="BU232" s="99">
        <f>BS232/(BP232-BU230)</f>
        <v>11.384615384615385</v>
      </c>
      <c r="BV232" s="100">
        <f>BS232/(BP232-BV230)</f>
        <v>11.84</v>
      </c>
      <c r="BW232" s="100">
        <f>BS232/(BP232-BW230)</f>
        <v>12.081632653061224</v>
      </c>
      <c r="BX232" s="100">
        <f>BS232/(BP232-BX230)</f>
        <v>8.1095890410958908</v>
      </c>
      <c r="BY232" s="100">
        <f>BS232/(BP232-BY230)</f>
        <v>8.2222222222222214</v>
      </c>
      <c r="BZ232" s="102">
        <f t="shared" ref="BZ232:BZ242" si="448">SUM(BU232:BY232)</f>
        <v>51.638059300994719</v>
      </c>
      <c r="CA232" s="211">
        <v>2</v>
      </c>
      <c r="CB232" s="32">
        <f t="shared" si="435"/>
        <v>30.75282900183679</v>
      </c>
      <c r="CC232" s="38">
        <f t="shared" ref="CC232:CC242" si="449">(BV232/BZ232*100+BV217)*BP232</f>
        <v>32.962722819936182</v>
      </c>
      <c r="CD232" s="38">
        <f t="shared" ref="CD232:CD242" si="450">(BW232/BZ232*100+BW217)*BP232</f>
        <v>33.782724621312781</v>
      </c>
      <c r="CE232" s="38">
        <f t="shared" ref="CE232:CE242" si="451">(BX232/BZ232*100+BX217)*BP232</f>
        <v>25.571340991907377</v>
      </c>
      <c r="CF232" s="39">
        <f t="shared" ref="CF232:CF242" si="452">(BY232/BZ232*100+BY217)*BP232</f>
        <v>27.307410186595547</v>
      </c>
      <c r="CK232" s="86" t="s">
        <v>39</v>
      </c>
      <c r="CP232" s="96" t="s">
        <v>1</v>
      </c>
      <c r="CQ232" s="39">
        <v>5</v>
      </c>
      <c r="CR232" s="465">
        <f>CR231</f>
        <v>1</v>
      </c>
      <c r="CT232" s="88">
        <v>2</v>
      </c>
      <c r="CU232" s="95">
        <v>5</v>
      </c>
      <c r="CV232" s="90"/>
      <c r="CW232" s="99">
        <f>CU232/(CR232-CW230)</f>
        <v>6.4383561643835607</v>
      </c>
      <c r="CX232" s="100">
        <f>CU232/(CR232-CX230)</f>
        <v>6.619718309859155</v>
      </c>
      <c r="CY232" s="100">
        <f>CU232/(CR232-CY230)</f>
        <v>6.7142857142857135</v>
      </c>
      <c r="CZ232" s="100">
        <f>CU232/(CR232-CZ230)</f>
        <v>6.8115942028985508</v>
      </c>
      <c r="DA232" s="100">
        <f>CU232/(CR232-DA230)</f>
        <v>5.053763440860215</v>
      </c>
      <c r="DB232" s="102">
        <f t="shared" ref="DB232:DB242" si="453">SUM(CW232:DA232)</f>
        <v>31.637717832287198</v>
      </c>
      <c r="DC232" s="211">
        <v>2</v>
      </c>
      <c r="DD232" s="32">
        <f t="shared" si="436"/>
        <v>28.97525471342005</v>
      </c>
      <c r="DE232" s="38">
        <f t="shared" ref="DE232:DE242" si="454">(CX232/DB232*100+CX217)*CR232</f>
        <v>30.959864961429325</v>
      </c>
      <c r="DF232" s="38">
        <f t="shared" ref="DF232:DF242" si="455">(CY232/DB232*100+CY217)*CR232</f>
        <v>31.637502826474979</v>
      </c>
      <c r="DG232" s="38">
        <f t="shared" ref="DG232:DG242" si="456">(CZ232/DB232*100+CZ217)*CR232</f>
        <v>31.387122481485811</v>
      </c>
      <c r="DH232" s="39">
        <f t="shared" ref="DH232:DH242" si="457">(DA232/DB232*100+DA217)*CR232</f>
        <v>27.473855850318966</v>
      </c>
      <c r="DM232" s="86" t="s">
        <v>39</v>
      </c>
      <c r="DR232" s="96" t="s">
        <v>1</v>
      </c>
      <c r="DS232" s="101">
        <v>4</v>
      </c>
      <c r="DT232" s="465">
        <f>DT231</f>
        <v>1</v>
      </c>
      <c r="DV232" s="88">
        <v>2</v>
      </c>
      <c r="DW232" s="95">
        <v>7</v>
      </c>
      <c r="DX232" s="90"/>
      <c r="DY232" s="99">
        <f>DW232/(DT232-DY230)</f>
        <v>8.4893617021276597</v>
      </c>
      <c r="DZ232" s="100">
        <f>DW232/(DT232-DZ230)</f>
        <v>8.6739130434782599</v>
      </c>
      <c r="EA232" s="100">
        <f>DW232/(DT232-EA230)</f>
        <v>8.7692307692307683</v>
      </c>
      <c r="EB232" s="100">
        <f>DW232/(DT232-EB230)</f>
        <v>8.8666666666666671</v>
      </c>
      <c r="EC232" s="100">
        <f>DW232/(DT232-EC230)</f>
        <v>8.9662921348314608</v>
      </c>
      <c r="ED232" s="102">
        <f t="shared" ref="ED232:ED242" si="458">SUM(DY232:EC232)</f>
        <v>43.765464316334814</v>
      </c>
      <c r="EE232" s="211">
        <v>2</v>
      </c>
      <c r="EF232" s="32">
        <f t="shared" ref="EF232:EF242" si="459">DY232/ED232*100+DY217</f>
        <v>27.930732252186182</v>
      </c>
      <c r="EG232" s="38">
        <f t="shared" ref="EG232:EG242" si="460">DZ232/ED232*100+DZ217</f>
        <v>29.858297190319814</v>
      </c>
      <c r="EH232" s="38">
        <f t="shared" ref="EH232:EH242" si="461">EA232/ED232*100+EA217</f>
        <v>30.485853200322097</v>
      </c>
      <c r="EI232" s="38">
        <f t="shared" ref="EI232:EI242" si="462">EB232/ED232*100+EB217</f>
        <v>30.105659383622381</v>
      </c>
      <c r="EJ232" s="39">
        <f t="shared" ref="EJ232:EJ242" si="463">EC232/ED232*100+EC217</f>
        <v>32.12350406751159</v>
      </c>
    </row>
    <row r="233" spans="5:140" x14ac:dyDescent="0.2">
      <c r="E233" s="86" t="s">
        <v>39</v>
      </c>
      <c r="J233" s="96" t="s">
        <v>4</v>
      </c>
      <c r="K233" s="39">
        <v>10</v>
      </c>
      <c r="L233" s="465">
        <f t="shared" ref="L233:L242" si="464">L232</f>
        <v>1</v>
      </c>
      <c r="N233" s="88">
        <v>3</v>
      </c>
      <c r="O233" s="95">
        <v>2</v>
      </c>
      <c r="P233" s="90"/>
      <c r="Q233" s="99">
        <f>O233/(L233-Q230)</f>
        <v>5.5714285714285721</v>
      </c>
      <c r="R233" s="100">
        <f>O233/(L233-R230)</f>
        <v>2.1081081081081083</v>
      </c>
      <c r="S233" s="100">
        <f>O233/(L233-S230)</f>
        <v>2.1666666666666665</v>
      </c>
      <c r="T233" s="100">
        <f>O233/(L233-T230)</f>
        <v>2.2285714285714286</v>
      </c>
      <c r="U233" s="100">
        <f>O233/(L233-U230)</f>
        <v>2.2941176470588234</v>
      </c>
      <c r="V233" s="102">
        <f t="shared" si="437"/>
        <v>14.368892421833596</v>
      </c>
      <c r="W233" s="88">
        <v>3</v>
      </c>
      <c r="X233" s="32">
        <f t="shared" si="438"/>
        <v>48.786738179713574</v>
      </c>
      <c r="Y233" s="38">
        <f t="shared" si="439"/>
        <v>25.953023506142099</v>
      </c>
      <c r="Z233" s="38">
        <f t="shared" si="440"/>
        <v>26.687566055395855</v>
      </c>
      <c r="AA233" s="38">
        <f t="shared" si="441"/>
        <v>26.634695271885427</v>
      </c>
      <c r="AB233" s="39">
        <f t="shared" si="442"/>
        <v>28.481487779882055</v>
      </c>
      <c r="AG233" s="86" t="s">
        <v>39</v>
      </c>
      <c r="AL233" s="96" t="s">
        <v>4</v>
      </c>
      <c r="AM233" s="39">
        <v>8</v>
      </c>
      <c r="AN233" s="465">
        <f t="shared" ref="AN233:AN242" si="465">AN232</f>
        <v>1</v>
      </c>
      <c r="AP233" s="88">
        <v>3</v>
      </c>
      <c r="AQ233" s="95">
        <v>8</v>
      </c>
      <c r="AR233" s="90"/>
      <c r="AS233" s="99">
        <f>AQ233/(AN233-AS230)</f>
        <v>14.451612903225806</v>
      </c>
      <c r="AT233" s="100">
        <f>AQ233/(AN233-AT230)</f>
        <v>14.451612903225806</v>
      </c>
      <c r="AU233" s="100">
        <f>AQ233/(AN233-AU230)</f>
        <v>8.1454545454545464</v>
      </c>
      <c r="AV233" s="100">
        <f>AQ233/(AN233-AV230)</f>
        <v>8.2962962962962958</v>
      </c>
      <c r="AW233" s="100">
        <f>AQ233/(AN233-AW230)</f>
        <v>8.4528301886792452</v>
      </c>
      <c r="AX233" s="102">
        <f t="shared" si="443"/>
        <v>53.797806836881698</v>
      </c>
      <c r="AY233" s="98">
        <v>3</v>
      </c>
      <c r="AZ233" s="32">
        <f t="shared" si="434"/>
        <v>36.670521394840776</v>
      </c>
      <c r="BA233" s="38">
        <f t="shared" si="444"/>
        <v>38.280739534909664</v>
      </c>
      <c r="BB233" s="38">
        <f t="shared" si="445"/>
        <v>26.910098072896275</v>
      </c>
      <c r="BC233" s="38">
        <f t="shared" si="446"/>
        <v>26.349825163786292</v>
      </c>
      <c r="BD233" s="39">
        <f t="shared" si="447"/>
        <v>28.462220786822694</v>
      </c>
      <c r="BI233" s="86" t="s">
        <v>39</v>
      </c>
      <c r="BN233" s="96" t="s">
        <v>4</v>
      </c>
      <c r="BO233" s="39">
        <v>7</v>
      </c>
      <c r="BP233" s="465">
        <f t="shared" ref="BP233:BP242" si="466">BP232</f>
        <v>1</v>
      </c>
      <c r="BR233" s="88">
        <v>3</v>
      </c>
      <c r="BS233" s="95">
        <v>5</v>
      </c>
      <c r="BT233" s="90"/>
      <c r="BU233" s="99">
        <f>BS233/(BP233-BU230)</f>
        <v>7.1153846153846159</v>
      </c>
      <c r="BV233" s="100">
        <f>BS233/(BP233-BV230)</f>
        <v>7.4</v>
      </c>
      <c r="BW233" s="100">
        <f>BS233/(BP233-BW230)</f>
        <v>7.5510204081632653</v>
      </c>
      <c r="BX233" s="100">
        <f>BS233/(BP233-BX230)</f>
        <v>5.0684931506849313</v>
      </c>
      <c r="BY233" s="100">
        <f>BS233/(BP233-BY230)</f>
        <v>5.1388888888888884</v>
      </c>
      <c r="BZ233" s="102">
        <f t="shared" si="448"/>
        <v>32.273787063121695</v>
      </c>
      <c r="CA233" s="211">
        <v>3</v>
      </c>
      <c r="CB233" s="32">
        <f t="shared" si="435"/>
        <v>31.841064295954446</v>
      </c>
      <c r="CC233" s="38">
        <f t="shared" si="449"/>
        <v>34.216960108071781</v>
      </c>
      <c r="CD233" s="38">
        <f t="shared" si="450"/>
        <v>35.08097023534787</v>
      </c>
      <c r="CE233" s="38">
        <f t="shared" si="451"/>
        <v>26.804674325240711</v>
      </c>
      <c r="CF233" s="39">
        <f t="shared" si="452"/>
        <v>28.730487109672474</v>
      </c>
      <c r="CK233" s="86" t="s">
        <v>39</v>
      </c>
      <c r="CP233" s="96" t="s">
        <v>4</v>
      </c>
      <c r="CQ233" s="97">
        <v>6</v>
      </c>
      <c r="CR233" s="465">
        <f t="shared" ref="CR233:CR242" si="467">CR232</f>
        <v>1</v>
      </c>
      <c r="CT233" s="88">
        <v>3</v>
      </c>
      <c r="CU233" s="95">
        <v>7</v>
      </c>
      <c r="CV233" s="90"/>
      <c r="CW233" s="99">
        <f>CU233/(CR233-CW230)</f>
        <v>9.0136986301369859</v>
      </c>
      <c r="CX233" s="100">
        <f>CU233/(CR233-CX230)</f>
        <v>9.2676056338028161</v>
      </c>
      <c r="CY233" s="100">
        <f>CU233/(CR233-CY230)</f>
        <v>9.3999999999999986</v>
      </c>
      <c r="CZ233" s="100">
        <f>CU233/(CR233-CZ230)</f>
        <v>9.5362318840579707</v>
      </c>
      <c r="DA233" s="100">
        <f>CU233/(CR233-DA230)</f>
        <v>7.075268817204301</v>
      </c>
      <c r="DB233" s="102">
        <f t="shared" si="453"/>
        <v>44.292804965202073</v>
      </c>
      <c r="DC233" s="211">
        <v>3</v>
      </c>
      <c r="DD233" s="32">
        <f t="shared" si="436"/>
        <v>30.053379713420053</v>
      </c>
      <c r="DE233" s="38">
        <f t="shared" si="454"/>
        <v>32.214410415974783</v>
      </c>
      <c r="DF233" s="38">
        <f t="shared" si="455"/>
        <v>32.939389618927812</v>
      </c>
      <c r="DG233" s="38">
        <f t="shared" si="456"/>
        <v>32.619265338628665</v>
      </c>
      <c r="DH233" s="39">
        <f t="shared" si="457"/>
        <v>28.911355850318966</v>
      </c>
      <c r="DM233" s="86" t="s">
        <v>39</v>
      </c>
      <c r="DR233" s="96" t="s">
        <v>4</v>
      </c>
      <c r="DS233" s="103">
        <v>5</v>
      </c>
      <c r="DT233" s="465">
        <f t="shared" ref="DT233:DT242" si="468">DT232</f>
        <v>1</v>
      </c>
      <c r="DV233" s="88">
        <v>3</v>
      </c>
      <c r="DW233" s="95">
        <v>1</v>
      </c>
      <c r="DX233" s="90"/>
      <c r="DY233" s="99">
        <f>DW233/(DT233-DY230)</f>
        <v>1.2127659574468086</v>
      </c>
      <c r="DZ233" s="100">
        <f>DW233/(DT233-DZ230)</f>
        <v>1.2391304347826086</v>
      </c>
      <c r="EA233" s="100">
        <f>DW233/(DT233-EA230)</f>
        <v>1.2527472527472527</v>
      </c>
      <c r="EB233" s="100">
        <f>DW233/(DT233-EB230)</f>
        <v>1.2666666666666666</v>
      </c>
      <c r="EC233" s="100">
        <f>DW233/(DT233-EC230)</f>
        <v>1.2808988764044944</v>
      </c>
      <c r="ED233" s="102">
        <f t="shared" si="458"/>
        <v>6.2522091880478312</v>
      </c>
      <c r="EE233" s="211">
        <v>3</v>
      </c>
      <c r="EF233" s="32">
        <f t="shared" si="459"/>
        <v>28.997398918852852</v>
      </c>
      <c r="EG233" s="38">
        <f t="shared" si="460"/>
        <v>31.113199151104126</v>
      </c>
      <c r="EH233" s="38">
        <f t="shared" si="461"/>
        <v>31.791975649301691</v>
      </c>
      <c r="EI233" s="38">
        <f t="shared" si="462"/>
        <v>31.336428614391608</v>
      </c>
      <c r="EJ233" s="39">
        <f t="shared" si="463"/>
        <v>33.578049522057043</v>
      </c>
    </row>
    <row r="234" spans="5:140" x14ac:dyDescent="0.2">
      <c r="E234" s="86" t="s">
        <v>39</v>
      </c>
      <c r="J234" s="96" t="s">
        <v>10</v>
      </c>
      <c r="K234" s="97">
        <v>11</v>
      </c>
      <c r="L234" s="465">
        <f t="shared" si="464"/>
        <v>1</v>
      </c>
      <c r="N234" s="88">
        <v>4</v>
      </c>
      <c r="O234" s="95">
        <v>8</v>
      </c>
      <c r="P234" s="90"/>
      <c r="Q234" s="99">
        <f>O234/(L234-Q230)</f>
        <v>22.285714285714288</v>
      </c>
      <c r="R234" s="100">
        <f>O234/(L234-R230)</f>
        <v>8.4324324324324333</v>
      </c>
      <c r="S234" s="100">
        <f>O234/(L234-S230)</f>
        <v>8.6666666666666661</v>
      </c>
      <c r="T234" s="104">
        <f>O234/(L234-T230)</f>
        <v>8.9142857142857146</v>
      </c>
      <c r="U234" s="100">
        <f>O234/(L234-U230)</f>
        <v>9.1764705882352935</v>
      </c>
      <c r="V234" s="102">
        <f t="shared" si="437"/>
        <v>57.475569687334385</v>
      </c>
      <c r="W234" s="88">
        <v>4</v>
      </c>
      <c r="X234" s="32">
        <f t="shared" si="438"/>
        <v>48.786738179713574</v>
      </c>
      <c r="Y234" s="38">
        <f t="shared" si="439"/>
        <v>25.953023506142099</v>
      </c>
      <c r="Z234" s="38">
        <f t="shared" si="440"/>
        <v>26.687566055395855</v>
      </c>
      <c r="AA234" s="38">
        <f t="shared" si="441"/>
        <v>26.634695271885427</v>
      </c>
      <c r="AB234" s="39">
        <f t="shared" si="442"/>
        <v>28.481487779882055</v>
      </c>
      <c r="AG234" s="86" t="s">
        <v>39</v>
      </c>
      <c r="AL234" s="96" t="s">
        <v>10</v>
      </c>
      <c r="AM234" s="97">
        <v>9</v>
      </c>
      <c r="AN234" s="465">
        <f t="shared" si="465"/>
        <v>1</v>
      </c>
      <c r="AP234" s="88">
        <v>4</v>
      </c>
      <c r="AQ234" s="95">
        <v>5</v>
      </c>
      <c r="AR234" s="90"/>
      <c r="AS234" s="99">
        <f>AQ234/(AN234-AS230)</f>
        <v>9.0322580645161281</v>
      </c>
      <c r="AT234" s="100">
        <f>AQ234/(AN234-AT230)</f>
        <v>9.0322580645161281</v>
      </c>
      <c r="AU234" s="100">
        <f>AQ234/(AN234-AU230)</f>
        <v>5.0909090909090908</v>
      </c>
      <c r="AV234" s="104">
        <f>AQ234/(AN234-AV230)</f>
        <v>5.1851851851851851</v>
      </c>
      <c r="AW234" s="100">
        <f>AQ234/(AN234-AW230)</f>
        <v>5.2830188679245289</v>
      </c>
      <c r="AX234" s="102">
        <f t="shared" si="443"/>
        <v>33.623629273051066</v>
      </c>
      <c r="AY234" s="98">
        <v>4</v>
      </c>
      <c r="AZ234" s="32">
        <f t="shared" si="434"/>
        <v>36.670521394840776</v>
      </c>
      <c r="BA234" s="38">
        <f t="shared" si="444"/>
        <v>38.280739534909657</v>
      </c>
      <c r="BB234" s="38">
        <f t="shared" si="445"/>
        <v>26.910098072896268</v>
      </c>
      <c r="BC234" s="38">
        <f t="shared" si="446"/>
        <v>26.349825163786292</v>
      </c>
      <c r="BD234" s="39">
        <f t="shared" si="447"/>
        <v>28.462220786822694</v>
      </c>
      <c r="BI234" s="86" t="s">
        <v>39</v>
      </c>
      <c r="BN234" s="96" t="s">
        <v>10</v>
      </c>
      <c r="BO234" s="97">
        <v>8</v>
      </c>
      <c r="BP234" s="465">
        <f t="shared" si="466"/>
        <v>1</v>
      </c>
      <c r="BR234" s="88">
        <v>4</v>
      </c>
      <c r="BS234" s="95">
        <v>7</v>
      </c>
      <c r="BT234" s="90"/>
      <c r="BU234" s="99">
        <f>BS234/(BP234-BU230)</f>
        <v>9.9615384615384617</v>
      </c>
      <c r="BV234" s="100">
        <f>BS234/(BP234-BV230)</f>
        <v>10.36</v>
      </c>
      <c r="BW234" s="100">
        <f>BS234/(BP234-BW230)</f>
        <v>10.571428571428571</v>
      </c>
      <c r="BX234" s="104">
        <f>BS234/(BP234-BX230)</f>
        <v>7.095890410958904</v>
      </c>
      <c r="BY234" s="100">
        <f>BS234/(BP234-BY230)</f>
        <v>7.1944444444444438</v>
      </c>
      <c r="BZ234" s="102">
        <f t="shared" si="448"/>
        <v>45.183301888370373</v>
      </c>
      <c r="CA234" s="211">
        <v>4</v>
      </c>
      <c r="CB234" s="32">
        <f t="shared" si="435"/>
        <v>31.841064295954439</v>
      </c>
      <c r="CC234" s="38">
        <f t="shared" si="449"/>
        <v>34.216960108071774</v>
      </c>
      <c r="CD234" s="38">
        <f t="shared" si="450"/>
        <v>35.08097023534787</v>
      </c>
      <c r="CE234" s="38">
        <f t="shared" si="451"/>
        <v>26.804674325240715</v>
      </c>
      <c r="CF234" s="39">
        <f t="shared" si="452"/>
        <v>28.730487109672474</v>
      </c>
      <c r="CK234" s="86" t="s">
        <v>39</v>
      </c>
      <c r="CP234" s="96" t="s">
        <v>10</v>
      </c>
      <c r="CQ234" s="39">
        <v>7</v>
      </c>
      <c r="CR234" s="465">
        <f t="shared" si="467"/>
        <v>1</v>
      </c>
      <c r="CT234" s="88">
        <v>4</v>
      </c>
      <c r="CU234" s="95">
        <v>1</v>
      </c>
      <c r="CV234" s="90"/>
      <c r="CW234" s="99">
        <f>CU234/(CR234-CW230)</f>
        <v>1.2876712328767121</v>
      </c>
      <c r="CX234" s="100">
        <f>CU234/(CR234-CX230)</f>
        <v>1.323943661971831</v>
      </c>
      <c r="CY234" s="100">
        <f>CU234/(CR234-CY230)</f>
        <v>1.3428571428571427</v>
      </c>
      <c r="CZ234" s="104">
        <f>CU234/(CR234-CZ230)</f>
        <v>1.3623188405797102</v>
      </c>
      <c r="DA234" s="100">
        <f>CU234/(CR234-DA230)</f>
        <v>1.010752688172043</v>
      </c>
      <c r="DB234" s="102">
        <f t="shared" si="453"/>
        <v>6.3275435664574387</v>
      </c>
      <c r="DC234" s="211">
        <v>4</v>
      </c>
      <c r="DD234" s="32">
        <f t="shared" si="436"/>
        <v>30.053379713420053</v>
      </c>
      <c r="DE234" s="38">
        <f t="shared" si="454"/>
        <v>32.214410415974783</v>
      </c>
      <c r="DF234" s="38">
        <f t="shared" si="455"/>
        <v>32.939389618927812</v>
      </c>
      <c r="DG234" s="38">
        <f t="shared" si="456"/>
        <v>32.619265338628672</v>
      </c>
      <c r="DH234" s="39">
        <f t="shared" si="457"/>
        <v>28.911355850318969</v>
      </c>
      <c r="DM234" s="86" t="s">
        <v>39</v>
      </c>
      <c r="DR234" s="96" t="s">
        <v>10</v>
      </c>
      <c r="DS234" s="101">
        <v>6</v>
      </c>
      <c r="DT234" s="465">
        <f t="shared" si="468"/>
        <v>1</v>
      </c>
      <c r="DV234" s="88">
        <v>4</v>
      </c>
      <c r="DW234" s="95">
        <v>4</v>
      </c>
      <c r="DX234" s="90"/>
      <c r="DY234" s="99">
        <f>DW234/(DT234-DY230)</f>
        <v>4.8510638297872344</v>
      </c>
      <c r="DZ234" s="100">
        <f>DW234/(DT234-DZ230)</f>
        <v>4.9565217391304346</v>
      </c>
      <c r="EA234" s="100">
        <f>DW234/(DT234-EA230)</f>
        <v>5.0109890109890109</v>
      </c>
      <c r="EB234" s="104">
        <f>DW234/(DT234-EB230)</f>
        <v>5.0666666666666664</v>
      </c>
      <c r="EC234" s="100">
        <f>DW234/(DT234-EC230)</f>
        <v>5.1235955056179776</v>
      </c>
      <c r="ED234" s="102">
        <f t="shared" si="458"/>
        <v>25.008836752191325</v>
      </c>
      <c r="EE234" s="211">
        <v>4</v>
      </c>
      <c r="EF234" s="32">
        <f t="shared" si="459"/>
        <v>28.997398918852852</v>
      </c>
      <c r="EG234" s="38">
        <f t="shared" si="460"/>
        <v>31.113199151104126</v>
      </c>
      <c r="EH234" s="38">
        <f t="shared" si="461"/>
        <v>31.791975649301691</v>
      </c>
      <c r="EI234" s="38">
        <f t="shared" si="462"/>
        <v>31.336428614391608</v>
      </c>
      <c r="EJ234" s="39">
        <f t="shared" si="463"/>
        <v>33.578049522057043</v>
      </c>
    </row>
    <row r="235" spans="5:140" x14ac:dyDescent="0.2">
      <c r="E235" s="86" t="s">
        <v>39</v>
      </c>
      <c r="J235" s="96" t="s">
        <v>5</v>
      </c>
      <c r="K235" s="97">
        <v>12</v>
      </c>
      <c r="L235" s="465">
        <f t="shared" si="464"/>
        <v>1</v>
      </c>
      <c r="N235" s="88">
        <v>5</v>
      </c>
      <c r="O235" s="95">
        <v>5</v>
      </c>
      <c r="P235" s="90"/>
      <c r="Q235" s="99">
        <f>O235/(L235-Q230)</f>
        <v>13.928571428571431</v>
      </c>
      <c r="R235" s="100">
        <f>O235/(L235-R230)</f>
        <v>5.2702702702702702</v>
      </c>
      <c r="S235" s="100">
        <f>O235/(L235-S230)</f>
        <v>5.4166666666666661</v>
      </c>
      <c r="T235" s="100">
        <f>O235/(L235-T230)</f>
        <v>5.5714285714285712</v>
      </c>
      <c r="U235" s="100">
        <f>O235/(L235-U230)</f>
        <v>5.7352941176470589</v>
      </c>
      <c r="V235" s="102">
        <f t="shared" si="437"/>
        <v>35.922231054583996</v>
      </c>
      <c r="W235" s="88">
        <v>5</v>
      </c>
      <c r="X235" s="32">
        <f t="shared" si="438"/>
        <v>47.674238179713562</v>
      </c>
      <c r="Y235" s="38">
        <f t="shared" si="439"/>
        <v>24.699502379381531</v>
      </c>
      <c r="Z235" s="38">
        <f t="shared" si="440"/>
        <v>25.397710982932082</v>
      </c>
      <c r="AA235" s="38">
        <f t="shared" si="441"/>
        <v>25.398584160774313</v>
      </c>
      <c r="AB235" s="39">
        <f t="shared" si="442"/>
        <v>27.090862779882052</v>
      </c>
      <c r="AG235" s="86" t="s">
        <v>39</v>
      </c>
      <c r="AL235" s="96" t="s">
        <v>5</v>
      </c>
      <c r="AM235" s="97">
        <v>10</v>
      </c>
      <c r="AN235" s="465">
        <f t="shared" si="465"/>
        <v>1</v>
      </c>
      <c r="AP235" s="88">
        <v>5</v>
      </c>
      <c r="AQ235" s="95">
        <v>7</v>
      </c>
      <c r="AR235" s="90"/>
      <c r="AS235" s="99">
        <f>AQ235/(AN235-AS230)</f>
        <v>12.64516129032258</v>
      </c>
      <c r="AT235" s="100">
        <f>AQ235/(AN235-AT230)</f>
        <v>12.64516129032258</v>
      </c>
      <c r="AU235" s="100">
        <f>AQ235/(AN235-AU230)</f>
        <v>7.1272727272727279</v>
      </c>
      <c r="AV235" s="100">
        <f>AQ235/(AN235-AV230)</f>
        <v>7.2592592592592595</v>
      </c>
      <c r="AW235" s="100">
        <f>AQ235/(AN235-AW230)</f>
        <v>7.3962264150943398</v>
      </c>
      <c r="AX235" s="102">
        <f t="shared" si="443"/>
        <v>47.073080982271485</v>
      </c>
      <c r="AY235" s="98">
        <v>5</v>
      </c>
      <c r="AZ235" s="32">
        <f t="shared" si="434"/>
        <v>35.580777805097185</v>
      </c>
      <c r="BA235" s="38">
        <f t="shared" si="444"/>
        <v>37.012082818491756</v>
      </c>
      <c r="BB235" s="38">
        <f t="shared" si="445"/>
        <v>25.602405765203965</v>
      </c>
      <c r="BC235" s="38">
        <f t="shared" si="446"/>
        <v>25.13553944950058</v>
      </c>
      <c r="BD235" s="39">
        <f t="shared" si="447"/>
        <v>27.045554120156027</v>
      </c>
      <c r="BI235" s="86" t="s">
        <v>39</v>
      </c>
      <c r="BN235" s="96" t="s">
        <v>5</v>
      </c>
      <c r="BO235" s="97">
        <v>9</v>
      </c>
      <c r="BP235" s="465">
        <f t="shared" si="466"/>
        <v>1</v>
      </c>
      <c r="BR235" s="88">
        <v>5</v>
      </c>
      <c r="BS235" s="95">
        <v>1</v>
      </c>
      <c r="BT235" s="90"/>
      <c r="BU235" s="99">
        <f>BS235/(BP235-BU230)</f>
        <v>1.4230769230769231</v>
      </c>
      <c r="BV235" s="100">
        <f>BS235/(BP235-BV230)</f>
        <v>1.48</v>
      </c>
      <c r="BW235" s="100">
        <f>BS235/(BP235-BW230)</f>
        <v>1.510204081632653</v>
      </c>
      <c r="BX235" s="100">
        <f>BS235/(BP235-BX230)</f>
        <v>1.0136986301369864</v>
      </c>
      <c r="BY235" s="100">
        <f>BS235/(BP235-BY230)</f>
        <v>1.0277777777777777</v>
      </c>
      <c r="BZ235" s="102">
        <f t="shared" si="448"/>
        <v>6.4547574126243399</v>
      </c>
      <c r="CA235" s="211">
        <v>5</v>
      </c>
      <c r="CB235" s="32">
        <f t="shared" si="435"/>
        <v>30.75282900183679</v>
      </c>
      <c r="CC235" s="38">
        <f t="shared" si="449"/>
        <v>32.962722819936182</v>
      </c>
      <c r="CD235" s="38">
        <f t="shared" si="450"/>
        <v>33.782724621312781</v>
      </c>
      <c r="CE235" s="38">
        <f t="shared" si="451"/>
        <v>25.571340991907377</v>
      </c>
      <c r="CF235" s="39">
        <f t="shared" si="452"/>
        <v>27.307410186595547</v>
      </c>
      <c r="CK235" s="86" t="s">
        <v>39</v>
      </c>
      <c r="CP235" s="96" t="s">
        <v>5</v>
      </c>
      <c r="CQ235" s="97">
        <v>8</v>
      </c>
      <c r="CR235" s="465">
        <f t="shared" si="467"/>
        <v>1</v>
      </c>
      <c r="CT235" s="88">
        <v>5</v>
      </c>
      <c r="CU235" s="95">
        <v>4</v>
      </c>
      <c r="CV235" s="90"/>
      <c r="CW235" s="99">
        <f>CU235/(CR235-CW230)</f>
        <v>5.1506849315068486</v>
      </c>
      <c r="CX235" s="100">
        <f>CU235/(CR235-CX230)</f>
        <v>5.295774647887324</v>
      </c>
      <c r="CY235" s="100">
        <f>CU235/(CR235-CY230)</f>
        <v>5.371428571428571</v>
      </c>
      <c r="CZ235" s="100">
        <f>CU235/(CR235-CZ230)</f>
        <v>5.4492753623188408</v>
      </c>
      <c r="DA235" s="100">
        <f>CU235/(CR235-DA230)</f>
        <v>4.043010752688172</v>
      </c>
      <c r="DB235" s="102">
        <f t="shared" si="453"/>
        <v>25.310174265829755</v>
      </c>
      <c r="DC235" s="211">
        <v>5</v>
      </c>
      <c r="DD235" s="32">
        <f t="shared" si="436"/>
        <v>28.975254713420053</v>
      </c>
      <c r="DE235" s="38">
        <f t="shared" si="454"/>
        <v>30.959864961429325</v>
      </c>
      <c r="DF235" s="38">
        <f t="shared" si="455"/>
        <v>31.637502826474986</v>
      </c>
      <c r="DG235" s="38">
        <f t="shared" si="456"/>
        <v>31.387122481485811</v>
      </c>
      <c r="DH235" s="39">
        <f t="shared" si="457"/>
        <v>27.473855850318969</v>
      </c>
      <c r="DM235" s="86" t="s">
        <v>39</v>
      </c>
      <c r="DR235" s="96" t="s">
        <v>5</v>
      </c>
      <c r="DS235" s="103">
        <v>7</v>
      </c>
      <c r="DT235" s="465">
        <f t="shared" si="468"/>
        <v>1</v>
      </c>
      <c r="DV235" s="88">
        <v>5</v>
      </c>
      <c r="DW235" s="95">
        <v>2</v>
      </c>
      <c r="DX235" s="90"/>
      <c r="DY235" s="99">
        <f>DW235/(DT235-DY230)</f>
        <v>2.4255319148936172</v>
      </c>
      <c r="DZ235" s="100">
        <f>DW235/(DT235-DZ230)</f>
        <v>2.4782608695652173</v>
      </c>
      <c r="EA235" s="100">
        <f>DW235/(DT235-EA230)</f>
        <v>2.5054945054945055</v>
      </c>
      <c r="EB235" s="100">
        <f>DW235/(DT235-EB230)</f>
        <v>2.5333333333333332</v>
      </c>
      <c r="EC235" s="100">
        <f>DW235/(DT235-EC230)</f>
        <v>2.5617977528089888</v>
      </c>
      <c r="ED235" s="102">
        <f t="shared" si="458"/>
        <v>12.504418376095662</v>
      </c>
      <c r="EE235" s="211">
        <v>5</v>
      </c>
      <c r="EF235" s="32">
        <f t="shared" si="459"/>
        <v>27.930732252186182</v>
      </c>
      <c r="EG235" s="38">
        <f t="shared" si="460"/>
        <v>29.858297190319814</v>
      </c>
      <c r="EH235" s="38">
        <f t="shared" si="461"/>
        <v>30.485853200322097</v>
      </c>
      <c r="EI235" s="38">
        <f t="shared" si="462"/>
        <v>30.105659383622378</v>
      </c>
      <c r="EJ235" s="39">
        <f t="shared" si="463"/>
        <v>32.12350406751159</v>
      </c>
    </row>
    <row r="236" spans="5:140" x14ac:dyDescent="0.2">
      <c r="E236" s="86" t="s">
        <v>39</v>
      </c>
      <c r="J236" s="96" t="s">
        <v>9</v>
      </c>
      <c r="K236" s="39">
        <v>13</v>
      </c>
      <c r="L236" s="465">
        <f t="shared" si="464"/>
        <v>1</v>
      </c>
      <c r="N236" s="88">
        <v>6</v>
      </c>
      <c r="O236" s="95">
        <v>7</v>
      </c>
      <c r="P236" s="90"/>
      <c r="Q236" s="99">
        <f>O236/(L236-Q230)</f>
        <v>19.500000000000004</v>
      </c>
      <c r="R236" s="100">
        <f>O236/(L236-R230)</f>
        <v>7.378378378378379</v>
      </c>
      <c r="S236" s="100">
        <f>O236/(L236-S230)</f>
        <v>7.583333333333333</v>
      </c>
      <c r="T236" s="100">
        <f>O236/(L236-T230)</f>
        <v>7.8</v>
      </c>
      <c r="U236" s="100">
        <f>O236/(L236-U230)</f>
        <v>8.0294117647058822</v>
      </c>
      <c r="V236" s="102">
        <f t="shared" si="437"/>
        <v>50.291123476417596</v>
      </c>
      <c r="W236" s="88">
        <v>6</v>
      </c>
      <c r="X236" s="32">
        <f t="shared" si="438"/>
        <v>46.561738179713565</v>
      </c>
      <c r="Y236" s="38">
        <f t="shared" si="439"/>
        <v>23.445981252620967</v>
      </c>
      <c r="Z236" s="38">
        <f t="shared" si="440"/>
        <v>24.107855910468317</v>
      </c>
      <c r="AA236" s="38">
        <f t="shared" si="441"/>
        <v>24.162473049663202</v>
      </c>
      <c r="AB236" s="39">
        <f t="shared" si="442"/>
        <v>25.700237779882052</v>
      </c>
      <c r="AG236" s="86" t="s">
        <v>39</v>
      </c>
      <c r="AL236" s="96" t="s">
        <v>9</v>
      </c>
      <c r="AM236" s="39">
        <v>11</v>
      </c>
      <c r="AN236" s="465">
        <f t="shared" si="465"/>
        <v>1</v>
      </c>
      <c r="AP236" s="88">
        <v>6</v>
      </c>
      <c r="AQ236" s="95">
        <v>1</v>
      </c>
      <c r="AR236" s="90"/>
      <c r="AS236" s="99">
        <f>AQ236/(AN236-AS230)</f>
        <v>1.8064516129032258</v>
      </c>
      <c r="AT236" s="100">
        <f>AQ236/(AN236-AT230)</f>
        <v>1.8064516129032258</v>
      </c>
      <c r="AU236" s="100">
        <f>AQ236/(AN236-AU230)</f>
        <v>1.0181818181818183</v>
      </c>
      <c r="AV236" s="100">
        <f>AQ236/(AN236-AV230)</f>
        <v>1.037037037037037</v>
      </c>
      <c r="AW236" s="100">
        <f>AQ236/(AN236-AW230)</f>
        <v>1.0566037735849056</v>
      </c>
      <c r="AX236" s="102">
        <f t="shared" si="443"/>
        <v>6.7247258546102122</v>
      </c>
      <c r="AY236" s="98">
        <v>6</v>
      </c>
      <c r="AZ236" s="32">
        <f t="shared" si="434"/>
        <v>34.491034215353601</v>
      </c>
      <c r="BA236" s="38">
        <f t="shared" si="444"/>
        <v>35.74342610207384</v>
      </c>
      <c r="BB236" s="38">
        <f t="shared" si="445"/>
        <v>24.294713457511659</v>
      </c>
      <c r="BC236" s="38">
        <f t="shared" si="446"/>
        <v>23.921253735214862</v>
      </c>
      <c r="BD236" s="39">
        <f t="shared" si="447"/>
        <v>25.628887453489362</v>
      </c>
      <c r="BI236" s="86" t="s">
        <v>39</v>
      </c>
      <c r="BN236" s="96" t="s">
        <v>9</v>
      </c>
      <c r="BO236" s="39">
        <v>10</v>
      </c>
      <c r="BP236" s="465">
        <f t="shared" si="466"/>
        <v>1</v>
      </c>
      <c r="BR236" s="88">
        <v>6</v>
      </c>
      <c r="BS236" s="95">
        <v>4</v>
      </c>
      <c r="BT236" s="90"/>
      <c r="BU236" s="99">
        <f>BS236/(BP236-BU230)</f>
        <v>5.6923076923076925</v>
      </c>
      <c r="BV236" s="100">
        <f>BS236/(BP236-BV230)</f>
        <v>5.92</v>
      </c>
      <c r="BW236" s="100">
        <f>BS236/(BP236-BW230)</f>
        <v>6.0408163265306118</v>
      </c>
      <c r="BX236" s="100">
        <f>BS236/(BP236-BX230)</f>
        <v>4.0547945205479454</v>
      </c>
      <c r="BY236" s="100">
        <f>BS236/(BP236-BY230)</f>
        <v>4.1111111111111107</v>
      </c>
      <c r="BZ236" s="102">
        <f t="shared" si="448"/>
        <v>25.81902965049736</v>
      </c>
      <c r="CA236" s="211">
        <v>6</v>
      </c>
      <c r="CB236" s="32">
        <f t="shared" si="435"/>
        <v>29.664593707719142</v>
      </c>
      <c r="CC236" s="38">
        <f t="shared" si="449"/>
        <v>31.708485531800591</v>
      </c>
      <c r="CD236" s="38">
        <f t="shared" si="450"/>
        <v>32.484479007277692</v>
      </c>
      <c r="CE236" s="38">
        <f t="shared" si="451"/>
        <v>24.338007658574046</v>
      </c>
      <c r="CF236" s="39">
        <f t="shared" si="452"/>
        <v>25.884333263518627</v>
      </c>
      <c r="CK236" s="86" t="s">
        <v>39</v>
      </c>
      <c r="CP236" s="96" t="s">
        <v>9</v>
      </c>
      <c r="CQ236" s="97">
        <v>9</v>
      </c>
      <c r="CR236" s="465">
        <f t="shared" si="467"/>
        <v>1</v>
      </c>
      <c r="CT236" s="88">
        <v>6</v>
      </c>
      <c r="CU236" s="95">
        <v>2</v>
      </c>
      <c r="CV236" s="90"/>
      <c r="CW236" s="99">
        <f>CU236/(CR236-CW230)</f>
        <v>2.5753424657534243</v>
      </c>
      <c r="CX236" s="100">
        <f>CU236/(CR236-CX230)</f>
        <v>2.647887323943662</v>
      </c>
      <c r="CY236" s="100">
        <f>CU236/(CR236-CY230)</f>
        <v>2.6857142857142855</v>
      </c>
      <c r="CZ236" s="100">
        <f>CU236/(CR236-CZ230)</f>
        <v>2.7246376811594204</v>
      </c>
      <c r="DA236" s="100">
        <f>CU236/(CR236-DA230)</f>
        <v>2.021505376344086</v>
      </c>
      <c r="DB236" s="102">
        <f t="shared" si="453"/>
        <v>12.655087132914877</v>
      </c>
      <c r="DC236" s="211">
        <v>6</v>
      </c>
      <c r="DD236" s="32">
        <f t="shared" si="436"/>
        <v>27.897129713420053</v>
      </c>
      <c r="DE236" s="38">
        <f t="shared" si="454"/>
        <v>29.705319506883871</v>
      </c>
      <c r="DF236" s="38">
        <f t="shared" si="455"/>
        <v>30.335616034022152</v>
      </c>
      <c r="DG236" s="38">
        <f t="shared" si="456"/>
        <v>30.154979624342957</v>
      </c>
      <c r="DH236" s="39">
        <f t="shared" si="457"/>
        <v>26.036355850318969</v>
      </c>
      <c r="DM236" s="86" t="s">
        <v>39</v>
      </c>
      <c r="DR236" s="96" t="s">
        <v>9</v>
      </c>
      <c r="DS236" s="101">
        <v>8</v>
      </c>
      <c r="DT236" s="465">
        <f t="shared" si="468"/>
        <v>1</v>
      </c>
      <c r="DV236" s="88">
        <v>6</v>
      </c>
      <c r="DW236" s="95">
        <v>8</v>
      </c>
      <c r="DX236" s="90"/>
      <c r="DY236" s="99">
        <f>DW236/(DT236-DY230)</f>
        <v>9.7021276595744688</v>
      </c>
      <c r="DZ236" s="100">
        <f>DW236/(DT236-DZ230)</f>
        <v>9.9130434782608692</v>
      </c>
      <c r="EA236" s="100">
        <f>DW236/(DT236-EA230)</f>
        <v>10.021978021978022</v>
      </c>
      <c r="EB236" s="100">
        <f>DW236/(DT236-EB230)</f>
        <v>10.133333333333333</v>
      </c>
      <c r="EC236" s="100">
        <f>DW236/(DT236-EC230)</f>
        <v>10.247191011235955</v>
      </c>
      <c r="ED236" s="102">
        <f t="shared" si="458"/>
        <v>50.01767350438265</v>
      </c>
      <c r="EE236" s="211">
        <v>6</v>
      </c>
      <c r="EF236" s="32">
        <f t="shared" si="459"/>
        <v>26.864065585519519</v>
      </c>
      <c r="EG236" s="38">
        <f t="shared" si="460"/>
        <v>28.603395229535501</v>
      </c>
      <c r="EH236" s="38">
        <f t="shared" si="461"/>
        <v>29.179730751342504</v>
      </c>
      <c r="EI236" s="38">
        <f t="shared" si="462"/>
        <v>28.874890152853148</v>
      </c>
      <c r="EJ236" s="39">
        <f t="shared" si="463"/>
        <v>30.668958612966136</v>
      </c>
    </row>
    <row r="237" spans="5:140" x14ac:dyDescent="0.2">
      <c r="E237" s="86" t="s">
        <v>39</v>
      </c>
      <c r="J237" s="96" t="s">
        <v>19</v>
      </c>
      <c r="K237" s="97">
        <v>14</v>
      </c>
      <c r="L237" s="465">
        <f t="shared" si="464"/>
        <v>1</v>
      </c>
      <c r="N237" s="88">
        <v>7</v>
      </c>
      <c r="O237" s="95">
        <v>1</v>
      </c>
      <c r="P237" s="90"/>
      <c r="Q237" s="99">
        <f>O237/(L237-Q230)</f>
        <v>2.785714285714286</v>
      </c>
      <c r="R237" s="100">
        <f>O237/(L237-R230)</f>
        <v>1.0540540540540542</v>
      </c>
      <c r="S237" s="100">
        <f>O237/(L237-S230)</f>
        <v>1.0833333333333333</v>
      </c>
      <c r="T237" s="100">
        <f>O237/(L237-T230)</f>
        <v>1.1142857142857143</v>
      </c>
      <c r="U237" s="100">
        <f>O237/(L237-U230)</f>
        <v>1.1470588235294117</v>
      </c>
      <c r="V237" s="102">
        <f t="shared" si="437"/>
        <v>7.1844462109167981</v>
      </c>
      <c r="W237" s="88">
        <v>7</v>
      </c>
      <c r="X237" s="32">
        <f t="shared" si="438"/>
        <v>46.561738179713572</v>
      </c>
      <c r="Y237" s="38">
        <f t="shared" si="439"/>
        <v>23.445981252620971</v>
      </c>
      <c r="Z237" s="38">
        <f t="shared" si="440"/>
        <v>24.107855910468317</v>
      </c>
      <c r="AA237" s="38">
        <f t="shared" si="441"/>
        <v>24.162473049663205</v>
      </c>
      <c r="AB237" s="39">
        <f t="shared" si="442"/>
        <v>25.700237779882055</v>
      </c>
      <c r="AG237" s="86" t="s">
        <v>39</v>
      </c>
      <c r="AL237" s="96" t="s">
        <v>19</v>
      </c>
      <c r="AM237" s="97">
        <v>12</v>
      </c>
      <c r="AN237" s="465">
        <f t="shared" si="465"/>
        <v>1</v>
      </c>
      <c r="AP237" s="88">
        <v>7</v>
      </c>
      <c r="AQ237" s="95">
        <v>4</v>
      </c>
      <c r="AR237" s="90"/>
      <c r="AS237" s="99">
        <f>AQ237/(AN237-AS230)</f>
        <v>7.225806451612903</v>
      </c>
      <c r="AT237" s="100">
        <f>AQ237/(AN237-AT230)</f>
        <v>7.225806451612903</v>
      </c>
      <c r="AU237" s="100">
        <f>AQ237/(AN237-AU230)</f>
        <v>4.0727272727272732</v>
      </c>
      <c r="AV237" s="100">
        <f>AQ237/(AN237-AV230)</f>
        <v>4.1481481481481479</v>
      </c>
      <c r="AW237" s="100">
        <f>AQ237/(AN237-AW230)</f>
        <v>4.2264150943396226</v>
      </c>
      <c r="AX237" s="102">
        <f t="shared" si="443"/>
        <v>26.898903418440849</v>
      </c>
      <c r="AY237" s="98">
        <v>7</v>
      </c>
      <c r="AZ237" s="32">
        <f t="shared" si="434"/>
        <v>34.491034215353601</v>
      </c>
      <c r="BA237" s="38">
        <f t="shared" si="444"/>
        <v>35.74342610207384</v>
      </c>
      <c r="BB237" s="38">
        <f t="shared" si="445"/>
        <v>24.294713457511659</v>
      </c>
      <c r="BC237" s="38">
        <f t="shared" si="446"/>
        <v>23.921253735214862</v>
      </c>
      <c r="BD237" s="39">
        <f t="shared" si="447"/>
        <v>25.628887453489362</v>
      </c>
      <c r="BI237" s="86" t="s">
        <v>39</v>
      </c>
      <c r="BN237" s="96" t="s">
        <v>19</v>
      </c>
      <c r="BO237" s="97">
        <v>11</v>
      </c>
      <c r="BP237" s="465">
        <f t="shared" si="466"/>
        <v>1</v>
      </c>
      <c r="BR237" s="88">
        <v>7</v>
      </c>
      <c r="BS237" s="95">
        <v>2</v>
      </c>
      <c r="BT237" s="90"/>
      <c r="BU237" s="99">
        <f>BS237/(BP237-BU230)</f>
        <v>2.8461538461538463</v>
      </c>
      <c r="BV237" s="100">
        <f>BS237/(BP237-BV230)</f>
        <v>2.96</v>
      </c>
      <c r="BW237" s="100">
        <f>BS237/(BP237-BW230)</f>
        <v>3.0204081632653059</v>
      </c>
      <c r="BX237" s="100">
        <f>BS237/(BP237-BX230)</f>
        <v>2.0273972602739727</v>
      </c>
      <c r="BY237" s="100">
        <f>BS237/(BP237-BY230)</f>
        <v>2.0555555555555554</v>
      </c>
      <c r="BZ237" s="102">
        <f t="shared" si="448"/>
        <v>12.90951482524868</v>
      </c>
      <c r="CA237" s="211">
        <v>7</v>
      </c>
      <c r="CB237" s="32">
        <f t="shared" si="435"/>
        <v>29.664593707719142</v>
      </c>
      <c r="CC237" s="38">
        <f t="shared" si="449"/>
        <v>31.708485531800591</v>
      </c>
      <c r="CD237" s="38">
        <f t="shared" si="450"/>
        <v>32.484479007277692</v>
      </c>
      <c r="CE237" s="38">
        <f t="shared" si="451"/>
        <v>24.338007658574046</v>
      </c>
      <c r="CF237" s="39">
        <f t="shared" si="452"/>
        <v>25.884333263518627</v>
      </c>
      <c r="CK237" s="86" t="s">
        <v>39</v>
      </c>
      <c r="CP237" s="96" t="s">
        <v>19</v>
      </c>
      <c r="CQ237" s="39">
        <v>10</v>
      </c>
      <c r="CR237" s="465">
        <f t="shared" si="467"/>
        <v>1</v>
      </c>
      <c r="CT237" s="88">
        <v>7</v>
      </c>
      <c r="CU237" s="95">
        <v>8</v>
      </c>
      <c r="CV237" s="90"/>
      <c r="CW237" s="99">
        <f>CU237/(CR237-CW230)</f>
        <v>10.301369863013697</v>
      </c>
      <c r="CX237" s="100">
        <f>CU237/(CR237-CX230)</f>
        <v>10.591549295774648</v>
      </c>
      <c r="CY237" s="100">
        <f>CU237/(CR237-CY230)</f>
        <v>10.742857142857142</v>
      </c>
      <c r="CZ237" s="100">
        <f>CU237/(CR237-CZ230)</f>
        <v>10.898550724637682</v>
      </c>
      <c r="DA237" s="100">
        <f>CU237/(CR237-DA230)</f>
        <v>8.086021505376344</v>
      </c>
      <c r="DB237" s="102">
        <f t="shared" si="453"/>
        <v>50.620348531659509</v>
      </c>
      <c r="DC237" s="211">
        <v>7</v>
      </c>
      <c r="DD237" s="32">
        <f t="shared" si="436"/>
        <v>27.897129713420053</v>
      </c>
      <c r="DE237" s="38">
        <f t="shared" si="454"/>
        <v>29.705319506883871</v>
      </c>
      <c r="DF237" s="38">
        <f t="shared" si="455"/>
        <v>30.335616034022152</v>
      </c>
      <c r="DG237" s="38">
        <f t="shared" si="456"/>
        <v>30.154979624342957</v>
      </c>
      <c r="DH237" s="39">
        <f t="shared" si="457"/>
        <v>26.036355850318969</v>
      </c>
      <c r="DM237" s="86" t="s">
        <v>39</v>
      </c>
      <c r="DR237" s="96" t="s">
        <v>19</v>
      </c>
      <c r="DS237" s="101">
        <v>9</v>
      </c>
      <c r="DT237" s="465">
        <f t="shared" si="468"/>
        <v>1</v>
      </c>
      <c r="DV237" s="88">
        <v>7</v>
      </c>
      <c r="DW237" s="95">
        <v>5</v>
      </c>
      <c r="DX237" s="90"/>
      <c r="DY237" s="99">
        <f>DW237/(DT237-DY230)</f>
        <v>6.0638297872340425</v>
      </c>
      <c r="DZ237" s="100">
        <f>DW237/(DT237-DZ230)</f>
        <v>6.195652173913043</v>
      </c>
      <c r="EA237" s="100">
        <f>DW237/(DT237-EA230)</f>
        <v>6.2637362637362637</v>
      </c>
      <c r="EB237" s="100">
        <f>DW237/(DT237-EB230)</f>
        <v>6.333333333333333</v>
      </c>
      <c r="EC237" s="100">
        <f>DW237/(DT237-EC230)</f>
        <v>6.404494382022472</v>
      </c>
      <c r="ED237" s="102">
        <f t="shared" si="458"/>
        <v>31.26104594023915</v>
      </c>
      <c r="EE237" s="211">
        <v>7</v>
      </c>
      <c r="EF237" s="32">
        <f t="shared" si="459"/>
        <v>26.864065585519519</v>
      </c>
      <c r="EG237" s="38">
        <f t="shared" si="460"/>
        <v>28.603395229535501</v>
      </c>
      <c r="EH237" s="38">
        <f t="shared" si="461"/>
        <v>29.179730751342507</v>
      </c>
      <c r="EI237" s="38">
        <f t="shared" si="462"/>
        <v>28.874890152853148</v>
      </c>
      <c r="EJ237" s="39">
        <f t="shared" si="463"/>
        <v>30.668958612966136</v>
      </c>
    </row>
    <row r="238" spans="5:140" x14ac:dyDescent="0.2">
      <c r="E238" s="86" t="s">
        <v>39</v>
      </c>
      <c r="J238" s="96" t="s">
        <v>2</v>
      </c>
      <c r="K238" s="39">
        <v>15</v>
      </c>
      <c r="L238" s="465">
        <f t="shared" si="464"/>
        <v>1</v>
      </c>
      <c r="N238" s="88">
        <v>8</v>
      </c>
      <c r="O238" s="95">
        <v>4</v>
      </c>
      <c r="P238" s="90"/>
      <c r="Q238" s="99">
        <f>O238/(L238-Q230)</f>
        <v>11.142857142857144</v>
      </c>
      <c r="R238" s="100">
        <f>O238/(L238-R230)</f>
        <v>4.2162162162162167</v>
      </c>
      <c r="S238" s="100">
        <f>O238/(L238-S230)</f>
        <v>4.333333333333333</v>
      </c>
      <c r="T238" s="100">
        <f>O238/(L238-T230)</f>
        <v>4.4571428571428573</v>
      </c>
      <c r="U238" s="100">
        <f>O238/(L238-U230)</f>
        <v>4.5882352941176467</v>
      </c>
      <c r="V238" s="102">
        <f t="shared" si="437"/>
        <v>28.737784843667193</v>
      </c>
      <c r="W238" s="88">
        <v>8</v>
      </c>
      <c r="X238" s="32">
        <f t="shared" si="438"/>
        <v>47.674238179713569</v>
      </c>
      <c r="Y238" s="38">
        <f t="shared" si="439"/>
        <v>24.699502379381535</v>
      </c>
      <c r="Z238" s="38">
        <f t="shared" si="440"/>
        <v>25.397710982932086</v>
      </c>
      <c r="AA238" s="38">
        <f t="shared" si="441"/>
        <v>25.398584160774316</v>
      </c>
      <c r="AB238" s="39">
        <f t="shared" si="442"/>
        <v>27.090862779882055</v>
      </c>
      <c r="AG238" s="86" t="s">
        <v>39</v>
      </c>
      <c r="AL238" s="96" t="s">
        <v>2</v>
      </c>
      <c r="AM238" s="39">
        <v>13</v>
      </c>
      <c r="AN238" s="465">
        <f t="shared" si="465"/>
        <v>1</v>
      </c>
      <c r="AP238" s="88">
        <v>8</v>
      </c>
      <c r="AQ238" s="95">
        <v>2</v>
      </c>
      <c r="AR238" s="90"/>
      <c r="AS238" s="99">
        <f>AQ238/(AN238-AS230)</f>
        <v>3.6129032258064515</v>
      </c>
      <c r="AT238" s="100">
        <f>AQ238/(AN238-AT230)</f>
        <v>3.6129032258064515</v>
      </c>
      <c r="AU238" s="100">
        <f>AQ238/(AN238-AU230)</f>
        <v>2.0363636363636366</v>
      </c>
      <c r="AV238" s="100">
        <f>AQ238/(AN238-AV230)</f>
        <v>2.074074074074074</v>
      </c>
      <c r="AW238" s="100">
        <f>AQ238/(AN238-AW230)</f>
        <v>2.1132075471698113</v>
      </c>
      <c r="AX238" s="102">
        <f t="shared" si="443"/>
        <v>13.449451709220424</v>
      </c>
      <c r="AY238" s="98">
        <v>8</v>
      </c>
      <c r="AZ238" s="32">
        <f t="shared" si="434"/>
        <v>35.580777805097185</v>
      </c>
      <c r="BA238" s="38">
        <f t="shared" si="444"/>
        <v>37.012082818491756</v>
      </c>
      <c r="BB238" s="38">
        <f t="shared" si="445"/>
        <v>25.602405765203965</v>
      </c>
      <c r="BC238" s="38">
        <f t="shared" si="446"/>
        <v>25.135539449500577</v>
      </c>
      <c r="BD238" s="39">
        <f t="shared" si="447"/>
        <v>27.045554120156027</v>
      </c>
      <c r="BI238" s="86" t="s">
        <v>39</v>
      </c>
      <c r="BN238" s="96" t="s">
        <v>2</v>
      </c>
      <c r="BO238" s="39">
        <v>12</v>
      </c>
      <c r="BP238" s="465">
        <f t="shared" si="466"/>
        <v>1</v>
      </c>
      <c r="BR238" s="88">
        <v>8</v>
      </c>
      <c r="BS238" s="95">
        <v>8</v>
      </c>
      <c r="BT238" s="90"/>
      <c r="BU238" s="99">
        <f>BS238/(BP238-BU230)</f>
        <v>11.384615384615385</v>
      </c>
      <c r="BV238" s="100">
        <f>BS238/(BP238-BV230)</f>
        <v>11.84</v>
      </c>
      <c r="BW238" s="100">
        <f>BS238/(BP238-BW230)</f>
        <v>12.081632653061224</v>
      </c>
      <c r="BX238" s="100">
        <f>BS238/(BP238-BX230)</f>
        <v>8.1095890410958908</v>
      </c>
      <c r="BY238" s="100">
        <f>BS238/(BP238-BY230)</f>
        <v>8.2222222222222214</v>
      </c>
      <c r="BZ238" s="102">
        <f t="shared" si="448"/>
        <v>51.638059300994719</v>
      </c>
      <c r="CA238" s="211">
        <v>8</v>
      </c>
      <c r="CB238" s="32">
        <f t="shared" si="435"/>
        <v>30.75282900183679</v>
      </c>
      <c r="CC238" s="38">
        <f t="shared" si="449"/>
        <v>32.962722819936182</v>
      </c>
      <c r="CD238" s="38">
        <f t="shared" si="450"/>
        <v>33.782724621312781</v>
      </c>
      <c r="CE238" s="38">
        <f t="shared" si="451"/>
        <v>25.571340991907377</v>
      </c>
      <c r="CF238" s="39">
        <f t="shared" si="452"/>
        <v>27.307410186595547</v>
      </c>
      <c r="CK238" s="86" t="s">
        <v>39</v>
      </c>
      <c r="CP238" s="96" t="s">
        <v>2</v>
      </c>
      <c r="CQ238" s="39">
        <v>11</v>
      </c>
      <c r="CR238" s="465">
        <f t="shared" si="467"/>
        <v>1</v>
      </c>
      <c r="CT238" s="88">
        <v>8</v>
      </c>
      <c r="CU238" s="95">
        <v>5</v>
      </c>
      <c r="CV238" s="90"/>
      <c r="CW238" s="99">
        <f>CU238/(CR238-CW230)</f>
        <v>6.4383561643835607</v>
      </c>
      <c r="CX238" s="100">
        <f>CU238/(CR238-CX230)</f>
        <v>6.619718309859155</v>
      </c>
      <c r="CY238" s="100">
        <f>CU238/(CR238-CY230)</f>
        <v>6.7142857142857135</v>
      </c>
      <c r="CZ238" s="100">
        <f>CU238/(CR238-CZ230)</f>
        <v>6.8115942028985508</v>
      </c>
      <c r="DA238" s="100">
        <f>CU238/(CR238-DA230)</f>
        <v>5.053763440860215</v>
      </c>
      <c r="DB238" s="102">
        <f t="shared" si="453"/>
        <v>31.637717832287198</v>
      </c>
      <c r="DC238" s="211">
        <v>8</v>
      </c>
      <c r="DD238" s="32">
        <f t="shared" si="436"/>
        <v>28.97525471342005</v>
      </c>
      <c r="DE238" s="38">
        <f t="shared" si="454"/>
        <v>30.959864961429325</v>
      </c>
      <c r="DF238" s="38">
        <f t="shared" si="455"/>
        <v>31.637502826474979</v>
      </c>
      <c r="DG238" s="38">
        <f t="shared" si="456"/>
        <v>31.387122481485811</v>
      </c>
      <c r="DH238" s="39">
        <f t="shared" si="457"/>
        <v>27.473855850318966</v>
      </c>
      <c r="DM238" s="86" t="s">
        <v>39</v>
      </c>
      <c r="DR238" s="96" t="s">
        <v>2</v>
      </c>
      <c r="DS238" s="103">
        <v>10</v>
      </c>
      <c r="DT238" s="465">
        <f t="shared" si="468"/>
        <v>1</v>
      </c>
      <c r="DV238" s="88">
        <v>8</v>
      </c>
      <c r="DW238" s="95">
        <v>7</v>
      </c>
      <c r="DX238" s="90"/>
      <c r="DY238" s="99">
        <f>DW238/(DT238-DY230)</f>
        <v>8.4893617021276597</v>
      </c>
      <c r="DZ238" s="100">
        <f>DW238/(DT238-DZ230)</f>
        <v>8.6739130434782599</v>
      </c>
      <c r="EA238" s="100">
        <f>DW238/(DT238-EA230)</f>
        <v>8.7692307692307683</v>
      </c>
      <c r="EB238" s="100">
        <f>DW238/(DT238-EB230)</f>
        <v>8.8666666666666671</v>
      </c>
      <c r="EC238" s="100">
        <f>DW238/(DT238-EC230)</f>
        <v>8.9662921348314608</v>
      </c>
      <c r="ED238" s="102">
        <f t="shared" si="458"/>
        <v>43.765464316334814</v>
      </c>
      <c r="EE238" s="211">
        <v>8</v>
      </c>
      <c r="EF238" s="32">
        <f t="shared" si="459"/>
        <v>27.930732252186182</v>
      </c>
      <c r="EG238" s="38">
        <f t="shared" si="460"/>
        <v>29.858297190319814</v>
      </c>
      <c r="EH238" s="38">
        <f t="shared" si="461"/>
        <v>30.485853200322097</v>
      </c>
      <c r="EI238" s="38">
        <f t="shared" si="462"/>
        <v>30.105659383622381</v>
      </c>
      <c r="EJ238" s="39">
        <f t="shared" si="463"/>
        <v>32.12350406751159</v>
      </c>
    </row>
    <row r="239" spans="5:140" x14ac:dyDescent="0.2">
      <c r="E239" s="86" t="s">
        <v>39</v>
      </c>
      <c r="J239" s="96" t="s">
        <v>18</v>
      </c>
      <c r="K239" s="97">
        <v>16</v>
      </c>
      <c r="L239" s="465">
        <f t="shared" si="464"/>
        <v>1</v>
      </c>
      <c r="N239" s="88">
        <v>9</v>
      </c>
      <c r="O239" s="95">
        <v>2</v>
      </c>
      <c r="P239" s="90"/>
      <c r="Q239" s="99">
        <f>O239/(L239-Q230)</f>
        <v>5.5714285714285721</v>
      </c>
      <c r="R239" s="100">
        <f>O239/(L239-R230)</f>
        <v>2.1081081081081083</v>
      </c>
      <c r="S239" s="100">
        <f>O239/(L239-S230)</f>
        <v>2.1666666666666665</v>
      </c>
      <c r="T239" s="100">
        <f>O239/(L239-T230)</f>
        <v>2.2285714285714286</v>
      </c>
      <c r="U239" s="100">
        <f>O239/(L239-U230)</f>
        <v>2.2941176470588234</v>
      </c>
      <c r="V239" s="102">
        <f t="shared" si="437"/>
        <v>14.368892421833596</v>
      </c>
      <c r="W239" s="88">
        <v>9</v>
      </c>
      <c r="X239" s="32">
        <f t="shared" si="438"/>
        <v>48.786738179713574</v>
      </c>
      <c r="Y239" s="38">
        <f t="shared" si="439"/>
        <v>25.953023506142099</v>
      </c>
      <c r="Z239" s="38">
        <f t="shared" si="440"/>
        <v>26.687566055395855</v>
      </c>
      <c r="AA239" s="38">
        <f t="shared" si="441"/>
        <v>26.634695271885427</v>
      </c>
      <c r="AB239" s="39">
        <f t="shared" si="442"/>
        <v>28.481487779882055</v>
      </c>
      <c r="AG239" s="86" t="s">
        <v>39</v>
      </c>
      <c r="AL239" s="96" t="s">
        <v>18</v>
      </c>
      <c r="AM239" s="97">
        <v>14</v>
      </c>
      <c r="AN239" s="465">
        <f t="shared" si="465"/>
        <v>1</v>
      </c>
      <c r="AP239" s="88">
        <v>9</v>
      </c>
      <c r="AQ239" s="95">
        <v>8</v>
      </c>
      <c r="AR239" s="90"/>
      <c r="AS239" s="99">
        <f>AQ239/(AN239-AS230)</f>
        <v>14.451612903225806</v>
      </c>
      <c r="AT239" s="100">
        <f>AQ239/(AN239-AT230)</f>
        <v>14.451612903225806</v>
      </c>
      <c r="AU239" s="100">
        <f>AQ239/(AN239-AU230)</f>
        <v>8.1454545454545464</v>
      </c>
      <c r="AV239" s="100">
        <f>AQ239/(AN239-AV230)</f>
        <v>8.2962962962962958</v>
      </c>
      <c r="AW239" s="100">
        <f>AQ239/(AN239-AW230)</f>
        <v>8.4528301886792452</v>
      </c>
      <c r="AX239" s="102">
        <f t="shared" si="443"/>
        <v>53.797806836881698</v>
      </c>
      <c r="AY239" s="98">
        <v>9</v>
      </c>
      <c r="AZ239" s="32">
        <f t="shared" si="434"/>
        <v>36.670521394840776</v>
      </c>
      <c r="BA239" s="38">
        <f t="shared" si="444"/>
        <v>38.280739534909664</v>
      </c>
      <c r="BB239" s="38">
        <f t="shared" si="445"/>
        <v>26.910098072896275</v>
      </c>
      <c r="BC239" s="38">
        <f t="shared" si="446"/>
        <v>26.349825163786292</v>
      </c>
      <c r="BD239" s="39">
        <f t="shared" si="447"/>
        <v>28.462220786822694</v>
      </c>
      <c r="BI239" s="86" t="s">
        <v>39</v>
      </c>
      <c r="BN239" s="96" t="s">
        <v>18</v>
      </c>
      <c r="BO239" s="97">
        <v>13</v>
      </c>
      <c r="BP239" s="465">
        <f t="shared" si="466"/>
        <v>1</v>
      </c>
      <c r="BR239" s="88">
        <v>9</v>
      </c>
      <c r="BS239" s="95">
        <v>5</v>
      </c>
      <c r="BT239" s="90"/>
      <c r="BU239" s="99">
        <f>BS239/(BP239-BU230)</f>
        <v>7.1153846153846159</v>
      </c>
      <c r="BV239" s="100">
        <f>BS239/(BP239-BV230)</f>
        <v>7.4</v>
      </c>
      <c r="BW239" s="100">
        <f>BS239/(BP239-BW230)</f>
        <v>7.5510204081632653</v>
      </c>
      <c r="BX239" s="100">
        <f>BS239/(BP239-BX230)</f>
        <v>5.0684931506849313</v>
      </c>
      <c r="BY239" s="100">
        <f>BS239/(BP239-BY230)</f>
        <v>5.1388888888888884</v>
      </c>
      <c r="BZ239" s="102">
        <f t="shared" si="448"/>
        <v>32.273787063121695</v>
      </c>
      <c r="CA239" s="211">
        <v>9</v>
      </c>
      <c r="CB239" s="32">
        <f t="shared" si="435"/>
        <v>31.841064295954446</v>
      </c>
      <c r="CC239" s="38">
        <f t="shared" si="449"/>
        <v>34.216960108071781</v>
      </c>
      <c r="CD239" s="38">
        <f t="shared" si="450"/>
        <v>35.08097023534787</v>
      </c>
      <c r="CE239" s="38">
        <f t="shared" si="451"/>
        <v>26.804674325240711</v>
      </c>
      <c r="CF239" s="39">
        <f t="shared" si="452"/>
        <v>28.730487109672474</v>
      </c>
      <c r="CK239" s="86" t="s">
        <v>39</v>
      </c>
      <c r="CP239" s="96" t="s">
        <v>18</v>
      </c>
      <c r="CQ239" s="97">
        <v>12</v>
      </c>
      <c r="CR239" s="465">
        <f t="shared" si="467"/>
        <v>1</v>
      </c>
      <c r="CT239" s="88">
        <v>9</v>
      </c>
      <c r="CU239" s="95">
        <v>7</v>
      </c>
      <c r="CV239" s="90"/>
      <c r="CW239" s="99">
        <f>CU239/(CR239-CW230)</f>
        <v>9.0136986301369859</v>
      </c>
      <c r="CX239" s="100">
        <f>CU239/(CR239-CX230)</f>
        <v>9.2676056338028161</v>
      </c>
      <c r="CY239" s="100">
        <f>CU239/(CR239-CY230)</f>
        <v>9.3999999999999986</v>
      </c>
      <c r="CZ239" s="100">
        <f>CU239/(CR239-CZ230)</f>
        <v>9.5362318840579707</v>
      </c>
      <c r="DA239" s="100">
        <f>CU239/(CR239-DA230)</f>
        <v>7.075268817204301</v>
      </c>
      <c r="DB239" s="102">
        <f t="shared" si="453"/>
        <v>44.292804965202073</v>
      </c>
      <c r="DC239" s="211">
        <v>9</v>
      </c>
      <c r="DD239" s="32">
        <f t="shared" si="436"/>
        <v>30.053379713420053</v>
      </c>
      <c r="DE239" s="38">
        <f t="shared" si="454"/>
        <v>32.214410415974783</v>
      </c>
      <c r="DF239" s="38">
        <f t="shared" si="455"/>
        <v>32.939389618927812</v>
      </c>
      <c r="DG239" s="38">
        <f t="shared" si="456"/>
        <v>32.619265338628665</v>
      </c>
      <c r="DH239" s="39">
        <f t="shared" si="457"/>
        <v>28.911355850318966</v>
      </c>
      <c r="DM239" s="86" t="s">
        <v>39</v>
      </c>
      <c r="DR239" s="96" t="s">
        <v>18</v>
      </c>
      <c r="DS239" s="103">
        <v>11</v>
      </c>
      <c r="DT239" s="465">
        <f t="shared" si="468"/>
        <v>1</v>
      </c>
      <c r="DV239" s="88">
        <v>9</v>
      </c>
      <c r="DW239" s="95">
        <v>1</v>
      </c>
      <c r="DX239" s="90"/>
      <c r="DY239" s="99">
        <f>DW239/(DT239-DY230)</f>
        <v>1.2127659574468086</v>
      </c>
      <c r="DZ239" s="100">
        <f>DW239/(DT239-DZ230)</f>
        <v>1.2391304347826086</v>
      </c>
      <c r="EA239" s="100">
        <f>DW239/(DT239-EA230)</f>
        <v>1.2527472527472527</v>
      </c>
      <c r="EB239" s="100">
        <f>DW239/(DT239-EB230)</f>
        <v>1.2666666666666666</v>
      </c>
      <c r="EC239" s="100">
        <f>DW239/(DT239-EC230)</f>
        <v>1.2808988764044944</v>
      </c>
      <c r="ED239" s="102">
        <f t="shared" si="458"/>
        <v>6.2522091880478312</v>
      </c>
      <c r="EE239" s="211">
        <v>9</v>
      </c>
      <c r="EF239" s="32">
        <f t="shared" si="459"/>
        <v>28.997398918852852</v>
      </c>
      <c r="EG239" s="38">
        <f t="shared" si="460"/>
        <v>31.113199151104126</v>
      </c>
      <c r="EH239" s="38">
        <f t="shared" si="461"/>
        <v>31.791975649301691</v>
      </c>
      <c r="EI239" s="38">
        <f t="shared" si="462"/>
        <v>31.336428614391608</v>
      </c>
      <c r="EJ239" s="39">
        <f t="shared" si="463"/>
        <v>33.578049522057043</v>
      </c>
    </row>
    <row r="240" spans="5:140" ht="15" thickBot="1" x14ac:dyDescent="0.25">
      <c r="E240" s="86" t="s">
        <v>39</v>
      </c>
      <c r="J240" s="132" t="s">
        <v>22</v>
      </c>
      <c r="K240" s="133">
        <v>17</v>
      </c>
      <c r="L240" s="465">
        <f t="shared" si="464"/>
        <v>1</v>
      </c>
      <c r="N240" s="88">
        <v>10</v>
      </c>
      <c r="O240" s="95">
        <v>8</v>
      </c>
      <c r="P240" s="90"/>
      <c r="Q240" s="99">
        <f>O240/(L240-Q230)</f>
        <v>22.285714285714288</v>
      </c>
      <c r="R240" s="100">
        <f>O240/(L240-R230)</f>
        <v>8.4324324324324333</v>
      </c>
      <c r="S240" s="100">
        <f>O240/(L240-S230)</f>
        <v>8.6666666666666661</v>
      </c>
      <c r="T240" s="100">
        <f>O240/(L240-T230)</f>
        <v>8.9142857142857146</v>
      </c>
      <c r="U240" s="100">
        <f>O240/(L240-U230)</f>
        <v>9.1764705882352935</v>
      </c>
      <c r="V240" s="102">
        <f t="shared" si="437"/>
        <v>57.475569687334385</v>
      </c>
      <c r="W240" s="88">
        <v>10</v>
      </c>
      <c r="X240" s="32">
        <f t="shared" si="438"/>
        <v>48.786738179713574</v>
      </c>
      <c r="Y240" s="38">
        <f t="shared" si="439"/>
        <v>25.953023506142099</v>
      </c>
      <c r="Z240" s="38">
        <f t="shared" si="440"/>
        <v>26.687566055395855</v>
      </c>
      <c r="AA240" s="38">
        <f t="shared" si="441"/>
        <v>26.634695271885427</v>
      </c>
      <c r="AB240" s="39">
        <f t="shared" si="442"/>
        <v>28.481487779882055</v>
      </c>
      <c r="AG240" s="86" t="s">
        <v>39</v>
      </c>
      <c r="AL240" s="119" t="s">
        <v>22</v>
      </c>
      <c r="AM240" s="71">
        <v>15</v>
      </c>
      <c r="AN240" s="465">
        <f t="shared" si="465"/>
        <v>1</v>
      </c>
      <c r="AP240" s="88">
        <v>10</v>
      </c>
      <c r="AQ240" s="95">
        <v>5</v>
      </c>
      <c r="AR240" s="90"/>
      <c r="AS240" s="99">
        <f>AQ240/(AN240-AS230)</f>
        <v>9.0322580645161281</v>
      </c>
      <c r="AT240" s="100">
        <f>AQ240/(AN240-AT230)</f>
        <v>9.0322580645161281</v>
      </c>
      <c r="AU240" s="100">
        <f>AQ240/(AN240-AU230)</f>
        <v>5.0909090909090908</v>
      </c>
      <c r="AV240" s="100">
        <f>AQ240/(AN240-AV230)</f>
        <v>5.1851851851851851</v>
      </c>
      <c r="AW240" s="100">
        <f>AQ240/(AN240-AW230)</f>
        <v>5.2830188679245289</v>
      </c>
      <c r="AX240" s="102">
        <f t="shared" si="443"/>
        <v>33.623629273051066</v>
      </c>
      <c r="AY240" s="98">
        <v>10</v>
      </c>
      <c r="AZ240" s="32">
        <f t="shared" si="434"/>
        <v>36.670521394840776</v>
      </c>
      <c r="BA240" s="38">
        <f t="shared" si="444"/>
        <v>38.280739534909657</v>
      </c>
      <c r="BB240" s="38">
        <f t="shared" si="445"/>
        <v>26.910098072896268</v>
      </c>
      <c r="BC240" s="38">
        <f t="shared" si="446"/>
        <v>26.349825163786292</v>
      </c>
      <c r="BD240" s="39">
        <f t="shared" si="447"/>
        <v>28.462220786822694</v>
      </c>
      <c r="BI240" s="86" t="s">
        <v>39</v>
      </c>
      <c r="BN240" s="119" t="s">
        <v>22</v>
      </c>
      <c r="BO240" s="71">
        <v>14</v>
      </c>
      <c r="BP240" s="465">
        <f t="shared" si="466"/>
        <v>1</v>
      </c>
      <c r="BR240" s="88">
        <v>10</v>
      </c>
      <c r="BS240" s="107">
        <v>7</v>
      </c>
      <c r="BT240" s="90"/>
      <c r="BU240" s="99">
        <f>BS240/(BP240-BU230)</f>
        <v>9.9615384615384617</v>
      </c>
      <c r="BV240" s="100">
        <f>BS240/(BP240-BV230)</f>
        <v>10.36</v>
      </c>
      <c r="BW240" s="100">
        <f>BS240/(BP240-BW230)</f>
        <v>10.571428571428571</v>
      </c>
      <c r="BX240" s="100">
        <f>BS240/(BP240-BX230)</f>
        <v>7.095890410958904</v>
      </c>
      <c r="BY240" s="100">
        <f>BS240/(BP240-BY230)</f>
        <v>7.1944444444444438</v>
      </c>
      <c r="BZ240" s="102">
        <f t="shared" si="448"/>
        <v>45.183301888370373</v>
      </c>
      <c r="CA240" s="211">
        <v>10</v>
      </c>
      <c r="CB240" s="32">
        <f t="shared" si="435"/>
        <v>31.841064295954439</v>
      </c>
      <c r="CC240" s="38">
        <f t="shared" si="449"/>
        <v>34.216960108071774</v>
      </c>
      <c r="CD240" s="38">
        <f t="shared" si="450"/>
        <v>35.08097023534787</v>
      </c>
      <c r="CE240" s="38">
        <f t="shared" si="451"/>
        <v>26.804674325240715</v>
      </c>
      <c r="CF240" s="39">
        <f t="shared" si="452"/>
        <v>28.730487109672474</v>
      </c>
      <c r="CK240" s="86" t="s">
        <v>39</v>
      </c>
      <c r="CP240" s="119" t="s">
        <v>22</v>
      </c>
      <c r="CQ240" s="71">
        <v>13</v>
      </c>
      <c r="CR240" s="465">
        <f t="shared" si="467"/>
        <v>1</v>
      </c>
      <c r="CT240" s="88">
        <v>10</v>
      </c>
      <c r="CU240" s="107">
        <v>1</v>
      </c>
      <c r="CV240" s="90"/>
      <c r="CW240" s="99">
        <f>CU240/(CR240-CW230)</f>
        <v>1.2876712328767121</v>
      </c>
      <c r="CX240" s="100">
        <f>CU240/(CR240-CX230)</f>
        <v>1.323943661971831</v>
      </c>
      <c r="CY240" s="100">
        <f>CU240/(CR240-CY230)</f>
        <v>1.3428571428571427</v>
      </c>
      <c r="CZ240" s="100">
        <f>CU240/(CR240-CZ230)</f>
        <v>1.3623188405797102</v>
      </c>
      <c r="DA240" s="100">
        <f>CU240/(CR240-DA230)</f>
        <v>1.010752688172043</v>
      </c>
      <c r="DB240" s="102">
        <f t="shared" si="453"/>
        <v>6.3275435664574387</v>
      </c>
      <c r="DC240" s="211">
        <v>10</v>
      </c>
      <c r="DD240" s="32">
        <f t="shared" si="436"/>
        <v>30.053379713420053</v>
      </c>
      <c r="DE240" s="38">
        <f t="shared" si="454"/>
        <v>32.214410415974783</v>
      </c>
      <c r="DF240" s="38">
        <f t="shared" si="455"/>
        <v>32.939389618927812</v>
      </c>
      <c r="DG240" s="38">
        <f t="shared" si="456"/>
        <v>32.619265338628672</v>
      </c>
      <c r="DH240" s="39">
        <f t="shared" si="457"/>
        <v>28.911355850318969</v>
      </c>
      <c r="DM240" s="86" t="s">
        <v>39</v>
      </c>
      <c r="DR240" s="119" t="s">
        <v>22</v>
      </c>
      <c r="DS240" s="152">
        <v>12</v>
      </c>
      <c r="DT240" s="465">
        <f t="shared" si="468"/>
        <v>1</v>
      </c>
      <c r="DV240" s="88">
        <v>10</v>
      </c>
      <c r="DW240" s="107">
        <v>4</v>
      </c>
      <c r="DX240" s="90"/>
      <c r="DY240" s="99">
        <f>DW240/(DT240-DY230)</f>
        <v>4.8510638297872344</v>
      </c>
      <c r="DZ240" s="100">
        <f>DW240/(DT240-DZ230)</f>
        <v>4.9565217391304346</v>
      </c>
      <c r="EA240" s="100">
        <f>DW240/(DT240-EA230)</f>
        <v>5.0109890109890109</v>
      </c>
      <c r="EB240" s="100">
        <f>DW240/(DT240-EB230)</f>
        <v>5.0666666666666664</v>
      </c>
      <c r="EC240" s="100">
        <f>DW240/(DT240-EC230)</f>
        <v>5.1235955056179776</v>
      </c>
      <c r="ED240" s="102">
        <f t="shared" si="458"/>
        <v>25.008836752191325</v>
      </c>
      <c r="EE240" s="211">
        <v>10</v>
      </c>
      <c r="EF240" s="32">
        <f t="shared" si="459"/>
        <v>28.997398918852852</v>
      </c>
      <c r="EG240" s="38">
        <f t="shared" si="460"/>
        <v>31.113199151104126</v>
      </c>
      <c r="EH240" s="38">
        <f t="shared" si="461"/>
        <v>31.791975649301691</v>
      </c>
      <c r="EI240" s="38">
        <f t="shared" si="462"/>
        <v>31.336428614391608</v>
      </c>
      <c r="EJ240" s="39">
        <f t="shared" si="463"/>
        <v>33.578049522057043</v>
      </c>
    </row>
    <row r="241" spans="1:140" x14ac:dyDescent="0.2">
      <c r="L241" s="465">
        <f t="shared" si="464"/>
        <v>1</v>
      </c>
      <c r="N241" s="88">
        <v>11</v>
      </c>
      <c r="O241" s="107">
        <v>5</v>
      </c>
      <c r="P241" s="90"/>
      <c r="Q241" s="99">
        <f>O241/(L241-Q230)</f>
        <v>13.928571428571431</v>
      </c>
      <c r="R241" s="100">
        <f>O241/(L241-R230)</f>
        <v>5.2702702702702702</v>
      </c>
      <c r="S241" s="100">
        <f>O241/(L241-S230)</f>
        <v>5.4166666666666661</v>
      </c>
      <c r="T241" s="100">
        <f>O241/(L241-T230)</f>
        <v>5.5714285714285712</v>
      </c>
      <c r="U241" s="100">
        <f>O241/(L241-U230)</f>
        <v>5.7352941176470589</v>
      </c>
      <c r="V241" s="102">
        <f t="shared" si="437"/>
        <v>35.922231054583996</v>
      </c>
      <c r="W241" s="88">
        <v>11</v>
      </c>
      <c r="X241" s="32">
        <f t="shared" si="438"/>
        <v>47.674238179713562</v>
      </c>
      <c r="Y241" s="38">
        <f t="shared" si="439"/>
        <v>24.699502379381531</v>
      </c>
      <c r="Z241" s="38">
        <f t="shared" si="440"/>
        <v>25.397710982932082</v>
      </c>
      <c r="AA241" s="38">
        <f t="shared" si="441"/>
        <v>25.398584160774313</v>
      </c>
      <c r="AB241" s="39">
        <f t="shared" si="442"/>
        <v>27.090862779882052</v>
      </c>
      <c r="AN241" s="465">
        <f t="shared" si="465"/>
        <v>1</v>
      </c>
      <c r="AP241" s="88">
        <v>11</v>
      </c>
      <c r="AQ241" s="107">
        <v>7</v>
      </c>
      <c r="AR241" s="90"/>
      <c r="AS241" s="99">
        <f>AQ241/(AN241-AS230)</f>
        <v>12.64516129032258</v>
      </c>
      <c r="AT241" s="100">
        <f>AQ241/(AN241-AT230)</f>
        <v>12.64516129032258</v>
      </c>
      <c r="AU241" s="100">
        <f>AQ241/(AN241-AU230)</f>
        <v>7.1272727272727279</v>
      </c>
      <c r="AV241" s="100">
        <f>AQ241/(AN241-AV230)</f>
        <v>7.2592592592592595</v>
      </c>
      <c r="AW241" s="100">
        <f>AQ241/(AN241-AW230)</f>
        <v>7.3962264150943398</v>
      </c>
      <c r="AX241" s="102">
        <f t="shared" si="443"/>
        <v>47.073080982271485</v>
      </c>
      <c r="AY241" s="98">
        <v>11</v>
      </c>
      <c r="AZ241" s="32">
        <f t="shared" si="434"/>
        <v>35.580777805097185</v>
      </c>
      <c r="BA241" s="38">
        <f t="shared" si="444"/>
        <v>37.012082818491756</v>
      </c>
      <c r="BB241" s="38">
        <f t="shared" si="445"/>
        <v>25.602405765203965</v>
      </c>
      <c r="BC241" s="38">
        <f t="shared" si="446"/>
        <v>25.13553944950058</v>
      </c>
      <c r="BD241" s="39">
        <f t="shared" si="447"/>
        <v>27.045554120156027</v>
      </c>
      <c r="BP241" s="465">
        <f t="shared" si="466"/>
        <v>1</v>
      </c>
      <c r="BR241" s="88">
        <v>11</v>
      </c>
      <c r="BS241" s="107">
        <v>1</v>
      </c>
      <c r="BT241" s="90"/>
      <c r="BU241" s="99">
        <f>BS241/(BP241-BU230)</f>
        <v>1.4230769230769231</v>
      </c>
      <c r="BV241" s="100">
        <f>BS241/(BP241-BV230)</f>
        <v>1.48</v>
      </c>
      <c r="BW241" s="100">
        <f>BS241/(BP241-BW230)</f>
        <v>1.510204081632653</v>
      </c>
      <c r="BX241" s="100">
        <f>BS241/(BP241-BX230)</f>
        <v>1.0136986301369864</v>
      </c>
      <c r="BY241" s="100">
        <f>BS241/(BP241-BY230)</f>
        <v>1.0277777777777777</v>
      </c>
      <c r="BZ241" s="102">
        <f t="shared" si="448"/>
        <v>6.4547574126243399</v>
      </c>
      <c r="CA241" s="211">
        <v>11</v>
      </c>
      <c r="CB241" s="32">
        <f t="shared" si="435"/>
        <v>30.75282900183679</v>
      </c>
      <c r="CC241" s="38">
        <f t="shared" si="449"/>
        <v>32.962722819936182</v>
      </c>
      <c r="CD241" s="38">
        <f t="shared" si="450"/>
        <v>33.782724621312781</v>
      </c>
      <c r="CE241" s="38">
        <f t="shared" si="451"/>
        <v>25.571340991907377</v>
      </c>
      <c r="CF241" s="39">
        <f t="shared" si="452"/>
        <v>27.307410186595547</v>
      </c>
      <c r="CR241" s="465">
        <f t="shared" si="467"/>
        <v>1</v>
      </c>
      <c r="CT241" s="88">
        <v>11</v>
      </c>
      <c r="CU241" s="107">
        <v>4</v>
      </c>
      <c r="CV241" s="90"/>
      <c r="CW241" s="99">
        <f>CU241/(CR241-CW230)</f>
        <v>5.1506849315068486</v>
      </c>
      <c r="CX241" s="100">
        <f>CU241/(CR241-CX230)</f>
        <v>5.295774647887324</v>
      </c>
      <c r="CY241" s="100">
        <f>CU241/(CR241-CY230)</f>
        <v>5.371428571428571</v>
      </c>
      <c r="CZ241" s="100">
        <f>CU241/(CR241-CZ230)</f>
        <v>5.4492753623188408</v>
      </c>
      <c r="DA241" s="100">
        <f>CU241/(CR241-DA230)</f>
        <v>4.043010752688172</v>
      </c>
      <c r="DB241" s="102">
        <f t="shared" si="453"/>
        <v>25.310174265829755</v>
      </c>
      <c r="DC241" s="211">
        <v>11</v>
      </c>
      <c r="DD241" s="32">
        <f t="shared" si="436"/>
        <v>28.975254713420053</v>
      </c>
      <c r="DE241" s="38">
        <f t="shared" si="454"/>
        <v>30.959864961429325</v>
      </c>
      <c r="DF241" s="38">
        <f t="shared" si="455"/>
        <v>31.637502826474986</v>
      </c>
      <c r="DG241" s="38">
        <f t="shared" si="456"/>
        <v>31.387122481485811</v>
      </c>
      <c r="DH241" s="39">
        <f t="shared" si="457"/>
        <v>27.473855850318969</v>
      </c>
      <c r="DT241" s="465">
        <f t="shared" si="468"/>
        <v>1</v>
      </c>
      <c r="DV241" s="88">
        <v>11</v>
      </c>
      <c r="DW241" s="107">
        <v>2</v>
      </c>
      <c r="DX241" s="90"/>
      <c r="DY241" s="99">
        <f>DW241/(DT241-DY230)</f>
        <v>2.4255319148936172</v>
      </c>
      <c r="DZ241" s="100">
        <f>DW241/(DT241-DZ230)</f>
        <v>2.4782608695652173</v>
      </c>
      <c r="EA241" s="100">
        <f>DW241/(DT241-EA230)</f>
        <v>2.5054945054945055</v>
      </c>
      <c r="EB241" s="100">
        <f>DW241/(DT241-EB230)</f>
        <v>2.5333333333333332</v>
      </c>
      <c r="EC241" s="100">
        <f>DW241/(DT241-EC230)</f>
        <v>2.5617977528089888</v>
      </c>
      <c r="ED241" s="102">
        <f t="shared" si="458"/>
        <v>12.504418376095662</v>
      </c>
      <c r="EE241" s="211">
        <v>11</v>
      </c>
      <c r="EF241" s="32">
        <f t="shared" si="459"/>
        <v>27.930732252186182</v>
      </c>
      <c r="EG241" s="38">
        <f t="shared" si="460"/>
        <v>29.858297190319814</v>
      </c>
      <c r="EH241" s="38">
        <f t="shared" si="461"/>
        <v>30.485853200322097</v>
      </c>
      <c r="EI241" s="38">
        <f t="shared" si="462"/>
        <v>30.105659383622378</v>
      </c>
      <c r="EJ241" s="39">
        <f t="shared" si="463"/>
        <v>32.12350406751159</v>
      </c>
    </row>
    <row r="242" spans="1:140" ht="15" thickBot="1" x14ac:dyDescent="0.25">
      <c r="L242" s="465">
        <f t="shared" si="464"/>
        <v>1</v>
      </c>
      <c r="N242" s="109">
        <v>12</v>
      </c>
      <c r="O242" s="110">
        <v>7</v>
      </c>
      <c r="P242" s="90"/>
      <c r="Q242" s="111">
        <f>O242/(L242-Q230)</f>
        <v>19.500000000000004</v>
      </c>
      <c r="R242" s="112">
        <f>O242/(L242-R230)</f>
        <v>7.378378378378379</v>
      </c>
      <c r="S242" s="112">
        <f>O242/(L242-S230)</f>
        <v>7.583333333333333</v>
      </c>
      <c r="T242" s="112">
        <f>O242/(L242-T230)</f>
        <v>7.8</v>
      </c>
      <c r="U242" s="112">
        <f>O242/(L242-U230)</f>
        <v>8.0294117647058822</v>
      </c>
      <c r="V242" s="102">
        <f t="shared" si="437"/>
        <v>50.291123476417596</v>
      </c>
      <c r="W242" s="109">
        <v>12</v>
      </c>
      <c r="X242" s="43">
        <f t="shared" si="438"/>
        <v>46.561738179713565</v>
      </c>
      <c r="Y242" s="70">
        <f t="shared" si="439"/>
        <v>23.445981252620967</v>
      </c>
      <c r="Z242" s="70">
        <f t="shared" si="440"/>
        <v>24.107855910468317</v>
      </c>
      <c r="AA242" s="70">
        <f t="shared" si="441"/>
        <v>24.162473049663202</v>
      </c>
      <c r="AB242" s="71">
        <f t="shared" si="442"/>
        <v>25.700237779882052</v>
      </c>
      <c r="AN242" s="465">
        <f t="shared" si="465"/>
        <v>1</v>
      </c>
      <c r="AP242" s="109">
        <v>12</v>
      </c>
      <c r="AQ242" s="110">
        <v>1</v>
      </c>
      <c r="AR242" s="90"/>
      <c r="AS242" s="111">
        <f>AQ242/(AN242-AS230)</f>
        <v>1.8064516129032258</v>
      </c>
      <c r="AT242" s="112">
        <f>AQ242/(AN242-AT230)</f>
        <v>1.8064516129032258</v>
      </c>
      <c r="AU242" s="112">
        <f>AQ242/(AN242-AU230)</f>
        <v>1.0181818181818183</v>
      </c>
      <c r="AV242" s="112">
        <f>AQ242/(AN242-AV230)</f>
        <v>1.037037037037037</v>
      </c>
      <c r="AW242" s="112">
        <f>AQ242/(AN242-AW230)</f>
        <v>1.0566037735849056</v>
      </c>
      <c r="AX242" s="102">
        <f t="shared" si="443"/>
        <v>6.7247258546102122</v>
      </c>
      <c r="AY242" s="108">
        <v>12</v>
      </c>
      <c r="AZ242" s="43">
        <f t="shared" si="434"/>
        <v>34.491034215353601</v>
      </c>
      <c r="BA242" s="70">
        <f t="shared" si="444"/>
        <v>35.74342610207384</v>
      </c>
      <c r="BB242" s="70">
        <f t="shared" si="445"/>
        <v>24.294713457511659</v>
      </c>
      <c r="BC242" s="70">
        <f t="shared" si="446"/>
        <v>23.921253735214862</v>
      </c>
      <c r="BD242" s="71">
        <f t="shared" si="447"/>
        <v>25.628887453489362</v>
      </c>
      <c r="BP242" s="465">
        <f t="shared" si="466"/>
        <v>1</v>
      </c>
      <c r="BR242" s="109">
        <v>12</v>
      </c>
      <c r="BS242" s="110">
        <v>4</v>
      </c>
      <c r="BT242" s="90"/>
      <c r="BU242" s="111">
        <f>BS242/(BP242-BU230)</f>
        <v>5.6923076923076925</v>
      </c>
      <c r="BV242" s="112">
        <f>BS242/(BP242-BV230)</f>
        <v>5.92</v>
      </c>
      <c r="BW242" s="112">
        <f>BS242/(BP242-BW230)</f>
        <v>6.0408163265306118</v>
      </c>
      <c r="BX242" s="112">
        <f>BS242/(BP242-BX230)</f>
        <v>4.0547945205479454</v>
      </c>
      <c r="BY242" s="112">
        <f>BS242/(BP242-BY230)</f>
        <v>4.1111111111111107</v>
      </c>
      <c r="BZ242" s="102">
        <f t="shared" si="448"/>
        <v>25.81902965049736</v>
      </c>
      <c r="CA242" s="212">
        <v>12</v>
      </c>
      <c r="CB242" s="43">
        <f t="shared" si="435"/>
        <v>29.664593707719142</v>
      </c>
      <c r="CC242" s="70">
        <f t="shared" si="449"/>
        <v>31.708485531800591</v>
      </c>
      <c r="CD242" s="70">
        <f t="shared" si="450"/>
        <v>32.484479007277692</v>
      </c>
      <c r="CE242" s="70">
        <f t="shared" si="451"/>
        <v>24.338007658574046</v>
      </c>
      <c r="CF242" s="71">
        <f t="shared" si="452"/>
        <v>25.884333263518627</v>
      </c>
      <c r="CR242" s="465">
        <f t="shared" si="467"/>
        <v>1</v>
      </c>
      <c r="CT242" s="109">
        <v>12</v>
      </c>
      <c r="CU242" s="110">
        <v>2</v>
      </c>
      <c r="CV242" s="90"/>
      <c r="CW242" s="111">
        <f>CU242/(CR242-CW230)</f>
        <v>2.5753424657534243</v>
      </c>
      <c r="CX242" s="112">
        <f>CU242/(CR242-CX230)</f>
        <v>2.647887323943662</v>
      </c>
      <c r="CY242" s="112">
        <f>CU242/(CR242-CY230)</f>
        <v>2.6857142857142855</v>
      </c>
      <c r="CZ242" s="112">
        <f>CU242/(CR242-CZ230)</f>
        <v>2.7246376811594204</v>
      </c>
      <c r="DA242" s="112">
        <f>CU242/(CR242-DA230)</f>
        <v>2.021505376344086</v>
      </c>
      <c r="DB242" s="102">
        <f t="shared" si="453"/>
        <v>12.655087132914877</v>
      </c>
      <c r="DC242" s="212">
        <v>12</v>
      </c>
      <c r="DD242" s="43">
        <f t="shared" si="436"/>
        <v>27.897129713420053</v>
      </c>
      <c r="DE242" s="70">
        <f t="shared" si="454"/>
        <v>29.705319506883871</v>
      </c>
      <c r="DF242" s="70">
        <f t="shared" si="455"/>
        <v>30.335616034022152</v>
      </c>
      <c r="DG242" s="70">
        <f t="shared" si="456"/>
        <v>30.154979624342957</v>
      </c>
      <c r="DH242" s="71">
        <f t="shared" si="457"/>
        <v>26.036355850318969</v>
      </c>
      <c r="DT242" s="465">
        <f t="shared" si="468"/>
        <v>1</v>
      </c>
      <c r="DV242" s="109">
        <v>12</v>
      </c>
      <c r="DW242" s="110">
        <v>8</v>
      </c>
      <c r="DX242" s="90"/>
      <c r="DY242" s="111">
        <f>DW242/(DT242-DY230)</f>
        <v>9.7021276595744688</v>
      </c>
      <c r="DZ242" s="112">
        <f>DW242/(DT242-DZ230)</f>
        <v>9.9130434782608692</v>
      </c>
      <c r="EA242" s="112">
        <f>DW242/(DT242-EA230)</f>
        <v>10.021978021978022</v>
      </c>
      <c r="EB242" s="112">
        <f>DW242/(DT242-EB230)</f>
        <v>10.133333333333333</v>
      </c>
      <c r="EC242" s="112">
        <f>DW242/(DT242-EC230)</f>
        <v>10.247191011235955</v>
      </c>
      <c r="ED242" s="102">
        <f t="shared" si="458"/>
        <v>50.01767350438265</v>
      </c>
      <c r="EE242" s="212">
        <v>12</v>
      </c>
      <c r="EF242" s="43">
        <f t="shared" si="459"/>
        <v>26.864065585519519</v>
      </c>
      <c r="EG242" s="70">
        <f t="shared" si="460"/>
        <v>28.603395229535501</v>
      </c>
      <c r="EH242" s="70">
        <f t="shared" si="461"/>
        <v>29.179730751342504</v>
      </c>
      <c r="EI242" s="70">
        <f t="shared" si="462"/>
        <v>28.874890152853148</v>
      </c>
      <c r="EJ242" s="71">
        <f t="shared" si="463"/>
        <v>30.668958612966136</v>
      </c>
    </row>
    <row r="243" spans="1:140" x14ac:dyDescent="0.2">
      <c r="N243" s="10"/>
      <c r="O243" s="90"/>
      <c r="P243" s="90"/>
      <c r="Q243" s="113"/>
      <c r="R243" s="113"/>
      <c r="S243" s="113"/>
      <c r="T243" s="113"/>
      <c r="U243" s="113"/>
      <c r="AP243" s="10"/>
      <c r="AQ243" s="90"/>
      <c r="AR243" s="90"/>
      <c r="AS243" s="113"/>
      <c r="AT243" s="113"/>
      <c r="AU243" s="113"/>
      <c r="AV243" s="113"/>
      <c r="AW243" s="113"/>
      <c r="BR243" s="10"/>
      <c r="BS243" s="90"/>
      <c r="BT243" s="90"/>
      <c r="BU243" s="113"/>
      <c r="BV243" s="113"/>
      <c r="BW243" s="113"/>
      <c r="BX243" s="113"/>
      <c r="BY243" s="113"/>
      <c r="CT243" s="10"/>
      <c r="CU243" s="90"/>
      <c r="CV243" s="90"/>
      <c r="CW243" s="113"/>
      <c r="CX243" s="113"/>
      <c r="CY243" s="113"/>
      <c r="CZ243" s="113"/>
      <c r="DA243" s="113"/>
      <c r="DV243" s="10"/>
      <c r="DW243" s="90"/>
      <c r="DX243" s="90"/>
      <c r="DY243" s="113"/>
      <c r="DZ243" s="113"/>
      <c r="EA243" s="113"/>
      <c r="EB243" s="113"/>
      <c r="EC243" s="113"/>
    </row>
    <row r="245" spans="1:140" x14ac:dyDescent="0.2">
      <c r="A245" s="139"/>
      <c r="B245" s="139"/>
      <c r="C245" s="139"/>
      <c r="D245" s="139"/>
      <c r="E245" s="139"/>
      <c r="F245" s="139"/>
      <c r="G245" s="139"/>
      <c r="H245" s="139"/>
      <c r="I245" s="140"/>
      <c r="J245" s="139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  <c r="Z245" s="139"/>
      <c r="AA245" s="139"/>
      <c r="AB245" s="139"/>
      <c r="AD245" s="139"/>
      <c r="AE245" s="139"/>
      <c r="AF245" s="139"/>
      <c r="AG245" s="139"/>
      <c r="AH245" s="139"/>
      <c r="AI245" s="139"/>
      <c r="AJ245" s="139"/>
      <c r="AK245" s="140"/>
      <c r="AL245" s="139"/>
      <c r="AM245" s="139"/>
      <c r="AN245" s="139"/>
      <c r="AO245" s="139"/>
      <c r="AP245" s="139"/>
      <c r="AQ245" s="139"/>
      <c r="AR245" s="139"/>
      <c r="AS245" s="139"/>
      <c r="AT245" s="139"/>
      <c r="AU245" s="139"/>
      <c r="AV245" s="139"/>
      <c r="AW245" s="139"/>
      <c r="AX245" s="139"/>
      <c r="AY245" s="139"/>
      <c r="AZ245" s="139"/>
      <c r="BA245" s="139"/>
      <c r="BB245" s="139"/>
      <c r="BC245" s="139"/>
      <c r="BD245" s="139"/>
      <c r="BF245" s="139"/>
      <c r="BG245" s="139"/>
      <c r="BH245" s="139"/>
      <c r="BI245" s="139"/>
      <c r="BJ245" s="139"/>
      <c r="BK245" s="139"/>
      <c r="BL245" s="139"/>
      <c r="BM245" s="140"/>
      <c r="BN245" s="139"/>
      <c r="BO245" s="139"/>
      <c r="BP245" s="139"/>
      <c r="BQ245" s="139"/>
      <c r="BR245" s="139"/>
      <c r="BS245" s="139"/>
      <c r="BT245" s="139"/>
      <c r="BU245" s="139"/>
      <c r="BV245" s="139"/>
      <c r="BW245" s="139"/>
      <c r="BX245" s="139"/>
      <c r="BY245" s="139"/>
      <c r="BZ245" s="139"/>
      <c r="CA245" s="139"/>
      <c r="CB245" s="139"/>
      <c r="CC245" s="139"/>
      <c r="CD245" s="139"/>
      <c r="CE245" s="139"/>
      <c r="CF245" s="139"/>
      <c r="CH245" s="139"/>
      <c r="CI245" s="139"/>
      <c r="CJ245" s="139"/>
      <c r="CK245" s="139"/>
      <c r="CL245" s="139"/>
      <c r="CM245" s="139"/>
      <c r="CN245" s="139"/>
      <c r="CO245" s="140"/>
      <c r="CP245" s="139"/>
      <c r="CQ245" s="139"/>
      <c r="CR245" s="139"/>
      <c r="CS245" s="139"/>
      <c r="CT245" s="139"/>
      <c r="CU245" s="139"/>
      <c r="CV245" s="139"/>
      <c r="CW245" s="139"/>
      <c r="CX245" s="139"/>
      <c r="CY245" s="139"/>
      <c r="CZ245" s="139"/>
      <c r="DA245" s="139"/>
      <c r="DB245" s="139"/>
      <c r="DC245" s="139"/>
      <c r="DD245" s="139"/>
      <c r="DE245" s="139"/>
      <c r="DF245" s="139"/>
      <c r="DG245" s="139"/>
      <c r="DH245" s="139"/>
      <c r="DJ245" s="139"/>
      <c r="DK245" s="139"/>
      <c r="DL245" s="139"/>
      <c r="DM245" s="139"/>
      <c r="DN245" s="139"/>
      <c r="DO245" s="139"/>
      <c r="DP245" s="139"/>
      <c r="DQ245" s="140"/>
      <c r="DR245" s="139"/>
      <c r="DS245" s="139"/>
      <c r="DT245" s="139"/>
      <c r="DU245" s="139"/>
      <c r="DV245" s="139"/>
      <c r="DW245" s="139"/>
      <c r="DX245" s="139"/>
      <c r="DY245" s="139"/>
      <c r="DZ245" s="139"/>
      <c r="EA245" s="139"/>
      <c r="EB245" s="139"/>
      <c r="EC245" s="139"/>
      <c r="ED245" s="139"/>
      <c r="EE245" s="139"/>
      <c r="EF245" s="139"/>
      <c r="EG245" s="139"/>
      <c r="EH245" s="139"/>
      <c r="EI245" s="139"/>
      <c r="EJ245" s="139"/>
    </row>
  </sheetData>
  <mergeCells count="50">
    <mergeCell ref="AZ6:BD6"/>
    <mergeCell ref="CB6:CF6"/>
    <mergeCell ref="DD6:DH6"/>
    <mergeCell ref="EF6:EJ6"/>
    <mergeCell ref="J22:K22"/>
    <mergeCell ref="AL22:AM22"/>
    <mergeCell ref="BN22:BO22"/>
    <mergeCell ref="CP22:CQ22"/>
    <mergeCell ref="DR22:DS22"/>
    <mergeCell ref="DD55:DH55"/>
    <mergeCell ref="EF55:EJ55"/>
    <mergeCell ref="J71:K71"/>
    <mergeCell ref="AL71:AM71"/>
    <mergeCell ref="BN71:BO71"/>
    <mergeCell ref="CP71:CQ71"/>
    <mergeCell ref="DR71:DS71"/>
    <mergeCell ref="EF103:EJ103"/>
    <mergeCell ref="J119:K119"/>
    <mergeCell ref="AL119:AM119"/>
    <mergeCell ref="BN119:BO119"/>
    <mergeCell ref="CP119:CQ119"/>
    <mergeCell ref="DR119:DS119"/>
    <mergeCell ref="EF151:EJ151"/>
    <mergeCell ref="J167:K167"/>
    <mergeCell ref="AL167:AM167"/>
    <mergeCell ref="BN167:BO167"/>
    <mergeCell ref="CP167:CQ167"/>
    <mergeCell ref="DR167:DS167"/>
    <mergeCell ref="EF199:EJ199"/>
    <mergeCell ref="J215:K215"/>
    <mergeCell ref="AL215:AM215"/>
    <mergeCell ref="BN215:BO215"/>
    <mergeCell ref="CP215:CQ215"/>
    <mergeCell ref="DR215:DS215"/>
    <mergeCell ref="X5:AB5"/>
    <mergeCell ref="X199:AB199"/>
    <mergeCell ref="AZ199:BD199"/>
    <mergeCell ref="CB199:CF199"/>
    <mergeCell ref="DD199:DH199"/>
    <mergeCell ref="X151:AB151"/>
    <mergeCell ref="AZ151:BD151"/>
    <mergeCell ref="CB151:CF151"/>
    <mergeCell ref="DD151:DH151"/>
    <mergeCell ref="X103:AB103"/>
    <mergeCell ref="AZ103:BD103"/>
    <mergeCell ref="CB103:CF103"/>
    <mergeCell ref="DD103:DH103"/>
    <mergeCell ref="X55:AB55"/>
    <mergeCell ref="AZ55:BD55"/>
    <mergeCell ref="CB55:CF5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0655-261D-461A-83FC-DEFDC53C7571}">
  <sheetPr>
    <tabColor rgb="FFFFFF00"/>
  </sheetPr>
  <dimension ref="B3:K124"/>
  <sheetViews>
    <sheetView workbookViewId="0">
      <selection activeCell="B4" sqref="B4:E4"/>
    </sheetView>
  </sheetViews>
  <sheetFormatPr defaultRowHeight="14.25" x14ac:dyDescent="0.2"/>
  <cols>
    <col min="3" max="3" width="17.625" style="158" customWidth="1"/>
    <col min="4" max="4" width="12.125" style="158" customWidth="1"/>
    <col min="5" max="5" width="13" style="158" customWidth="1"/>
    <col min="9" max="9" width="17.625" style="158" customWidth="1"/>
    <col min="10" max="10" width="12.125" style="158" customWidth="1"/>
    <col min="11" max="11" width="13" style="158" customWidth="1"/>
  </cols>
  <sheetData>
    <row r="3" spans="2:11" ht="15" thickBot="1" x14ac:dyDescent="0.25"/>
    <row r="4" spans="2:11" ht="36.75" thickBot="1" x14ac:dyDescent="0.25">
      <c r="B4" s="445" t="s">
        <v>339</v>
      </c>
      <c r="C4" s="446" t="s">
        <v>579</v>
      </c>
      <c r="D4" s="446" t="s">
        <v>577</v>
      </c>
      <c r="E4" s="447" t="s">
        <v>578</v>
      </c>
      <c r="H4" s="445" t="s">
        <v>339</v>
      </c>
      <c r="I4" s="446" t="s">
        <v>579</v>
      </c>
      <c r="J4" s="446" t="s">
        <v>577</v>
      </c>
      <c r="K4" s="447" t="s">
        <v>578</v>
      </c>
    </row>
    <row r="5" spans="2:11" ht="18.75" x14ac:dyDescent="0.3">
      <c r="B5" s="448">
        <v>1</v>
      </c>
      <c r="C5" s="458" t="s">
        <v>128</v>
      </c>
      <c r="D5" s="450">
        <v>16</v>
      </c>
      <c r="E5" s="451" t="s">
        <v>562</v>
      </c>
      <c r="H5" s="448">
        <v>1</v>
      </c>
      <c r="I5" s="449" t="s">
        <v>311</v>
      </c>
      <c r="J5" s="450">
        <v>28</v>
      </c>
      <c r="K5" s="451" t="s">
        <v>562</v>
      </c>
    </row>
    <row r="6" spans="2:11" ht="18.75" x14ac:dyDescent="0.3">
      <c r="B6" s="452">
        <v>2</v>
      </c>
      <c r="C6" s="459" t="s">
        <v>129</v>
      </c>
      <c r="D6" s="441">
        <v>26</v>
      </c>
      <c r="E6" s="453" t="s">
        <v>562</v>
      </c>
      <c r="H6" s="452">
        <v>2</v>
      </c>
      <c r="I6" s="442" t="s">
        <v>313</v>
      </c>
      <c r="J6" s="441">
        <v>28</v>
      </c>
      <c r="K6" s="453" t="s">
        <v>562</v>
      </c>
    </row>
    <row r="7" spans="2:11" ht="18.75" x14ac:dyDescent="0.3">
      <c r="B7" s="452">
        <v>3</v>
      </c>
      <c r="C7" s="459" t="s">
        <v>132</v>
      </c>
      <c r="D7" s="441">
        <f>17</f>
        <v>17</v>
      </c>
      <c r="E7" s="453" t="s">
        <v>562</v>
      </c>
      <c r="H7" s="452">
        <v>3</v>
      </c>
      <c r="I7" s="442" t="s">
        <v>223</v>
      </c>
      <c r="J7" s="441">
        <v>28</v>
      </c>
      <c r="K7" s="453" t="s">
        <v>562</v>
      </c>
    </row>
    <row r="8" spans="2:11" ht="18.75" x14ac:dyDescent="0.3">
      <c r="B8" s="452">
        <v>4</v>
      </c>
      <c r="C8" s="459" t="s">
        <v>221</v>
      </c>
      <c r="D8" s="441">
        <v>25</v>
      </c>
      <c r="E8" s="453" t="s">
        <v>562</v>
      </c>
      <c r="H8" s="452">
        <v>4</v>
      </c>
      <c r="I8" s="442" t="s">
        <v>322</v>
      </c>
      <c r="J8" s="441">
        <v>28</v>
      </c>
      <c r="K8" s="453" t="s">
        <v>562</v>
      </c>
    </row>
    <row r="9" spans="2:11" ht="18.75" x14ac:dyDescent="0.3">
      <c r="B9" s="452">
        <v>5</v>
      </c>
      <c r="C9" s="459" t="s">
        <v>295</v>
      </c>
      <c r="D9" s="441">
        <v>16</v>
      </c>
      <c r="E9" s="453" t="s">
        <v>562</v>
      </c>
      <c r="H9" s="452">
        <v>5</v>
      </c>
      <c r="I9" s="442" t="s">
        <v>202</v>
      </c>
      <c r="J9" s="441">
        <v>28</v>
      </c>
      <c r="K9" s="453" t="s">
        <v>562</v>
      </c>
    </row>
    <row r="10" spans="2:11" ht="18.75" x14ac:dyDescent="0.3">
      <c r="B10" s="452">
        <v>6</v>
      </c>
      <c r="C10" s="459" t="s">
        <v>133</v>
      </c>
      <c r="D10" s="441">
        <v>27</v>
      </c>
      <c r="E10" s="453" t="s">
        <v>562</v>
      </c>
      <c r="H10" s="452">
        <v>6</v>
      </c>
      <c r="I10" s="442" t="s">
        <v>326</v>
      </c>
      <c r="J10" s="441">
        <v>28</v>
      </c>
      <c r="K10" s="453" t="s">
        <v>562</v>
      </c>
    </row>
    <row r="11" spans="2:11" ht="18.75" x14ac:dyDescent="0.3">
      <c r="B11" s="452">
        <v>7</v>
      </c>
      <c r="C11" s="459" t="s">
        <v>134</v>
      </c>
      <c r="D11" s="441">
        <v>15</v>
      </c>
      <c r="E11" s="453" t="s">
        <v>562</v>
      </c>
      <c r="H11" s="452">
        <v>7</v>
      </c>
      <c r="I11" s="442" t="s">
        <v>133</v>
      </c>
      <c r="J11" s="441">
        <v>27</v>
      </c>
      <c r="K11" s="453" t="s">
        <v>562</v>
      </c>
    </row>
    <row r="12" spans="2:11" ht="18.75" x14ac:dyDescent="0.3">
      <c r="B12" s="452">
        <v>8</v>
      </c>
      <c r="C12" s="459" t="s">
        <v>135</v>
      </c>
      <c r="D12" s="441">
        <v>17</v>
      </c>
      <c r="E12" s="453" t="s">
        <v>562</v>
      </c>
      <c r="H12" s="452">
        <v>8</v>
      </c>
      <c r="I12" s="442" t="s">
        <v>215</v>
      </c>
      <c r="J12" s="441">
        <v>27</v>
      </c>
      <c r="K12" s="453" t="s">
        <v>562</v>
      </c>
    </row>
    <row r="13" spans="2:11" ht="18.75" x14ac:dyDescent="0.3">
      <c r="B13" s="452">
        <v>9</v>
      </c>
      <c r="C13" s="459" t="s">
        <v>257</v>
      </c>
      <c r="D13" s="441">
        <v>16</v>
      </c>
      <c r="E13" s="453" t="s">
        <v>562</v>
      </c>
      <c r="H13" s="452">
        <v>9</v>
      </c>
      <c r="I13" s="442" t="s">
        <v>285</v>
      </c>
      <c r="J13" s="441">
        <v>27</v>
      </c>
      <c r="K13" s="453" t="s">
        <v>562</v>
      </c>
    </row>
    <row r="14" spans="2:11" ht="18.75" x14ac:dyDescent="0.3">
      <c r="B14" s="452">
        <v>10</v>
      </c>
      <c r="C14" s="459" t="s">
        <v>137</v>
      </c>
      <c r="D14" s="441">
        <v>25</v>
      </c>
      <c r="E14" s="453" t="s">
        <v>562</v>
      </c>
      <c r="H14" s="452">
        <v>10</v>
      </c>
      <c r="I14" s="442" t="s">
        <v>331</v>
      </c>
      <c r="J14" s="441">
        <v>27</v>
      </c>
      <c r="K14" s="453" t="s">
        <v>562</v>
      </c>
    </row>
    <row r="15" spans="2:11" ht="18.75" x14ac:dyDescent="0.3">
      <c r="B15" s="452">
        <v>11</v>
      </c>
      <c r="C15" s="459" t="s">
        <v>138</v>
      </c>
      <c r="D15" s="441">
        <v>15</v>
      </c>
      <c r="E15" s="453" t="s">
        <v>562</v>
      </c>
      <c r="H15" s="452">
        <v>11</v>
      </c>
      <c r="I15" s="442" t="s">
        <v>315</v>
      </c>
      <c r="J15" s="441">
        <v>27</v>
      </c>
      <c r="K15" s="453" t="s">
        <v>562</v>
      </c>
    </row>
    <row r="16" spans="2:11" ht="18.75" x14ac:dyDescent="0.3">
      <c r="B16" s="452">
        <v>12</v>
      </c>
      <c r="C16" s="459" t="s">
        <v>139</v>
      </c>
      <c r="D16" s="441">
        <v>14</v>
      </c>
      <c r="E16" s="453" t="s">
        <v>562</v>
      </c>
      <c r="H16" s="452">
        <v>12</v>
      </c>
      <c r="I16" s="442" t="s">
        <v>328</v>
      </c>
      <c r="J16" s="441">
        <v>27</v>
      </c>
      <c r="K16" s="453" t="s">
        <v>562</v>
      </c>
    </row>
    <row r="17" spans="2:11" ht="18.75" x14ac:dyDescent="0.3">
      <c r="B17" s="452">
        <v>13</v>
      </c>
      <c r="C17" s="459" t="s">
        <v>311</v>
      </c>
      <c r="D17" s="441">
        <v>28</v>
      </c>
      <c r="E17" s="453" t="s">
        <v>562</v>
      </c>
      <c r="H17" s="452">
        <v>13</v>
      </c>
      <c r="I17" s="442" t="s">
        <v>259</v>
      </c>
      <c r="J17" s="441">
        <v>27</v>
      </c>
      <c r="K17" s="453" t="s">
        <v>562</v>
      </c>
    </row>
    <row r="18" spans="2:11" ht="18.75" x14ac:dyDescent="0.3">
      <c r="B18" s="452">
        <v>14</v>
      </c>
      <c r="C18" s="459" t="s">
        <v>215</v>
      </c>
      <c r="D18" s="441">
        <v>27</v>
      </c>
      <c r="E18" s="453" t="s">
        <v>562</v>
      </c>
      <c r="H18" s="452">
        <v>14</v>
      </c>
      <c r="I18" s="442" t="s">
        <v>318</v>
      </c>
      <c r="J18" s="441">
        <v>27</v>
      </c>
      <c r="K18" s="453" t="s">
        <v>562</v>
      </c>
    </row>
    <row r="19" spans="2:11" ht="18.75" x14ac:dyDescent="0.3">
      <c r="B19" s="452">
        <v>15</v>
      </c>
      <c r="C19" s="459" t="s">
        <v>217</v>
      </c>
      <c r="D19" s="441">
        <v>24</v>
      </c>
      <c r="E19" s="453" t="s">
        <v>562</v>
      </c>
      <c r="H19" s="452">
        <v>15</v>
      </c>
      <c r="I19" s="442" t="s">
        <v>129</v>
      </c>
      <c r="J19" s="441">
        <v>26</v>
      </c>
      <c r="K19" s="453" t="s">
        <v>562</v>
      </c>
    </row>
    <row r="20" spans="2:11" ht="18.75" x14ac:dyDescent="0.3">
      <c r="B20" s="452">
        <v>16</v>
      </c>
      <c r="C20" s="459" t="s">
        <v>296</v>
      </c>
      <c r="D20" s="441">
        <v>26</v>
      </c>
      <c r="E20" s="453" t="s">
        <v>562</v>
      </c>
      <c r="H20" s="452">
        <v>16</v>
      </c>
      <c r="I20" s="442" t="s">
        <v>296</v>
      </c>
      <c r="J20" s="441">
        <v>26</v>
      </c>
      <c r="K20" s="453" t="s">
        <v>562</v>
      </c>
    </row>
    <row r="21" spans="2:11" ht="18.75" x14ac:dyDescent="0.3">
      <c r="B21" s="452">
        <v>17</v>
      </c>
      <c r="C21" s="459" t="s">
        <v>145</v>
      </c>
      <c r="D21" s="441">
        <v>12</v>
      </c>
      <c r="E21" s="453" t="s">
        <v>562</v>
      </c>
      <c r="H21" s="452">
        <v>17</v>
      </c>
      <c r="I21" s="442" t="s">
        <v>284</v>
      </c>
      <c r="J21" s="441">
        <v>26</v>
      </c>
      <c r="K21" s="453" t="s">
        <v>562</v>
      </c>
    </row>
    <row r="22" spans="2:11" ht="18.75" x14ac:dyDescent="0.3">
      <c r="B22" s="452">
        <v>18</v>
      </c>
      <c r="C22" s="459" t="s">
        <v>146</v>
      </c>
      <c r="D22" s="441">
        <v>17</v>
      </c>
      <c r="E22" s="453" t="s">
        <v>562</v>
      </c>
      <c r="H22" s="452">
        <v>18</v>
      </c>
      <c r="I22" s="442" t="s">
        <v>306</v>
      </c>
      <c r="J22" s="441">
        <v>26</v>
      </c>
      <c r="K22" s="453" t="s">
        <v>562</v>
      </c>
    </row>
    <row r="23" spans="2:11" ht="18.75" x14ac:dyDescent="0.3">
      <c r="B23" s="452">
        <v>19</v>
      </c>
      <c r="C23" s="459" t="s">
        <v>284</v>
      </c>
      <c r="D23" s="441">
        <v>26</v>
      </c>
      <c r="E23" s="453" t="s">
        <v>562</v>
      </c>
      <c r="H23" s="452">
        <v>19</v>
      </c>
      <c r="I23" s="442" t="s">
        <v>154</v>
      </c>
      <c r="J23" s="441">
        <v>26</v>
      </c>
      <c r="K23" s="453" t="s">
        <v>562</v>
      </c>
    </row>
    <row r="24" spans="2:11" ht="18.75" x14ac:dyDescent="0.3">
      <c r="B24" s="452">
        <v>20</v>
      </c>
      <c r="C24" s="459" t="s">
        <v>316</v>
      </c>
      <c r="D24" s="441">
        <v>25</v>
      </c>
      <c r="E24" s="453" t="s">
        <v>562</v>
      </c>
      <c r="H24" s="452">
        <v>20</v>
      </c>
      <c r="I24" s="442" t="s">
        <v>267</v>
      </c>
      <c r="J24" s="441">
        <v>26</v>
      </c>
      <c r="K24" s="453" t="s">
        <v>562</v>
      </c>
    </row>
    <row r="25" spans="2:11" ht="18.75" x14ac:dyDescent="0.3">
      <c r="B25" s="452">
        <v>21</v>
      </c>
      <c r="C25" s="459" t="s">
        <v>149</v>
      </c>
      <c r="D25" s="441">
        <v>14</v>
      </c>
      <c r="E25" s="453" t="s">
        <v>562</v>
      </c>
      <c r="H25" s="452">
        <v>21</v>
      </c>
      <c r="I25" s="442" t="s">
        <v>173</v>
      </c>
      <c r="J25" s="441">
        <v>26</v>
      </c>
      <c r="K25" s="453" t="s">
        <v>562</v>
      </c>
    </row>
    <row r="26" spans="2:11" ht="18.75" x14ac:dyDescent="0.3">
      <c r="B26" s="452">
        <v>22</v>
      </c>
      <c r="C26" s="459" t="s">
        <v>306</v>
      </c>
      <c r="D26" s="441">
        <v>26</v>
      </c>
      <c r="E26" s="453" t="s">
        <v>562</v>
      </c>
      <c r="H26" s="452">
        <v>22</v>
      </c>
      <c r="I26" s="442" t="s">
        <v>264</v>
      </c>
      <c r="J26" s="441">
        <v>26</v>
      </c>
      <c r="K26" s="453" t="s">
        <v>562</v>
      </c>
    </row>
    <row r="27" spans="2:11" ht="18.75" x14ac:dyDescent="0.3">
      <c r="B27" s="452">
        <v>23</v>
      </c>
      <c r="C27" s="459" t="s">
        <v>150</v>
      </c>
      <c r="D27" s="441">
        <v>14</v>
      </c>
      <c r="E27" s="453" t="s">
        <v>562</v>
      </c>
      <c r="H27" s="452">
        <v>23</v>
      </c>
      <c r="I27" s="442" t="s">
        <v>303</v>
      </c>
      <c r="J27" s="441">
        <v>26</v>
      </c>
      <c r="K27" s="453" t="s">
        <v>562</v>
      </c>
    </row>
    <row r="28" spans="2:11" ht="18.75" x14ac:dyDescent="0.3">
      <c r="B28" s="452">
        <v>24</v>
      </c>
      <c r="C28" s="459" t="s">
        <v>276</v>
      </c>
      <c r="D28" s="441">
        <v>25</v>
      </c>
      <c r="E28" s="453" t="s">
        <v>562</v>
      </c>
      <c r="H28" s="452">
        <v>24</v>
      </c>
      <c r="I28" s="442" t="s">
        <v>319</v>
      </c>
      <c r="J28" s="441">
        <v>26</v>
      </c>
      <c r="K28" s="453" t="s">
        <v>562</v>
      </c>
    </row>
    <row r="29" spans="2:11" ht="18.75" x14ac:dyDescent="0.3">
      <c r="B29" s="452">
        <v>25</v>
      </c>
      <c r="C29" s="459" t="s">
        <v>151</v>
      </c>
      <c r="D29" s="441">
        <v>15</v>
      </c>
      <c r="E29" s="453" t="s">
        <v>562</v>
      </c>
      <c r="H29" s="452">
        <v>25</v>
      </c>
      <c r="I29" s="442" t="s">
        <v>277</v>
      </c>
      <c r="J29" s="441">
        <v>26</v>
      </c>
      <c r="K29" s="453" t="s">
        <v>562</v>
      </c>
    </row>
    <row r="30" spans="2:11" ht="18.75" x14ac:dyDescent="0.3">
      <c r="B30" s="452">
        <v>26</v>
      </c>
      <c r="C30" s="459" t="s">
        <v>288</v>
      </c>
      <c r="D30" s="441">
        <v>25</v>
      </c>
      <c r="E30" s="453" t="s">
        <v>562</v>
      </c>
      <c r="H30" s="452">
        <v>26</v>
      </c>
      <c r="I30" s="442" t="s">
        <v>283</v>
      </c>
      <c r="J30" s="441">
        <v>26</v>
      </c>
      <c r="K30" s="453" t="s">
        <v>562</v>
      </c>
    </row>
    <row r="31" spans="2:11" ht="18.75" x14ac:dyDescent="0.3">
      <c r="B31" s="452">
        <v>27</v>
      </c>
      <c r="C31" s="459" t="s">
        <v>251</v>
      </c>
      <c r="D31" s="441">
        <v>24</v>
      </c>
      <c r="E31" s="453" t="s">
        <v>562</v>
      </c>
      <c r="H31" s="452">
        <v>27</v>
      </c>
      <c r="I31" s="442" t="s">
        <v>258</v>
      </c>
      <c r="J31" s="441">
        <v>26</v>
      </c>
      <c r="K31" s="453" t="s">
        <v>562</v>
      </c>
    </row>
    <row r="32" spans="2:11" ht="18.75" x14ac:dyDescent="0.3">
      <c r="B32" s="452">
        <v>28</v>
      </c>
      <c r="C32" s="459" t="s">
        <v>153</v>
      </c>
      <c r="D32" s="441">
        <v>12</v>
      </c>
      <c r="E32" s="453" t="s">
        <v>562</v>
      </c>
      <c r="H32" s="452">
        <v>28</v>
      </c>
      <c r="I32" s="442" t="s">
        <v>269</v>
      </c>
      <c r="J32" s="441">
        <v>26</v>
      </c>
      <c r="K32" s="453" t="s">
        <v>562</v>
      </c>
    </row>
    <row r="33" spans="2:11" ht="18.75" x14ac:dyDescent="0.3">
      <c r="B33" s="452">
        <v>29</v>
      </c>
      <c r="C33" s="459" t="s">
        <v>154</v>
      </c>
      <c r="D33" s="441">
        <v>26</v>
      </c>
      <c r="E33" s="453" t="s">
        <v>562</v>
      </c>
      <c r="H33" s="452">
        <v>29</v>
      </c>
      <c r="I33" s="442" t="s">
        <v>314</v>
      </c>
      <c r="J33" s="441">
        <v>26</v>
      </c>
      <c r="K33" s="453" t="s">
        <v>562</v>
      </c>
    </row>
    <row r="34" spans="2:11" ht="19.5" thickBot="1" x14ac:dyDescent="0.35">
      <c r="B34" s="454">
        <v>30</v>
      </c>
      <c r="C34" s="460" t="s">
        <v>159</v>
      </c>
      <c r="D34" s="456">
        <v>14</v>
      </c>
      <c r="E34" s="457" t="s">
        <v>562</v>
      </c>
      <c r="H34" s="454">
        <v>30</v>
      </c>
      <c r="I34" s="455" t="s">
        <v>332</v>
      </c>
      <c r="J34" s="456">
        <v>26</v>
      </c>
      <c r="K34" s="457" t="s">
        <v>562</v>
      </c>
    </row>
    <row r="35" spans="2:11" ht="18.75" x14ac:dyDescent="0.3">
      <c r="B35" s="448">
        <v>31</v>
      </c>
      <c r="C35" s="458" t="s">
        <v>156</v>
      </c>
      <c r="D35" s="450">
        <v>14</v>
      </c>
      <c r="E35" s="451" t="s">
        <v>562</v>
      </c>
      <c r="H35" s="448">
        <v>31</v>
      </c>
      <c r="I35" s="449" t="s">
        <v>293</v>
      </c>
      <c r="J35" s="450">
        <v>26</v>
      </c>
      <c r="K35" s="451" t="s">
        <v>562</v>
      </c>
    </row>
    <row r="36" spans="2:11" ht="18.75" x14ac:dyDescent="0.3">
      <c r="B36" s="452">
        <v>32</v>
      </c>
      <c r="C36" s="459" t="s">
        <v>323</v>
      </c>
      <c r="D36" s="441">
        <v>16</v>
      </c>
      <c r="E36" s="453" t="s">
        <v>562</v>
      </c>
      <c r="H36" s="452">
        <v>32</v>
      </c>
      <c r="I36" s="442" t="s">
        <v>227</v>
      </c>
      <c r="J36" s="441">
        <v>26</v>
      </c>
      <c r="K36" s="453" t="s">
        <v>562</v>
      </c>
    </row>
    <row r="37" spans="2:11" ht="18.75" x14ac:dyDescent="0.3">
      <c r="B37" s="452">
        <v>33</v>
      </c>
      <c r="C37" s="459" t="s">
        <v>158</v>
      </c>
      <c r="D37" s="441">
        <v>16</v>
      </c>
      <c r="E37" s="453" t="s">
        <v>562</v>
      </c>
      <c r="H37" s="452">
        <v>33</v>
      </c>
      <c r="I37" s="442" t="s">
        <v>213</v>
      </c>
      <c r="J37" s="441">
        <v>26</v>
      </c>
      <c r="K37" s="453" t="s">
        <v>562</v>
      </c>
    </row>
    <row r="38" spans="2:11" ht="18.75" x14ac:dyDescent="0.3">
      <c r="B38" s="452">
        <v>34</v>
      </c>
      <c r="C38" s="459" t="s">
        <v>161</v>
      </c>
      <c r="D38" s="441">
        <v>24</v>
      </c>
      <c r="E38" s="453" t="s">
        <v>562</v>
      </c>
      <c r="H38" s="452">
        <v>34</v>
      </c>
      <c r="I38" s="442" t="s">
        <v>290</v>
      </c>
      <c r="J38" s="441">
        <v>26</v>
      </c>
      <c r="K38" s="453" t="s">
        <v>562</v>
      </c>
    </row>
    <row r="39" spans="2:11" ht="18.75" x14ac:dyDescent="0.3">
      <c r="B39" s="452">
        <v>35</v>
      </c>
      <c r="C39" s="459" t="s">
        <v>162</v>
      </c>
      <c r="D39" s="441">
        <v>12</v>
      </c>
      <c r="E39" s="453" t="s">
        <v>562</v>
      </c>
      <c r="H39" s="452">
        <v>35</v>
      </c>
      <c r="I39" s="442" t="s">
        <v>320</v>
      </c>
      <c r="J39" s="441">
        <v>26</v>
      </c>
      <c r="K39" s="453" t="s">
        <v>562</v>
      </c>
    </row>
    <row r="40" spans="2:11" ht="18.75" x14ac:dyDescent="0.3">
      <c r="B40" s="452">
        <v>36</v>
      </c>
      <c r="C40" s="459" t="s">
        <v>273</v>
      </c>
      <c r="D40" s="441">
        <v>24</v>
      </c>
      <c r="E40" s="453" t="s">
        <v>562</v>
      </c>
      <c r="H40" s="452">
        <v>36</v>
      </c>
      <c r="I40" s="442" t="s">
        <v>221</v>
      </c>
      <c r="J40" s="441">
        <v>25</v>
      </c>
      <c r="K40" s="453" t="s">
        <v>562</v>
      </c>
    </row>
    <row r="41" spans="2:11" ht="18.75" x14ac:dyDescent="0.3">
      <c r="B41" s="452">
        <v>37</v>
      </c>
      <c r="C41" s="459" t="s">
        <v>163</v>
      </c>
      <c r="D41" s="441">
        <v>13</v>
      </c>
      <c r="E41" s="453" t="s">
        <v>562</v>
      </c>
      <c r="H41" s="452">
        <v>37</v>
      </c>
      <c r="I41" s="442" t="s">
        <v>137</v>
      </c>
      <c r="J41" s="441">
        <v>25</v>
      </c>
      <c r="K41" s="453" t="s">
        <v>562</v>
      </c>
    </row>
    <row r="42" spans="2:11" ht="18.75" x14ac:dyDescent="0.3">
      <c r="B42" s="452">
        <v>38</v>
      </c>
      <c r="C42" s="459" t="s">
        <v>285</v>
      </c>
      <c r="D42" s="441">
        <v>27</v>
      </c>
      <c r="E42" s="453" t="s">
        <v>562</v>
      </c>
      <c r="H42" s="452">
        <v>38</v>
      </c>
      <c r="I42" s="442" t="s">
        <v>316</v>
      </c>
      <c r="J42" s="441">
        <v>25</v>
      </c>
      <c r="K42" s="453" t="s">
        <v>562</v>
      </c>
    </row>
    <row r="43" spans="2:11" ht="18.75" x14ac:dyDescent="0.3">
      <c r="B43" s="452">
        <v>39</v>
      </c>
      <c r="C43" s="459" t="s">
        <v>167</v>
      </c>
      <c r="D43" s="441">
        <v>12</v>
      </c>
      <c r="E43" s="453" t="s">
        <v>562</v>
      </c>
      <c r="H43" s="452">
        <v>39</v>
      </c>
      <c r="I43" s="442" t="s">
        <v>276</v>
      </c>
      <c r="J43" s="441">
        <v>25</v>
      </c>
      <c r="K43" s="453" t="s">
        <v>562</v>
      </c>
    </row>
    <row r="44" spans="2:11" ht="18.75" x14ac:dyDescent="0.3">
      <c r="B44" s="452">
        <v>40</v>
      </c>
      <c r="C44" s="459" t="s">
        <v>168</v>
      </c>
      <c r="D44" s="441">
        <v>14</v>
      </c>
      <c r="E44" s="453" t="s">
        <v>562</v>
      </c>
      <c r="H44" s="452">
        <v>40</v>
      </c>
      <c r="I44" s="442" t="s">
        <v>288</v>
      </c>
      <c r="J44" s="441">
        <v>25</v>
      </c>
      <c r="K44" s="453" t="s">
        <v>562</v>
      </c>
    </row>
    <row r="45" spans="2:11" ht="18.75" x14ac:dyDescent="0.3">
      <c r="B45" s="452">
        <v>41</v>
      </c>
      <c r="C45" s="459" t="s">
        <v>267</v>
      </c>
      <c r="D45" s="441">
        <v>26</v>
      </c>
      <c r="E45" s="453" t="s">
        <v>562</v>
      </c>
      <c r="H45" s="452">
        <v>41</v>
      </c>
      <c r="I45" s="442" t="s">
        <v>300</v>
      </c>
      <c r="J45" s="441">
        <v>25</v>
      </c>
      <c r="K45" s="453" t="s">
        <v>562</v>
      </c>
    </row>
    <row r="46" spans="2:11" ht="18.75" x14ac:dyDescent="0.3">
      <c r="B46" s="452">
        <v>42</v>
      </c>
      <c r="C46" s="459" t="s">
        <v>171</v>
      </c>
      <c r="D46" s="441">
        <v>12</v>
      </c>
      <c r="E46" s="453" t="s">
        <v>562</v>
      </c>
      <c r="H46" s="452">
        <v>42</v>
      </c>
      <c r="I46" s="442" t="s">
        <v>253</v>
      </c>
      <c r="J46" s="441">
        <v>25</v>
      </c>
      <c r="K46" s="453" t="s">
        <v>562</v>
      </c>
    </row>
    <row r="47" spans="2:11" ht="18.75" x14ac:dyDescent="0.3">
      <c r="B47" s="452">
        <v>43</v>
      </c>
      <c r="C47" s="459" t="s">
        <v>173</v>
      </c>
      <c r="D47" s="441">
        <v>26</v>
      </c>
      <c r="E47" s="453" t="s">
        <v>562</v>
      </c>
      <c r="H47" s="452">
        <v>43</v>
      </c>
      <c r="I47" s="442" t="s">
        <v>262</v>
      </c>
      <c r="J47" s="441">
        <v>25</v>
      </c>
      <c r="K47" s="453" t="s">
        <v>562</v>
      </c>
    </row>
    <row r="48" spans="2:11" ht="18.75" x14ac:dyDescent="0.3">
      <c r="B48" s="452">
        <v>44</v>
      </c>
      <c r="C48" s="459" t="s">
        <v>174</v>
      </c>
      <c r="D48" s="441">
        <v>15</v>
      </c>
      <c r="E48" s="453" t="s">
        <v>562</v>
      </c>
      <c r="H48" s="452">
        <v>44</v>
      </c>
      <c r="I48" s="442" t="s">
        <v>263</v>
      </c>
      <c r="J48" s="441">
        <v>25</v>
      </c>
      <c r="K48" s="453" t="s">
        <v>562</v>
      </c>
    </row>
    <row r="49" spans="2:11" ht="18.75" x14ac:dyDescent="0.3">
      <c r="B49" s="452">
        <v>45</v>
      </c>
      <c r="C49" s="459" t="s">
        <v>302</v>
      </c>
      <c r="D49" s="441">
        <v>24</v>
      </c>
      <c r="E49" s="453" t="s">
        <v>562</v>
      </c>
      <c r="H49" s="452">
        <v>45</v>
      </c>
      <c r="I49" s="442" t="s">
        <v>329</v>
      </c>
      <c r="J49" s="441">
        <v>25</v>
      </c>
      <c r="K49" s="453" t="s">
        <v>562</v>
      </c>
    </row>
    <row r="50" spans="2:11" ht="18.75" x14ac:dyDescent="0.3">
      <c r="B50" s="452">
        <v>46</v>
      </c>
      <c r="C50" s="459" t="s">
        <v>300</v>
      </c>
      <c r="D50" s="441">
        <v>25</v>
      </c>
      <c r="E50" s="453" t="s">
        <v>562</v>
      </c>
      <c r="H50" s="452">
        <v>46</v>
      </c>
      <c r="I50" s="442" t="s">
        <v>280</v>
      </c>
      <c r="J50" s="441">
        <v>25</v>
      </c>
      <c r="K50" s="453" t="s">
        <v>562</v>
      </c>
    </row>
    <row r="51" spans="2:11" ht="18.75" x14ac:dyDescent="0.3">
      <c r="B51" s="452">
        <v>47</v>
      </c>
      <c r="C51" s="459" t="s">
        <v>175</v>
      </c>
      <c r="D51" s="441">
        <v>15</v>
      </c>
      <c r="E51" s="453" t="s">
        <v>562</v>
      </c>
      <c r="H51" s="452">
        <v>47</v>
      </c>
      <c r="I51" s="442" t="s">
        <v>268</v>
      </c>
      <c r="J51" s="441">
        <v>25</v>
      </c>
      <c r="K51" s="453" t="s">
        <v>562</v>
      </c>
    </row>
    <row r="52" spans="2:11" ht="18.75" x14ac:dyDescent="0.3">
      <c r="B52" s="452">
        <v>48</v>
      </c>
      <c r="C52" s="459" t="s">
        <v>176</v>
      </c>
      <c r="D52" s="441">
        <v>16</v>
      </c>
      <c r="E52" s="453" t="s">
        <v>562</v>
      </c>
      <c r="H52" s="452">
        <v>48</v>
      </c>
      <c r="I52" s="442" t="s">
        <v>289</v>
      </c>
      <c r="J52" s="441">
        <v>25</v>
      </c>
      <c r="K52" s="453" t="s">
        <v>562</v>
      </c>
    </row>
    <row r="53" spans="2:11" ht="18.75" x14ac:dyDescent="0.3">
      <c r="B53" s="452">
        <v>49</v>
      </c>
      <c r="C53" s="459" t="s">
        <v>317</v>
      </c>
      <c r="D53" s="441">
        <v>15</v>
      </c>
      <c r="E53" s="453" t="s">
        <v>562</v>
      </c>
      <c r="H53" s="452">
        <v>49</v>
      </c>
      <c r="I53" s="442" t="s">
        <v>294</v>
      </c>
      <c r="J53" s="441">
        <v>25</v>
      </c>
      <c r="K53" s="453" t="s">
        <v>562</v>
      </c>
    </row>
    <row r="54" spans="2:11" ht="18.75" x14ac:dyDescent="0.3">
      <c r="B54" s="452">
        <v>50</v>
      </c>
      <c r="C54" s="459" t="s">
        <v>180</v>
      </c>
      <c r="D54" s="441">
        <v>14</v>
      </c>
      <c r="E54" s="453" t="s">
        <v>562</v>
      </c>
      <c r="H54" s="452">
        <v>50</v>
      </c>
      <c r="I54" s="442" t="s">
        <v>308</v>
      </c>
      <c r="J54" s="441">
        <v>25</v>
      </c>
      <c r="K54" s="453" t="s">
        <v>562</v>
      </c>
    </row>
    <row r="55" spans="2:11" ht="18.75" x14ac:dyDescent="0.3">
      <c r="B55" s="452">
        <v>51</v>
      </c>
      <c r="C55" s="459" t="s">
        <v>310</v>
      </c>
      <c r="D55" s="441">
        <v>17</v>
      </c>
      <c r="E55" s="453" t="s">
        <v>562</v>
      </c>
      <c r="H55" s="452">
        <v>51</v>
      </c>
      <c r="I55" s="442" t="s">
        <v>217</v>
      </c>
      <c r="J55" s="441">
        <v>24</v>
      </c>
      <c r="K55" s="453" t="s">
        <v>562</v>
      </c>
    </row>
    <row r="56" spans="2:11" ht="18.75" x14ac:dyDescent="0.3">
      <c r="B56" s="452">
        <v>52</v>
      </c>
      <c r="C56" s="459" t="s">
        <v>313</v>
      </c>
      <c r="D56" s="441">
        <v>28</v>
      </c>
      <c r="E56" s="453" t="s">
        <v>562</v>
      </c>
      <c r="H56" s="452">
        <v>52</v>
      </c>
      <c r="I56" s="442" t="s">
        <v>251</v>
      </c>
      <c r="J56" s="441">
        <v>24</v>
      </c>
      <c r="K56" s="453" t="s">
        <v>562</v>
      </c>
    </row>
    <row r="57" spans="2:11" ht="18.75" x14ac:dyDescent="0.3">
      <c r="B57" s="452">
        <v>53</v>
      </c>
      <c r="C57" s="459" t="s">
        <v>331</v>
      </c>
      <c r="D57" s="441">
        <v>27</v>
      </c>
      <c r="E57" s="453" t="s">
        <v>562</v>
      </c>
      <c r="H57" s="452">
        <v>53</v>
      </c>
      <c r="I57" s="442" t="s">
        <v>161</v>
      </c>
      <c r="J57" s="441">
        <v>24</v>
      </c>
      <c r="K57" s="453" t="s">
        <v>562</v>
      </c>
    </row>
    <row r="58" spans="2:11" ht="18.75" x14ac:dyDescent="0.3">
      <c r="B58" s="452">
        <v>54</v>
      </c>
      <c r="C58" s="459" t="s">
        <v>182</v>
      </c>
      <c r="D58" s="441">
        <v>15</v>
      </c>
      <c r="E58" s="453" t="s">
        <v>562</v>
      </c>
      <c r="H58" s="452">
        <v>54</v>
      </c>
      <c r="I58" s="442" t="s">
        <v>273</v>
      </c>
      <c r="J58" s="441">
        <v>24</v>
      </c>
      <c r="K58" s="453" t="s">
        <v>562</v>
      </c>
    </row>
    <row r="59" spans="2:11" ht="18.75" x14ac:dyDescent="0.3">
      <c r="B59" s="452">
        <v>55</v>
      </c>
      <c r="C59" s="459" t="s">
        <v>183</v>
      </c>
      <c r="D59" s="441">
        <v>14</v>
      </c>
      <c r="E59" s="453" t="s">
        <v>562</v>
      </c>
      <c r="H59" s="452">
        <v>55</v>
      </c>
      <c r="I59" s="442" t="s">
        <v>302</v>
      </c>
      <c r="J59" s="441">
        <v>24</v>
      </c>
      <c r="K59" s="453" t="s">
        <v>562</v>
      </c>
    </row>
    <row r="60" spans="2:11" ht="18.75" x14ac:dyDescent="0.3">
      <c r="B60" s="452">
        <v>56</v>
      </c>
      <c r="C60" s="459" t="s">
        <v>264</v>
      </c>
      <c r="D60" s="441">
        <v>26</v>
      </c>
      <c r="E60" s="453" t="s">
        <v>562</v>
      </c>
      <c r="H60" s="452">
        <v>56</v>
      </c>
      <c r="I60" s="442" t="s">
        <v>298</v>
      </c>
      <c r="J60" s="441">
        <v>24</v>
      </c>
      <c r="K60" s="453" t="s">
        <v>562</v>
      </c>
    </row>
    <row r="61" spans="2:11" ht="18.75" x14ac:dyDescent="0.3">
      <c r="B61" s="452">
        <v>57</v>
      </c>
      <c r="C61" s="459" t="s">
        <v>223</v>
      </c>
      <c r="D61" s="441">
        <v>28</v>
      </c>
      <c r="E61" s="453" t="s">
        <v>562</v>
      </c>
      <c r="H61" s="452">
        <v>57</v>
      </c>
      <c r="I61" s="442" t="s">
        <v>197</v>
      </c>
      <c r="J61" s="441">
        <v>24</v>
      </c>
      <c r="K61" s="453" t="s">
        <v>562</v>
      </c>
    </row>
    <row r="62" spans="2:11" ht="18.75" x14ac:dyDescent="0.3">
      <c r="B62" s="452">
        <v>58</v>
      </c>
      <c r="C62" s="459" t="s">
        <v>298</v>
      </c>
      <c r="D62" s="441">
        <v>24</v>
      </c>
      <c r="E62" s="453" t="s">
        <v>562</v>
      </c>
      <c r="H62" s="452">
        <v>58</v>
      </c>
      <c r="I62" s="442" t="s">
        <v>206</v>
      </c>
      <c r="J62" s="441">
        <v>24</v>
      </c>
      <c r="K62" s="453" t="s">
        <v>562</v>
      </c>
    </row>
    <row r="63" spans="2:11" ht="18.75" x14ac:dyDescent="0.3">
      <c r="B63" s="452">
        <v>59</v>
      </c>
      <c r="C63" s="459" t="s">
        <v>274</v>
      </c>
      <c r="D63" s="441">
        <v>12</v>
      </c>
      <c r="E63" s="453" t="s">
        <v>562</v>
      </c>
      <c r="H63" s="452">
        <v>59</v>
      </c>
      <c r="I63" s="442" t="s">
        <v>272</v>
      </c>
      <c r="J63" s="441">
        <v>24</v>
      </c>
      <c r="K63" s="453" t="s">
        <v>562</v>
      </c>
    </row>
    <row r="64" spans="2:11" ht="19.5" thickBot="1" x14ac:dyDescent="0.35">
      <c r="B64" s="454">
        <v>60</v>
      </c>
      <c r="C64" s="460" t="s">
        <v>184</v>
      </c>
      <c r="D64" s="456">
        <v>15</v>
      </c>
      <c r="E64" s="457" t="s">
        <v>562</v>
      </c>
      <c r="H64" s="454">
        <v>60</v>
      </c>
      <c r="I64" s="455" t="s">
        <v>299</v>
      </c>
      <c r="J64" s="456">
        <v>24</v>
      </c>
      <c r="K64" s="457" t="s">
        <v>562</v>
      </c>
    </row>
    <row r="65" spans="2:11" ht="18.75" x14ac:dyDescent="0.3">
      <c r="B65" s="448">
        <v>61</v>
      </c>
      <c r="C65" s="458" t="s">
        <v>185</v>
      </c>
      <c r="D65" s="450">
        <v>15</v>
      </c>
      <c r="E65" s="451" t="s">
        <v>562</v>
      </c>
      <c r="H65" s="448">
        <v>61</v>
      </c>
      <c r="I65" s="449" t="s">
        <v>132</v>
      </c>
      <c r="J65" s="450">
        <f>17</f>
        <v>17</v>
      </c>
      <c r="K65" s="451" t="s">
        <v>562</v>
      </c>
    </row>
    <row r="66" spans="2:11" ht="18.75" x14ac:dyDescent="0.3">
      <c r="B66" s="452">
        <v>62</v>
      </c>
      <c r="C66" s="459" t="s">
        <v>186</v>
      </c>
      <c r="D66" s="441">
        <v>15</v>
      </c>
      <c r="E66" s="453" t="s">
        <v>562</v>
      </c>
      <c r="H66" s="452">
        <v>62</v>
      </c>
      <c r="I66" s="442" t="s">
        <v>135</v>
      </c>
      <c r="J66" s="441">
        <v>17</v>
      </c>
      <c r="K66" s="453" t="s">
        <v>562</v>
      </c>
    </row>
    <row r="67" spans="2:11" ht="18.75" x14ac:dyDescent="0.3">
      <c r="B67" s="452">
        <v>63</v>
      </c>
      <c r="C67" s="459" t="s">
        <v>187</v>
      </c>
      <c r="D67" s="441">
        <v>15</v>
      </c>
      <c r="E67" s="453" t="s">
        <v>562</v>
      </c>
      <c r="H67" s="452">
        <v>63</v>
      </c>
      <c r="I67" s="442" t="s">
        <v>146</v>
      </c>
      <c r="J67" s="441">
        <v>17</v>
      </c>
      <c r="K67" s="453" t="s">
        <v>562</v>
      </c>
    </row>
    <row r="68" spans="2:11" ht="18.75" x14ac:dyDescent="0.3">
      <c r="B68" s="452">
        <v>64</v>
      </c>
      <c r="C68" s="459" t="s">
        <v>188</v>
      </c>
      <c r="D68" s="441">
        <v>13</v>
      </c>
      <c r="E68" s="453" t="s">
        <v>562</v>
      </c>
      <c r="H68" s="452">
        <v>64</v>
      </c>
      <c r="I68" s="442" t="s">
        <v>310</v>
      </c>
      <c r="J68" s="441">
        <v>17</v>
      </c>
      <c r="K68" s="453" t="s">
        <v>562</v>
      </c>
    </row>
    <row r="69" spans="2:11" ht="18.75" x14ac:dyDescent="0.3">
      <c r="B69" s="452">
        <v>65</v>
      </c>
      <c r="C69" s="459" t="s">
        <v>189</v>
      </c>
      <c r="D69" s="441">
        <v>12</v>
      </c>
      <c r="E69" s="453" t="s">
        <v>562</v>
      </c>
      <c r="H69" s="452">
        <v>65</v>
      </c>
      <c r="I69" s="442" t="s">
        <v>196</v>
      </c>
      <c r="J69" s="441">
        <v>17</v>
      </c>
      <c r="K69" s="453" t="s">
        <v>562</v>
      </c>
    </row>
    <row r="70" spans="2:11" ht="18.75" x14ac:dyDescent="0.3">
      <c r="B70" s="452">
        <v>66</v>
      </c>
      <c r="C70" s="459" t="s">
        <v>193</v>
      </c>
      <c r="D70" s="441">
        <v>15</v>
      </c>
      <c r="E70" s="453" t="s">
        <v>562</v>
      </c>
      <c r="H70" s="452">
        <v>66</v>
      </c>
      <c r="I70" s="442" t="s">
        <v>205</v>
      </c>
      <c r="J70" s="441">
        <v>17</v>
      </c>
      <c r="K70" s="453" t="s">
        <v>562</v>
      </c>
    </row>
    <row r="71" spans="2:11" ht="18.75" x14ac:dyDescent="0.3">
      <c r="B71" s="452">
        <v>67</v>
      </c>
      <c r="C71" s="459" t="s">
        <v>322</v>
      </c>
      <c r="D71" s="441">
        <v>28</v>
      </c>
      <c r="E71" s="453" t="s">
        <v>562</v>
      </c>
      <c r="H71" s="452">
        <v>67</v>
      </c>
      <c r="I71" s="442" t="s">
        <v>234</v>
      </c>
      <c r="J71" s="441">
        <v>17</v>
      </c>
      <c r="K71" s="453" t="s">
        <v>562</v>
      </c>
    </row>
    <row r="72" spans="2:11" ht="18.75" x14ac:dyDescent="0.3">
      <c r="B72" s="452">
        <v>68</v>
      </c>
      <c r="C72" s="459" t="s">
        <v>196</v>
      </c>
      <c r="D72" s="441">
        <v>17</v>
      </c>
      <c r="E72" s="453" t="s">
        <v>562</v>
      </c>
      <c r="H72" s="452">
        <v>68</v>
      </c>
      <c r="I72" s="442" t="s">
        <v>128</v>
      </c>
      <c r="J72" s="441">
        <v>16</v>
      </c>
      <c r="K72" s="453" t="s">
        <v>562</v>
      </c>
    </row>
    <row r="73" spans="2:11" ht="18.75" x14ac:dyDescent="0.3">
      <c r="B73" s="452">
        <v>69</v>
      </c>
      <c r="C73" s="459" t="s">
        <v>197</v>
      </c>
      <c r="D73" s="441">
        <v>24</v>
      </c>
      <c r="E73" s="453" t="s">
        <v>562</v>
      </c>
      <c r="H73" s="452">
        <v>69</v>
      </c>
      <c r="I73" s="442" t="s">
        <v>295</v>
      </c>
      <c r="J73" s="441">
        <v>16</v>
      </c>
      <c r="K73" s="453" t="s">
        <v>562</v>
      </c>
    </row>
    <row r="74" spans="2:11" ht="18.75" x14ac:dyDescent="0.3">
      <c r="B74" s="452">
        <v>70</v>
      </c>
      <c r="C74" s="459" t="s">
        <v>303</v>
      </c>
      <c r="D74" s="441">
        <v>26</v>
      </c>
      <c r="E74" s="453" t="s">
        <v>562</v>
      </c>
      <c r="H74" s="452">
        <v>70</v>
      </c>
      <c r="I74" s="442" t="s">
        <v>257</v>
      </c>
      <c r="J74" s="441">
        <v>16</v>
      </c>
      <c r="K74" s="453" t="s">
        <v>562</v>
      </c>
    </row>
    <row r="75" spans="2:11" ht="18.75" x14ac:dyDescent="0.3">
      <c r="B75" s="452">
        <v>71</v>
      </c>
      <c r="C75" s="459" t="s">
        <v>199</v>
      </c>
      <c r="D75" s="441">
        <v>16</v>
      </c>
      <c r="E75" s="453" t="s">
        <v>562</v>
      </c>
      <c r="H75" s="452">
        <v>71</v>
      </c>
      <c r="I75" s="442" t="s">
        <v>323</v>
      </c>
      <c r="J75" s="441">
        <v>16</v>
      </c>
      <c r="K75" s="453" t="s">
        <v>562</v>
      </c>
    </row>
    <row r="76" spans="2:11" ht="18.75" x14ac:dyDescent="0.3">
      <c r="B76" s="452">
        <v>72</v>
      </c>
      <c r="C76" s="459" t="s">
        <v>319</v>
      </c>
      <c r="D76" s="441">
        <v>26</v>
      </c>
      <c r="E76" s="453" t="s">
        <v>562</v>
      </c>
      <c r="H76" s="452">
        <v>72</v>
      </c>
      <c r="I76" s="442" t="s">
        <v>158</v>
      </c>
      <c r="J76" s="441">
        <v>16</v>
      </c>
      <c r="K76" s="453" t="s">
        <v>562</v>
      </c>
    </row>
    <row r="77" spans="2:11" ht="18.75" x14ac:dyDescent="0.3">
      <c r="B77" s="452">
        <v>73</v>
      </c>
      <c r="C77" s="459" t="s">
        <v>277</v>
      </c>
      <c r="D77" s="441">
        <v>26</v>
      </c>
      <c r="E77" s="453" t="s">
        <v>562</v>
      </c>
      <c r="H77" s="452">
        <v>73</v>
      </c>
      <c r="I77" s="442" t="s">
        <v>176</v>
      </c>
      <c r="J77" s="441">
        <v>16</v>
      </c>
      <c r="K77" s="453" t="s">
        <v>562</v>
      </c>
    </row>
    <row r="78" spans="2:11" ht="18.75" x14ac:dyDescent="0.3">
      <c r="B78" s="452">
        <v>74</v>
      </c>
      <c r="C78" s="459" t="s">
        <v>200</v>
      </c>
      <c r="D78" s="441">
        <v>14</v>
      </c>
      <c r="E78" s="453" t="s">
        <v>562</v>
      </c>
      <c r="H78" s="452">
        <v>74</v>
      </c>
      <c r="I78" s="442" t="s">
        <v>199</v>
      </c>
      <c r="J78" s="441">
        <v>16</v>
      </c>
      <c r="K78" s="453" t="s">
        <v>562</v>
      </c>
    </row>
    <row r="79" spans="2:11" ht="18.75" x14ac:dyDescent="0.3">
      <c r="B79" s="452">
        <v>75</v>
      </c>
      <c r="C79" s="459" t="s">
        <v>201</v>
      </c>
      <c r="D79" s="441">
        <v>15</v>
      </c>
      <c r="E79" s="453" t="s">
        <v>562</v>
      </c>
      <c r="H79" s="452">
        <v>75</v>
      </c>
      <c r="I79" s="442" t="s">
        <v>198</v>
      </c>
      <c r="J79" s="441">
        <v>16</v>
      </c>
      <c r="K79" s="453" t="s">
        <v>562</v>
      </c>
    </row>
    <row r="80" spans="2:11" ht="18.75" x14ac:dyDescent="0.3">
      <c r="B80" s="452">
        <v>76</v>
      </c>
      <c r="C80" s="459" t="s">
        <v>253</v>
      </c>
      <c r="D80" s="441">
        <v>25</v>
      </c>
      <c r="E80" s="453" t="s">
        <v>562</v>
      </c>
      <c r="H80" s="452">
        <v>76</v>
      </c>
      <c r="I80" s="442" t="s">
        <v>210</v>
      </c>
      <c r="J80" s="441">
        <v>16</v>
      </c>
      <c r="K80" s="453" t="s">
        <v>562</v>
      </c>
    </row>
    <row r="81" spans="2:11" ht="18.75" x14ac:dyDescent="0.3">
      <c r="B81" s="452">
        <v>77</v>
      </c>
      <c r="C81" s="459" t="s">
        <v>262</v>
      </c>
      <c r="D81" s="441">
        <v>25</v>
      </c>
      <c r="E81" s="453" t="s">
        <v>562</v>
      </c>
      <c r="H81" s="452">
        <v>77</v>
      </c>
      <c r="I81" s="442" t="s">
        <v>224</v>
      </c>
      <c r="J81" s="441">
        <v>16</v>
      </c>
      <c r="K81" s="453" t="s">
        <v>562</v>
      </c>
    </row>
    <row r="82" spans="2:11" ht="18.75" x14ac:dyDescent="0.3">
      <c r="B82" s="452">
        <v>78</v>
      </c>
      <c r="C82" s="459" t="s">
        <v>202</v>
      </c>
      <c r="D82" s="441">
        <v>28</v>
      </c>
      <c r="E82" s="453" t="s">
        <v>562</v>
      </c>
      <c r="H82" s="452">
        <v>78</v>
      </c>
      <c r="I82" s="442" t="s">
        <v>134</v>
      </c>
      <c r="J82" s="441">
        <v>15</v>
      </c>
      <c r="K82" s="453" t="s">
        <v>562</v>
      </c>
    </row>
    <row r="83" spans="2:11" ht="18.75" x14ac:dyDescent="0.3">
      <c r="B83" s="452">
        <v>79</v>
      </c>
      <c r="C83" s="459" t="s">
        <v>315</v>
      </c>
      <c r="D83" s="441">
        <v>27</v>
      </c>
      <c r="E83" s="453" t="s">
        <v>562</v>
      </c>
      <c r="H83" s="452">
        <v>79</v>
      </c>
      <c r="I83" s="442" t="s">
        <v>138</v>
      </c>
      <c r="J83" s="441">
        <v>15</v>
      </c>
      <c r="K83" s="453" t="s">
        <v>562</v>
      </c>
    </row>
    <row r="84" spans="2:11" ht="18.75" x14ac:dyDescent="0.3">
      <c r="B84" s="452">
        <v>80</v>
      </c>
      <c r="C84" s="459" t="s">
        <v>283</v>
      </c>
      <c r="D84" s="441">
        <v>26</v>
      </c>
      <c r="E84" s="453" t="s">
        <v>562</v>
      </c>
      <c r="H84" s="452">
        <v>80</v>
      </c>
      <c r="I84" s="442" t="s">
        <v>151</v>
      </c>
      <c r="J84" s="441">
        <v>15</v>
      </c>
      <c r="K84" s="453" t="s">
        <v>562</v>
      </c>
    </row>
    <row r="85" spans="2:11" ht="18.75" x14ac:dyDescent="0.3">
      <c r="B85" s="452">
        <v>81</v>
      </c>
      <c r="C85" s="459" t="s">
        <v>312</v>
      </c>
      <c r="D85" s="441">
        <v>15</v>
      </c>
      <c r="E85" s="453" t="s">
        <v>562</v>
      </c>
      <c r="H85" s="452">
        <v>81</v>
      </c>
      <c r="I85" s="442" t="s">
        <v>174</v>
      </c>
      <c r="J85" s="441">
        <v>15</v>
      </c>
      <c r="K85" s="453" t="s">
        <v>562</v>
      </c>
    </row>
    <row r="86" spans="2:11" ht="18.75" x14ac:dyDescent="0.3">
      <c r="B86" s="452">
        <v>82</v>
      </c>
      <c r="C86" s="459" t="s">
        <v>203</v>
      </c>
      <c r="D86" s="441">
        <v>13</v>
      </c>
      <c r="E86" s="453" t="s">
        <v>562</v>
      </c>
      <c r="H86" s="452">
        <v>82</v>
      </c>
      <c r="I86" s="442" t="s">
        <v>175</v>
      </c>
      <c r="J86" s="441">
        <v>15</v>
      </c>
      <c r="K86" s="453" t="s">
        <v>562</v>
      </c>
    </row>
    <row r="87" spans="2:11" ht="18.75" x14ac:dyDescent="0.3">
      <c r="B87" s="452">
        <v>83</v>
      </c>
      <c r="C87" s="459" t="s">
        <v>191</v>
      </c>
      <c r="D87" s="441">
        <v>14</v>
      </c>
      <c r="E87" s="453" t="s">
        <v>562</v>
      </c>
      <c r="H87" s="452">
        <v>83</v>
      </c>
      <c r="I87" s="442" t="s">
        <v>317</v>
      </c>
      <c r="J87" s="441">
        <v>15</v>
      </c>
      <c r="K87" s="453" t="s">
        <v>562</v>
      </c>
    </row>
    <row r="88" spans="2:11" ht="18.75" x14ac:dyDescent="0.3">
      <c r="B88" s="452">
        <v>84</v>
      </c>
      <c r="C88" s="459" t="s">
        <v>198</v>
      </c>
      <c r="D88" s="441">
        <v>16</v>
      </c>
      <c r="E88" s="453" t="s">
        <v>562</v>
      </c>
      <c r="H88" s="452">
        <v>84</v>
      </c>
      <c r="I88" s="442" t="s">
        <v>182</v>
      </c>
      <c r="J88" s="441">
        <v>15</v>
      </c>
      <c r="K88" s="453" t="s">
        <v>562</v>
      </c>
    </row>
    <row r="89" spans="2:11" ht="18.75" x14ac:dyDescent="0.3">
      <c r="B89" s="452">
        <v>85</v>
      </c>
      <c r="C89" s="459" t="s">
        <v>204</v>
      </c>
      <c r="D89" s="441">
        <v>15</v>
      </c>
      <c r="E89" s="453" t="s">
        <v>562</v>
      </c>
      <c r="H89" s="452">
        <v>85</v>
      </c>
      <c r="I89" s="442" t="s">
        <v>184</v>
      </c>
      <c r="J89" s="441">
        <v>15</v>
      </c>
      <c r="K89" s="453" t="s">
        <v>562</v>
      </c>
    </row>
    <row r="90" spans="2:11" ht="18.75" x14ac:dyDescent="0.3">
      <c r="B90" s="452">
        <v>86</v>
      </c>
      <c r="C90" s="459" t="s">
        <v>205</v>
      </c>
      <c r="D90" s="441">
        <v>17</v>
      </c>
      <c r="E90" s="453" t="s">
        <v>562</v>
      </c>
      <c r="H90" s="452">
        <v>86</v>
      </c>
      <c r="I90" s="442" t="s">
        <v>185</v>
      </c>
      <c r="J90" s="441">
        <v>15</v>
      </c>
      <c r="K90" s="453" t="s">
        <v>562</v>
      </c>
    </row>
    <row r="91" spans="2:11" ht="18.75" x14ac:dyDescent="0.3">
      <c r="B91" s="452">
        <v>87</v>
      </c>
      <c r="C91" s="459" t="s">
        <v>258</v>
      </c>
      <c r="D91" s="441">
        <v>26</v>
      </c>
      <c r="E91" s="453" t="s">
        <v>562</v>
      </c>
      <c r="H91" s="452">
        <v>87</v>
      </c>
      <c r="I91" s="442" t="s">
        <v>186</v>
      </c>
      <c r="J91" s="441">
        <v>15</v>
      </c>
      <c r="K91" s="453" t="s">
        <v>562</v>
      </c>
    </row>
    <row r="92" spans="2:11" ht="18.75" x14ac:dyDescent="0.3">
      <c r="B92" s="452">
        <v>88</v>
      </c>
      <c r="C92" s="459" t="s">
        <v>269</v>
      </c>
      <c r="D92" s="441">
        <v>26</v>
      </c>
      <c r="E92" s="453" t="s">
        <v>562</v>
      </c>
      <c r="H92" s="452">
        <v>88</v>
      </c>
      <c r="I92" s="442" t="s">
        <v>187</v>
      </c>
      <c r="J92" s="441">
        <v>15</v>
      </c>
      <c r="K92" s="453" t="s">
        <v>562</v>
      </c>
    </row>
    <row r="93" spans="2:11" ht="18.75" x14ac:dyDescent="0.3">
      <c r="B93" s="452">
        <v>89</v>
      </c>
      <c r="C93" s="459" t="s">
        <v>206</v>
      </c>
      <c r="D93" s="441">
        <v>24</v>
      </c>
      <c r="E93" s="453" t="s">
        <v>562</v>
      </c>
      <c r="H93" s="452">
        <v>89</v>
      </c>
      <c r="I93" s="442" t="s">
        <v>193</v>
      </c>
      <c r="J93" s="441">
        <v>15</v>
      </c>
      <c r="K93" s="453" t="s">
        <v>562</v>
      </c>
    </row>
    <row r="94" spans="2:11" ht="19.5" thickBot="1" x14ac:dyDescent="0.35">
      <c r="B94" s="454">
        <v>90</v>
      </c>
      <c r="C94" s="460" t="s">
        <v>263</v>
      </c>
      <c r="D94" s="456">
        <v>25</v>
      </c>
      <c r="E94" s="457" t="s">
        <v>562</v>
      </c>
      <c r="H94" s="454">
        <v>90</v>
      </c>
      <c r="I94" s="455" t="s">
        <v>201</v>
      </c>
      <c r="J94" s="456">
        <v>15</v>
      </c>
      <c r="K94" s="457" t="s">
        <v>562</v>
      </c>
    </row>
    <row r="95" spans="2:11" ht="18.75" x14ac:dyDescent="0.3">
      <c r="B95" s="461">
        <v>91</v>
      </c>
      <c r="C95" s="462" t="s">
        <v>314</v>
      </c>
      <c r="D95" s="443">
        <v>26</v>
      </c>
      <c r="E95" s="463" t="s">
        <v>562</v>
      </c>
      <c r="H95" s="461">
        <v>91</v>
      </c>
      <c r="I95" s="444" t="s">
        <v>312</v>
      </c>
      <c r="J95" s="443">
        <v>15</v>
      </c>
      <c r="K95" s="463" t="s">
        <v>562</v>
      </c>
    </row>
    <row r="96" spans="2:11" ht="18.75" x14ac:dyDescent="0.3">
      <c r="B96" s="452">
        <v>92</v>
      </c>
      <c r="C96" s="459" t="s">
        <v>208</v>
      </c>
      <c r="D96" s="441">
        <v>12</v>
      </c>
      <c r="E96" s="453" t="s">
        <v>562</v>
      </c>
      <c r="H96" s="452">
        <v>92</v>
      </c>
      <c r="I96" s="442" t="s">
        <v>204</v>
      </c>
      <c r="J96" s="441">
        <v>15</v>
      </c>
      <c r="K96" s="453" t="s">
        <v>562</v>
      </c>
    </row>
    <row r="97" spans="2:11" ht="18.75" x14ac:dyDescent="0.3">
      <c r="B97" s="452">
        <v>93</v>
      </c>
      <c r="C97" s="459" t="s">
        <v>329</v>
      </c>
      <c r="D97" s="441">
        <v>25</v>
      </c>
      <c r="E97" s="453" t="s">
        <v>562</v>
      </c>
      <c r="H97" s="452">
        <v>93</v>
      </c>
      <c r="I97" s="442" t="s">
        <v>211</v>
      </c>
      <c r="J97" s="441">
        <v>15</v>
      </c>
      <c r="K97" s="453" t="s">
        <v>562</v>
      </c>
    </row>
    <row r="98" spans="2:11" ht="18.75" x14ac:dyDescent="0.3">
      <c r="B98" s="452">
        <v>94</v>
      </c>
      <c r="C98" s="459" t="s">
        <v>209</v>
      </c>
      <c r="D98" s="441">
        <v>14</v>
      </c>
      <c r="E98" s="453" t="s">
        <v>562</v>
      </c>
      <c r="H98" s="452">
        <v>94</v>
      </c>
      <c r="I98" s="442" t="s">
        <v>222</v>
      </c>
      <c r="J98" s="441">
        <v>15</v>
      </c>
      <c r="K98" s="453" t="s">
        <v>562</v>
      </c>
    </row>
    <row r="99" spans="2:11" ht="18.75" x14ac:dyDescent="0.3">
      <c r="B99" s="452">
        <v>95</v>
      </c>
      <c r="C99" s="459" t="s">
        <v>280</v>
      </c>
      <c r="D99" s="441">
        <v>25</v>
      </c>
      <c r="E99" s="453" t="s">
        <v>562</v>
      </c>
      <c r="H99" s="452">
        <v>95</v>
      </c>
      <c r="I99" s="442" t="s">
        <v>139</v>
      </c>
      <c r="J99" s="441">
        <v>14</v>
      </c>
      <c r="K99" s="453" t="s">
        <v>562</v>
      </c>
    </row>
    <row r="100" spans="2:11" ht="18.75" x14ac:dyDescent="0.3">
      <c r="B100" s="452">
        <v>96</v>
      </c>
      <c r="C100" s="459" t="s">
        <v>268</v>
      </c>
      <c r="D100" s="441">
        <v>25</v>
      </c>
      <c r="E100" s="453" t="s">
        <v>562</v>
      </c>
      <c r="H100" s="452">
        <v>96</v>
      </c>
      <c r="I100" s="442" t="s">
        <v>149</v>
      </c>
      <c r="J100" s="441">
        <v>14</v>
      </c>
      <c r="K100" s="453" t="s">
        <v>562</v>
      </c>
    </row>
    <row r="101" spans="2:11" ht="18.75" x14ac:dyDescent="0.3">
      <c r="B101" s="452">
        <v>97</v>
      </c>
      <c r="C101" s="459" t="s">
        <v>210</v>
      </c>
      <c r="D101" s="441">
        <v>16</v>
      </c>
      <c r="E101" s="453" t="s">
        <v>562</v>
      </c>
      <c r="H101" s="452">
        <v>97</v>
      </c>
      <c r="I101" s="442" t="s">
        <v>150</v>
      </c>
      <c r="J101" s="441">
        <v>14</v>
      </c>
      <c r="K101" s="453" t="s">
        <v>562</v>
      </c>
    </row>
    <row r="102" spans="2:11" ht="18.75" x14ac:dyDescent="0.3">
      <c r="B102" s="452">
        <v>98</v>
      </c>
      <c r="C102" s="459" t="s">
        <v>328</v>
      </c>
      <c r="D102" s="441">
        <v>27</v>
      </c>
      <c r="E102" s="453" t="s">
        <v>562</v>
      </c>
      <c r="H102" s="452">
        <v>98</v>
      </c>
      <c r="I102" s="442" t="s">
        <v>159</v>
      </c>
      <c r="J102" s="441">
        <v>14</v>
      </c>
      <c r="K102" s="453" t="s">
        <v>562</v>
      </c>
    </row>
    <row r="103" spans="2:11" ht="18.75" x14ac:dyDescent="0.3">
      <c r="B103" s="452">
        <v>99</v>
      </c>
      <c r="C103" s="459" t="s">
        <v>332</v>
      </c>
      <c r="D103" s="441">
        <v>26</v>
      </c>
      <c r="E103" s="453" t="s">
        <v>562</v>
      </c>
      <c r="H103" s="452">
        <v>99</v>
      </c>
      <c r="I103" s="442" t="s">
        <v>156</v>
      </c>
      <c r="J103" s="441">
        <v>14</v>
      </c>
      <c r="K103" s="453" t="s">
        <v>562</v>
      </c>
    </row>
    <row r="104" spans="2:11" ht="18.75" x14ac:dyDescent="0.3">
      <c r="B104" s="452">
        <v>100</v>
      </c>
      <c r="C104" s="459" t="s">
        <v>293</v>
      </c>
      <c r="D104" s="441">
        <v>26</v>
      </c>
      <c r="E104" s="453" t="s">
        <v>562</v>
      </c>
      <c r="H104" s="452">
        <v>100</v>
      </c>
      <c r="I104" s="442" t="s">
        <v>168</v>
      </c>
      <c r="J104" s="441">
        <v>14</v>
      </c>
      <c r="K104" s="453" t="s">
        <v>562</v>
      </c>
    </row>
    <row r="105" spans="2:11" ht="18.75" x14ac:dyDescent="0.3">
      <c r="B105" s="452">
        <v>101</v>
      </c>
      <c r="C105" s="459" t="s">
        <v>326</v>
      </c>
      <c r="D105" s="441">
        <v>28</v>
      </c>
      <c r="E105" s="453" t="s">
        <v>562</v>
      </c>
      <c r="H105" s="452">
        <v>101</v>
      </c>
      <c r="I105" s="442" t="s">
        <v>180</v>
      </c>
      <c r="J105" s="441">
        <v>14</v>
      </c>
      <c r="K105" s="453" t="s">
        <v>562</v>
      </c>
    </row>
    <row r="106" spans="2:11" ht="18.75" x14ac:dyDescent="0.3">
      <c r="B106" s="452">
        <v>102</v>
      </c>
      <c r="C106" s="459" t="s">
        <v>259</v>
      </c>
      <c r="D106" s="441">
        <v>27</v>
      </c>
      <c r="E106" s="453" t="s">
        <v>562</v>
      </c>
      <c r="H106" s="452">
        <v>102</v>
      </c>
      <c r="I106" s="442" t="s">
        <v>183</v>
      </c>
      <c r="J106" s="441">
        <v>14</v>
      </c>
      <c r="K106" s="453" t="s">
        <v>562</v>
      </c>
    </row>
    <row r="107" spans="2:11" ht="18.75" x14ac:dyDescent="0.3">
      <c r="B107" s="452">
        <v>103</v>
      </c>
      <c r="C107" s="459" t="s">
        <v>211</v>
      </c>
      <c r="D107" s="441">
        <v>15</v>
      </c>
      <c r="E107" s="453" t="s">
        <v>562</v>
      </c>
      <c r="H107" s="452">
        <v>103</v>
      </c>
      <c r="I107" s="442" t="s">
        <v>200</v>
      </c>
      <c r="J107" s="441">
        <v>14</v>
      </c>
      <c r="K107" s="453" t="s">
        <v>562</v>
      </c>
    </row>
    <row r="108" spans="2:11" ht="18.75" x14ac:dyDescent="0.3">
      <c r="B108" s="452">
        <v>104</v>
      </c>
      <c r="C108" s="459" t="s">
        <v>212</v>
      </c>
      <c r="D108" s="441">
        <v>12</v>
      </c>
      <c r="E108" s="453" t="s">
        <v>562</v>
      </c>
      <c r="H108" s="452">
        <v>104</v>
      </c>
      <c r="I108" s="442" t="s">
        <v>191</v>
      </c>
      <c r="J108" s="441">
        <v>14</v>
      </c>
      <c r="K108" s="453" t="s">
        <v>562</v>
      </c>
    </row>
    <row r="109" spans="2:11" ht="18.75" x14ac:dyDescent="0.3">
      <c r="B109" s="452">
        <v>105</v>
      </c>
      <c r="C109" s="459" t="s">
        <v>172</v>
      </c>
      <c r="D109" s="441">
        <v>12</v>
      </c>
      <c r="E109" s="453" t="s">
        <v>562</v>
      </c>
      <c r="H109" s="452">
        <v>105</v>
      </c>
      <c r="I109" s="442" t="s">
        <v>209</v>
      </c>
      <c r="J109" s="441">
        <v>14</v>
      </c>
      <c r="K109" s="453" t="s">
        <v>562</v>
      </c>
    </row>
    <row r="110" spans="2:11" ht="18.75" x14ac:dyDescent="0.3">
      <c r="B110" s="452">
        <v>106</v>
      </c>
      <c r="C110" s="459" t="s">
        <v>218</v>
      </c>
      <c r="D110" s="441">
        <v>12</v>
      </c>
      <c r="E110" s="453" t="s">
        <v>562</v>
      </c>
      <c r="H110" s="452">
        <v>106</v>
      </c>
      <c r="I110" s="442" t="s">
        <v>170</v>
      </c>
      <c r="J110" s="441">
        <v>14</v>
      </c>
      <c r="K110" s="453" t="s">
        <v>562</v>
      </c>
    </row>
    <row r="111" spans="2:11" ht="18.75" x14ac:dyDescent="0.3">
      <c r="B111" s="452">
        <v>107</v>
      </c>
      <c r="C111" s="459" t="s">
        <v>272</v>
      </c>
      <c r="D111" s="441">
        <v>24</v>
      </c>
      <c r="E111" s="453" t="s">
        <v>562</v>
      </c>
      <c r="H111" s="452">
        <v>107</v>
      </c>
      <c r="I111" s="442" t="s">
        <v>163</v>
      </c>
      <c r="J111" s="441">
        <v>13</v>
      </c>
      <c r="K111" s="453" t="s">
        <v>562</v>
      </c>
    </row>
    <row r="112" spans="2:11" ht="18.75" x14ac:dyDescent="0.3">
      <c r="B112" s="452">
        <v>108</v>
      </c>
      <c r="C112" s="459" t="s">
        <v>222</v>
      </c>
      <c r="D112" s="441">
        <v>15</v>
      </c>
      <c r="E112" s="453" t="s">
        <v>562</v>
      </c>
      <c r="H112" s="452">
        <v>108</v>
      </c>
      <c r="I112" s="442" t="s">
        <v>188</v>
      </c>
      <c r="J112" s="441">
        <v>13</v>
      </c>
      <c r="K112" s="453" t="s">
        <v>562</v>
      </c>
    </row>
    <row r="113" spans="2:11" ht="18.75" x14ac:dyDescent="0.3">
      <c r="B113" s="452">
        <v>109</v>
      </c>
      <c r="C113" s="459" t="s">
        <v>224</v>
      </c>
      <c r="D113" s="441">
        <v>16</v>
      </c>
      <c r="E113" s="453" t="s">
        <v>562</v>
      </c>
      <c r="H113" s="452">
        <v>109</v>
      </c>
      <c r="I113" s="442" t="s">
        <v>203</v>
      </c>
      <c r="J113" s="441">
        <v>13</v>
      </c>
      <c r="K113" s="453" t="s">
        <v>562</v>
      </c>
    </row>
    <row r="114" spans="2:11" ht="18.75" x14ac:dyDescent="0.3">
      <c r="B114" s="452">
        <v>110</v>
      </c>
      <c r="C114" s="459" t="s">
        <v>289</v>
      </c>
      <c r="D114" s="441">
        <v>25</v>
      </c>
      <c r="E114" s="453" t="s">
        <v>562</v>
      </c>
      <c r="H114" s="452">
        <v>110</v>
      </c>
      <c r="I114" s="442" t="s">
        <v>145</v>
      </c>
      <c r="J114" s="441">
        <v>12</v>
      </c>
      <c r="K114" s="453" t="s">
        <v>562</v>
      </c>
    </row>
    <row r="115" spans="2:11" ht="18.75" x14ac:dyDescent="0.3">
      <c r="B115" s="452">
        <v>111</v>
      </c>
      <c r="C115" s="459" t="s">
        <v>227</v>
      </c>
      <c r="D115" s="441">
        <v>26</v>
      </c>
      <c r="E115" s="453" t="s">
        <v>562</v>
      </c>
      <c r="H115" s="452">
        <v>111</v>
      </c>
      <c r="I115" s="442" t="s">
        <v>153</v>
      </c>
      <c r="J115" s="441">
        <v>12</v>
      </c>
      <c r="K115" s="453" t="s">
        <v>562</v>
      </c>
    </row>
    <row r="116" spans="2:11" ht="18.75" x14ac:dyDescent="0.3">
      <c r="B116" s="452">
        <v>112</v>
      </c>
      <c r="C116" s="459" t="s">
        <v>213</v>
      </c>
      <c r="D116" s="441">
        <v>26</v>
      </c>
      <c r="E116" s="453" t="s">
        <v>562</v>
      </c>
      <c r="H116" s="452">
        <v>112</v>
      </c>
      <c r="I116" s="442" t="s">
        <v>162</v>
      </c>
      <c r="J116" s="441">
        <v>12</v>
      </c>
      <c r="K116" s="453" t="s">
        <v>562</v>
      </c>
    </row>
    <row r="117" spans="2:11" ht="18.75" x14ac:dyDescent="0.3">
      <c r="B117" s="452">
        <v>113</v>
      </c>
      <c r="C117" s="459" t="s">
        <v>290</v>
      </c>
      <c r="D117" s="441">
        <v>26</v>
      </c>
      <c r="E117" s="453" t="s">
        <v>562</v>
      </c>
      <c r="H117" s="452">
        <v>113</v>
      </c>
      <c r="I117" s="442" t="s">
        <v>167</v>
      </c>
      <c r="J117" s="441">
        <v>12</v>
      </c>
      <c r="K117" s="453" t="s">
        <v>562</v>
      </c>
    </row>
    <row r="118" spans="2:11" ht="18.75" x14ac:dyDescent="0.3">
      <c r="B118" s="452">
        <v>114</v>
      </c>
      <c r="C118" s="459" t="s">
        <v>299</v>
      </c>
      <c r="D118" s="441">
        <v>24</v>
      </c>
      <c r="E118" s="453" t="s">
        <v>562</v>
      </c>
      <c r="H118" s="452">
        <v>114</v>
      </c>
      <c r="I118" s="442" t="s">
        <v>171</v>
      </c>
      <c r="J118" s="441">
        <v>12</v>
      </c>
      <c r="K118" s="453" t="s">
        <v>562</v>
      </c>
    </row>
    <row r="119" spans="2:11" ht="18.75" x14ac:dyDescent="0.3">
      <c r="B119" s="452">
        <v>115</v>
      </c>
      <c r="C119" s="459" t="s">
        <v>170</v>
      </c>
      <c r="D119" s="441">
        <v>14</v>
      </c>
      <c r="E119" s="453" t="s">
        <v>562</v>
      </c>
      <c r="H119" s="452">
        <v>115</v>
      </c>
      <c r="I119" s="442" t="s">
        <v>274</v>
      </c>
      <c r="J119" s="441">
        <v>12</v>
      </c>
      <c r="K119" s="453" t="s">
        <v>562</v>
      </c>
    </row>
    <row r="120" spans="2:11" ht="18.75" x14ac:dyDescent="0.3">
      <c r="B120" s="452">
        <v>116</v>
      </c>
      <c r="C120" s="459" t="s">
        <v>320</v>
      </c>
      <c r="D120" s="441">
        <v>26</v>
      </c>
      <c r="E120" s="453" t="s">
        <v>562</v>
      </c>
      <c r="H120" s="452">
        <v>116</v>
      </c>
      <c r="I120" s="442" t="s">
        <v>189</v>
      </c>
      <c r="J120" s="441">
        <v>12</v>
      </c>
      <c r="K120" s="453" t="s">
        <v>562</v>
      </c>
    </row>
    <row r="121" spans="2:11" ht="18.75" x14ac:dyDescent="0.3">
      <c r="B121" s="452">
        <v>117</v>
      </c>
      <c r="C121" s="459" t="s">
        <v>294</v>
      </c>
      <c r="D121" s="441">
        <v>25</v>
      </c>
      <c r="E121" s="453" t="s">
        <v>562</v>
      </c>
      <c r="H121" s="452">
        <v>117</v>
      </c>
      <c r="I121" s="442" t="s">
        <v>208</v>
      </c>
      <c r="J121" s="441">
        <v>12</v>
      </c>
      <c r="K121" s="453" t="s">
        <v>562</v>
      </c>
    </row>
    <row r="122" spans="2:11" ht="18.75" x14ac:dyDescent="0.3">
      <c r="B122" s="452">
        <v>118</v>
      </c>
      <c r="C122" s="459" t="s">
        <v>234</v>
      </c>
      <c r="D122" s="441">
        <v>17</v>
      </c>
      <c r="E122" s="453" t="s">
        <v>562</v>
      </c>
      <c r="H122" s="452">
        <v>118</v>
      </c>
      <c r="I122" s="442" t="s">
        <v>212</v>
      </c>
      <c r="J122" s="441">
        <v>12</v>
      </c>
      <c r="K122" s="453" t="s">
        <v>562</v>
      </c>
    </row>
    <row r="123" spans="2:11" ht="18.75" x14ac:dyDescent="0.3">
      <c r="B123" s="452">
        <v>119</v>
      </c>
      <c r="C123" s="459" t="s">
        <v>308</v>
      </c>
      <c r="D123" s="441">
        <v>25</v>
      </c>
      <c r="E123" s="453" t="s">
        <v>562</v>
      </c>
      <c r="H123" s="452">
        <v>119</v>
      </c>
      <c r="I123" s="442" t="s">
        <v>172</v>
      </c>
      <c r="J123" s="441">
        <v>12</v>
      </c>
      <c r="K123" s="453" t="s">
        <v>562</v>
      </c>
    </row>
    <row r="124" spans="2:11" ht="19.5" thickBot="1" x14ac:dyDescent="0.35">
      <c r="B124" s="454">
        <v>120</v>
      </c>
      <c r="C124" s="460" t="s">
        <v>318</v>
      </c>
      <c r="D124" s="456">
        <v>27</v>
      </c>
      <c r="E124" s="457" t="s">
        <v>562</v>
      </c>
      <c r="H124" s="454">
        <v>120</v>
      </c>
      <c r="I124" s="455" t="s">
        <v>218</v>
      </c>
      <c r="J124" s="456">
        <v>12</v>
      </c>
      <c r="K124" s="457" t="s">
        <v>562</v>
      </c>
    </row>
  </sheetData>
  <sortState xmlns:xlrd2="http://schemas.microsoft.com/office/spreadsheetml/2017/richdata2" ref="I5:J124">
    <sortCondition descending="1" ref="J5:J124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D855-50D2-4D04-ADCA-10F3B4415681}">
  <dimension ref="A1:I37"/>
  <sheetViews>
    <sheetView topLeftCell="A3" workbookViewId="0">
      <selection activeCell="G25" sqref="G25"/>
    </sheetView>
  </sheetViews>
  <sheetFormatPr defaultRowHeight="14.25" x14ac:dyDescent="0.2"/>
  <cols>
    <col min="3" max="3" width="19.25" bestFit="1" customWidth="1"/>
    <col min="4" max="4" width="3.875" customWidth="1"/>
    <col min="5" max="5" width="16.5" customWidth="1"/>
    <col min="6" max="6" width="15.875" customWidth="1"/>
    <col min="7" max="7" width="13.625" customWidth="1"/>
    <col min="8" max="8" width="15.25" customWidth="1"/>
    <col min="9" max="9" width="16.75" customWidth="1"/>
  </cols>
  <sheetData>
    <row r="1" spans="2:8" ht="19.5" x14ac:dyDescent="0.25">
      <c r="B1" s="336" t="s">
        <v>546</v>
      </c>
    </row>
    <row r="3" spans="2:8" ht="15" thickBot="1" x14ac:dyDescent="0.25"/>
    <row r="4" spans="2:8" ht="15" thickBot="1" x14ac:dyDescent="0.25">
      <c r="B4" s="149" t="s">
        <v>549</v>
      </c>
      <c r="E4" s="182"/>
      <c r="F4" s="353" t="s">
        <v>550</v>
      </c>
    </row>
    <row r="5" spans="2:8" x14ac:dyDescent="0.2">
      <c r="B5" s="149"/>
      <c r="E5" s="158"/>
      <c r="F5" s="158"/>
    </row>
    <row r="6" spans="2:8" ht="15" thickBot="1" x14ac:dyDescent="0.25">
      <c r="B6" s="149"/>
      <c r="E6" s="177"/>
      <c r="F6" s="158"/>
    </row>
    <row r="7" spans="2:8" x14ac:dyDescent="0.2">
      <c r="B7" s="354" t="s">
        <v>548</v>
      </c>
      <c r="C7" s="228"/>
      <c r="D7" s="228"/>
      <c r="E7" s="355"/>
      <c r="F7" s="356"/>
      <c r="G7" s="228"/>
      <c r="H7" s="230"/>
    </row>
    <row r="8" spans="2:8" ht="15" thickBot="1" x14ac:dyDescent="0.25">
      <c r="B8" s="231"/>
      <c r="E8" s="177"/>
      <c r="H8" s="232"/>
    </row>
    <row r="9" spans="2:8" ht="15" x14ac:dyDescent="0.2">
      <c r="B9" s="357" t="s">
        <v>47</v>
      </c>
      <c r="C9" s="141" t="s">
        <v>568</v>
      </c>
      <c r="E9" s="183">
        <v>2</v>
      </c>
      <c r="F9" s="158"/>
      <c r="H9" s="232"/>
    </row>
    <row r="10" spans="2:8" ht="15" x14ac:dyDescent="0.2">
      <c r="B10" s="357" t="s">
        <v>47</v>
      </c>
      <c r="C10" s="141" t="s">
        <v>43</v>
      </c>
      <c r="E10" s="184">
        <v>1.5</v>
      </c>
      <c r="F10" s="158"/>
      <c r="H10" s="232"/>
    </row>
    <row r="11" spans="2:8" ht="15" x14ac:dyDescent="0.2">
      <c r="B11" s="357" t="s">
        <v>47</v>
      </c>
      <c r="C11" s="141" t="s">
        <v>570</v>
      </c>
      <c r="E11" s="184">
        <v>1.2</v>
      </c>
      <c r="F11" s="158"/>
      <c r="H11" s="232"/>
    </row>
    <row r="12" spans="2:8" ht="15" x14ac:dyDescent="0.2">
      <c r="B12" s="357" t="s">
        <v>47</v>
      </c>
      <c r="C12" s="141" t="s">
        <v>44</v>
      </c>
      <c r="E12" s="396">
        <v>1</v>
      </c>
      <c r="F12" s="158"/>
      <c r="H12" s="232"/>
    </row>
    <row r="13" spans="2:8" ht="15" x14ac:dyDescent="0.2">
      <c r="B13" s="357" t="s">
        <v>47</v>
      </c>
      <c r="C13" s="141" t="s">
        <v>45</v>
      </c>
      <c r="E13" s="184">
        <v>0.9</v>
      </c>
      <c r="F13" s="158"/>
      <c r="H13" s="232"/>
    </row>
    <row r="14" spans="2:8" ht="15" x14ac:dyDescent="0.2">
      <c r="B14" s="357" t="s">
        <v>47</v>
      </c>
      <c r="C14" s="141" t="s">
        <v>46</v>
      </c>
      <c r="E14" s="184">
        <v>0.5</v>
      </c>
      <c r="F14" s="158"/>
      <c r="H14" s="232"/>
    </row>
    <row r="15" spans="2:8" ht="15" x14ac:dyDescent="0.2">
      <c r="B15" s="357" t="s">
        <v>47</v>
      </c>
      <c r="C15" s="141" t="s">
        <v>569</v>
      </c>
      <c r="E15" s="184">
        <v>0.1</v>
      </c>
      <c r="F15" s="158"/>
      <c r="H15" s="232"/>
    </row>
    <row r="16" spans="2:8" ht="15" x14ac:dyDescent="0.2">
      <c r="B16" s="357" t="s">
        <v>47</v>
      </c>
      <c r="C16" s="141" t="s">
        <v>571</v>
      </c>
      <c r="E16" s="399">
        <v>-0.5</v>
      </c>
      <c r="F16" s="158"/>
      <c r="H16" s="232"/>
    </row>
    <row r="17" spans="1:9" ht="15" x14ac:dyDescent="0.2">
      <c r="B17" s="357" t="s">
        <v>47</v>
      </c>
      <c r="C17" s="141" t="s">
        <v>566</v>
      </c>
      <c r="E17" s="399">
        <v>-1</v>
      </c>
      <c r="F17" s="158"/>
      <c r="H17" s="232"/>
    </row>
    <row r="18" spans="1:9" ht="15.75" thickBot="1" x14ac:dyDescent="0.25">
      <c r="B18" s="357" t="s">
        <v>47</v>
      </c>
      <c r="C18" s="141" t="s">
        <v>567</v>
      </c>
      <c r="E18" s="398">
        <v>-2</v>
      </c>
      <c r="F18" s="158"/>
      <c r="H18" s="232"/>
    </row>
    <row r="19" spans="1:9" ht="15.75" thickBot="1" x14ac:dyDescent="0.25">
      <c r="B19" s="358"/>
      <c r="C19" s="359"/>
      <c r="D19" s="297"/>
      <c r="E19" s="298"/>
      <c r="F19" s="297"/>
      <c r="G19" s="297"/>
      <c r="H19" s="299"/>
    </row>
    <row r="21" spans="1:9" ht="15.75" thickBot="1" x14ac:dyDescent="0.25">
      <c r="B21" s="155"/>
    </row>
    <row r="22" spans="1:9" ht="15" thickBot="1" x14ac:dyDescent="0.25">
      <c r="B22" s="149" t="s">
        <v>547</v>
      </c>
      <c r="E22" s="352">
        <v>1</v>
      </c>
      <c r="F22" s="76"/>
      <c r="G22" s="76"/>
      <c r="H22" s="76"/>
      <c r="I22" s="76"/>
    </row>
    <row r="23" spans="1:9" ht="15" x14ac:dyDescent="0.2">
      <c r="B23" s="156"/>
      <c r="C23" s="76"/>
      <c r="E23" s="148"/>
      <c r="F23" s="148"/>
      <c r="G23" s="148"/>
      <c r="H23" s="148"/>
      <c r="I23" s="148"/>
    </row>
    <row r="24" spans="1:9" ht="15" x14ac:dyDescent="0.2">
      <c r="B24" s="156"/>
      <c r="C24" s="76"/>
      <c r="E24" s="148"/>
      <c r="F24" s="148"/>
      <c r="G24" s="148"/>
      <c r="H24" s="148"/>
      <c r="I24" s="148"/>
    </row>
    <row r="25" spans="1:9" ht="15" x14ac:dyDescent="0.2">
      <c r="B25" s="156"/>
      <c r="C25" s="76"/>
      <c r="E25" s="148"/>
      <c r="F25" s="148"/>
      <c r="G25" s="148"/>
      <c r="H25" s="148"/>
      <c r="I25" s="148"/>
    </row>
    <row r="26" spans="1:9" ht="15" x14ac:dyDescent="0.2">
      <c r="B26" s="156"/>
      <c r="C26" s="76"/>
      <c r="E26" s="148"/>
      <c r="F26" s="148"/>
      <c r="G26" s="148"/>
      <c r="H26" s="148"/>
      <c r="I26" s="148"/>
    </row>
    <row r="27" spans="1:9" ht="15.75" thickBot="1" x14ac:dyDescent="0.25">
      <c r="A27" s="189"/>
      <c r="B27" s="329"/>
      <c r="C27" s="486"/>
      <c r="D27" s="189"/>
      <c r="E27" s="487"/>
      <c r="F27" s="487"/>
      <c r="G27" s="148"/>
      <c r="H27" s="148"/>
      <c r="I27" s="148"/>
    </row>
    <row r="28" spans="1:9" ht="15" thickBot="1" x14ac:dyDescent="0.25">
      <c r="A28" s="189"/>
      <c r="B28" s="189"/>
      <c r="C28" s="189"/>
      <c r="D28" s="189"/>
      <c r="E28" s="488" t="s">
        <v>561</v>
      </c>
      <c r="F28" s="189"/>
    </row>
    <row r="29" spans="1:9" ht="15" x14ac:dyDescent="0.2">
      <c r="A29" s="189"/>
      <c r="B29" s="489" t="s">
        <v>47</v>
      </c>
      <c r="C29" s="490" t="s">
        <v>568</v>
      </c>
      <c r="D29" s="415"/>
      <c r="E29" s="491">
        <v>2</v>
      </c>
      <c r="F29" s="189"/>
    </row>
    <row r="30" spans="1:9" ht="15" x14ac:dyDescent="0.2">
      <c r="A30" s="189"/>
      <c r="B30" s="492" t="s">
        <v>47</v>
      </c>
      <c r="C30" s="188" t="s">
        <v>43</v>
      </c>
      <c r="D30" s="189"/>
      <c r="E30" s="493">
        <v>1.5</v>
      </c>
      <c r="F30" s="189"/>
    </row>
    <row r="31" spans="1:9" ht="15" x14ac:dyDescent="0.2">
      <c r="A31" s="189"/>
      <c r="B31" s="492" t="s">
        <v>47</v>
      </c>
      <c r="C31" s="188" t="s">
        <v>570</v>
      </c>
      <c r="D31" s="189"/>
      <c r="E31" s="493">
        <v>1.2</v>
      </c>
      <c r="F31" s="189"/>
    </row>
    <row r="32" spans="1:9" ht="15" x14ac:dyDescent="0.2">
      <c r="A32" s="189"/>
      <c r="B32" s="492" t="s">
        <v>47</v>
      </c>
      <c r="C32" s="188" t="s">
        <v>44</v>
      </c>
      <c r="D32" s="189"/>
      <c r="E32" s="494">
        <v>1</v>
      </c>
      <c r="F32" s="189"/>
    </row>
    <row r="33" spans="1:6" ht="15" x14ac:dyDescent="0.2">
      <c r="A33" s="189"/>
      <c r="B33" s="492" t="s">
        <v>47</v>
      </c>
      <c r="C33" s="188" t="s">
        <v>45</v>
      </c>
      <c r="D33" s="189"/>
      <c r="E33" s="493">
        <v>0.9</v>
      </c>
      <c r="F33" s="189"/>
    </row>
    <row r="34" spans="1:6" ht="15" x14ac:dyDescent="0.2">
      <c r="A34" s="189"/>
      <c r="B34" s="492" t="s">
        <v>47</v>
      </c>
      <c r="C34" s="188" t="s">
        <v>46</v>
      </c>
      <c r="D34" s="189"/>
      <c r="E34" s="493">
        <v>0.5</v>
      </c>
      <c r="F34" s="189"/>
    </row>
    <row r="35" spans="1:6" ht="15.75" thickBot="1" x14ac:dyDescent="0.25">
      <c r="A35" s="189"/>
      <c r="B35" s="495" t="s">
        <v>47</v>
      </c>
      <c r="C35" s="496" t="s">
        <v>569</v>
      </c>
      <c r="D35" s="333"/>
      <c r="E35" s="497">
        <v>0.1</v>
      </c>
      <c r="F35" s="189"/>
    </row>
    <row r="36" spans="1:6" x14ac:dyDescent="0.2">
      <c r="A36" s="189"/>
      <c r="B36" s="189"/>
      <c r="C36" s="189"/>
      <c r="D36" s="189"/>
      <c r="E36" s="189"/>
      <c r="F36" s="189"/>
    </row>
    <row r="37" spans="1:6" x14ac:dyDescent="0.2">
      <c r="A37" s="189"/>
      <c r="B37" s="189"/>
      <c r="C37" s="189"/>
      <c r="D37" s="189"/>
      <c r="E37" s="189"/>
      <c r="F37" s="18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074A-509C-48C2-8951-F49EBF6EACB3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Check Value</vt:lpstr>
      <vt:lpstr>Use Case Lab</vt:lpstr>
      <vt:lpstr>Q&amp;A Matrix</vt:lpstr>
      <vt:lpstr>Pilot Formula Test</vt:lpstr>
      <vt:lpstr>AI Prompt</vt:lpstr>
      <vt:lpstr>7 Action Levels</vt:lpstr>
      <vt:lpstr>Standard Avalrem Table</vt:lpstr>
      <vt:lpstr>Master Data</vt:lpstr>
      <vt:lpstr>Master</vt:lpstr>
      <vt:lpstr>AI Training Card Value</vt:lpstr>
      <vt:lpstr>Primary Value</vt:lpstr>
      <vt:lpstr>AI-Overview Algorithm</vt:lpstr>
      <vt:lpstr>AI-Example 1</vt:lpstr>
      <vt:lpstr>AI-Knowledge Graph</vt:lpstr>
      <vt:lpstr>AI-Knowledge Graph 2</vt:lpstr>
      <vt:lpstr>Detailed Avalerem Tables</vt:lpstr>
      <vt:lpstr>Primary Intrinsic Value </vt:lpstr>
      <vt:lpstr>Success Rate</vt:lpstr>
      <vt:lpstr>Sheet1</vt:lpstr>
      <vt:lpstr>'Check Value'!Print_Area</vt:lpstr>
      <vt:lpstr>Master!Print_Area</vt:lpstr>
      <vt:lpstr>'Standard Avalrem Table'!Print_Area</vt:lpstr>
      <vt:lpstr>'Use Case Lab'!Print_Area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Mr.Yanyong Thammatucharee</dc:creator>
  <cp:lastModifiedBy>Mr.Yanyong Thammatucharee</cp:lastModifiedBy>
  <cp:lastPrinted>2024-09-11T10:48:38Z</cp:lastPrinted>
  <dcterms:created xsi:type="dcterms:W3CDTF">2024-08-21T02:17:47Z</dcterms:created>
  <dcterms:modified xsi:type="dcterms:W3CDTF">2026-01-05T05:55:19Z</dcterms:modified>
</cp:coreProperties>
</file>